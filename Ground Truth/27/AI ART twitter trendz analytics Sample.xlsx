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Default Extension="rels" ContentType="application/vnd.openxmlformats-package.relationships+xml"/>
  <Default Extension="xml" ContentType="application/xml"/>
  <Default Extension="gif" ContentType="image/gif"/>
  <Default Extension="tiff" ContentType="image/tiff"/>
  <Default Extension="jpeg" ContentType="image/jpeg"/>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AI art" sheetId="2" r:id="rId5"/>
    <sheet name="Midjourney" sheetId="3" r:id="rId6"/>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<sst xmlns="http://schemas.openxmlformats.org/spreadsheetml/2006/main" count="32" uniqueCount="32">
  <si>
    <t xml:space="preserve">  </t>
  </si>
  <si>
    <t/>
    <r>
      <rPr>
        <u/>
        <color theme="10"/>
      </rPr>
      <t>https://twitter.com/oelhan_tv/status/1761073181195153663</t>
    </r>
  </si>
  <si>
    <t/>
    <r>
      <rPr>
        <u/>
        <color theme="10"/>
      </rPr>
      <t>https://twitter.com/RogerHaus/status/1763934488608886938</t>
    </r>
  </si>
  <si>
    <t/>
    <r>
      <rPr>
        <u/>
        <color theme="10"/>
      </rPr>
      <t>https://twitter.com/ReignOfPride/status/1769117540502946112</t>
    </r>
  </si>
  <si>
    <t/>
    <r>
      <rPr>
        <u/>
        <color theme="10"/>
      </rPr>
      <t>https://twitter.com/hq_thekonsept/status/1769335459753148441</t>
    </r>
  </si>
  <si>
    <t/>
    <r>
      <rPr>
        <u/>
        <color theme="10"/>
      </rPr>
      <t>https://twitter.com/AI_CyberDreams/status/1768918389521596486</t>
    </r>
  </si>
  <si>
    <t/>
    <r>
      <rPr>
        <u/>
        <color theme="10"/>
      </rPr>
      <t>https://twitter.com/meltenx/status/1769100083394388233</t>
    </r>
  </si>
  <si>
    <t/>
    <r>
      <rPr>
        <u/>
        <color theme="10"/>
      </rPr>
      <t>https://twitter.com/samdoesarts/status/1769393865780273656</t>
    </r>
  </si>
  <si>
    <t/>
    <r>
      <rPr>
        <u/>
        <color theme="10"/>
      </rPr>
      <t>https://twitter.com/hq_thekonsept/status/1768952729458585662</t>
    </r>
  </si>
  <si>
    <t/>
    <r>
      <rPr>
        <u/>
        <color theme="10"/>
      </rPr>
      <t>https://twitter.com/nhoeskape/status/1768997160094249175</t>
    </r>
  </si>
  <si>
    <t/>
    <r>
      <rPr>
        <u/>
        <color theme="10"/>
      </rPr>
      <t>https://twitter.com/RogerHaus/status/1768657783753466307</t>
    </r>
  </si>
  <si>
    <t/>
    <r>
      <rPr>
        <u/>
        <color theme="10"/>
      </rPr>
      <t>https://twitter.com/BTG_Art/status/1769045016247157142</t>
    </r>
  </si>
  <si>
    <t/>
    <r>
      <rPr>
        <u/>
        <color theme="10"/>
      </rPr>
      <t>https://twitter.com/xxLONGOLONGOxx/status/1769322563061387398</t>
    </r>
  </si>
  <si>
    <t/>
    <r>
      <rPr>
        <u/>
        <color theme="10"/>
      </rPr>
      <t>https://twitter.com/hq_thekonsept/status/1769038093695230119</t>
    </r>
  </si>
  <si>
    <t/>
    <r>
      <rPr>
        <u/>
        <color theme="10"/>
      </rPr>
      <t>https://twitter.com/oelhan_tv/status/1673360471959961600</t>
    </r>
  </si>
  <si>
    <t/>
    <r>
      <rPr>
        <u/>
        <color theme="10"/>
      </rPr>
      <t>https://twitter.com/RogerHaus/status/1767336790426300807</t>
    </r>
  </si>
  <si>
    <t/>
    <r>
      <rPr>
        <u/>
        <color theme="10"/>
      </rPr>
      <t>https://twitter.com/ShironekoAI_84/status/1768166464761033174</t>
    </r>
  </si>
  <si>
    <t/>
    <r>
      <rPr>
        <u/>
        <color theme="10"/>
      </rPr>
      <t>https://twitter.com/peach_3d_ai/status/1769465073905357103</t>
    </r>
  </si>
  <si>
    <t/>
    <r>
      <rPr>
        <u/>
        <color theme="10"/>
      </rPr>
      <t>https://twitter.com/meltenx/status/1769391015365169304</t>
    </r>
  </si>
  <si>
    <t/>
    <r>
      <rPr>
        <u/>
        <color theme="10"/>
      </rPr>
      <t>https://twitter.com/RogerHaus/status/1769333505341718794</t>
    </r>
  </si>
  <si>
    <t/>
    <r>
      <rPr>
        <u/>
        <color theme="10"/>
      </rPr>
      <t>https://twitter.com/birdieaiart/status/1769103491786473628</t>
    </r>
  </si>
  <si>
    <t/>
    <r>
      <rPr>
        <u/>
        <color theme="10"/>
      </rPr>
      <t>https://twitter.com/ARTiV3RSE/status/1769547273044643919</t>
    </r>
  </si>
  <si>
    <t/>
    <r>
      <rPr>
        <u/>
        <color theme="10"/>
      </rPr>
      <t>https://twitter.com/techhalla/status/1767513931918999821</t>
    </r>
  </si>
  <si>
    <t/>
    <r>
      <rPr>
        <u/>
        <color theme="10"/>
      </rPr>
      <t>https://twitter.com/hq_thekonsept/status/1768320798865940544</t>
    </r>
  </si>
  <si>
    <t/>
    <r>
      <rPr>
        <u/>
        <color theme="10"/>
      </rPr>
      <t>https://twitter.com/minchoi/status/1769227867639210030</t>
    </r>
  </si>
  <si>
    <t/>
    <r>
      <rPr>
        <u/>
        <color theme="10"/>
      </rPr>
      <t>https://twitter.com/ciguleva/status/1769477451640619046</t>
    </r>
  </si>
  <si>
    <t/>
    <r>
      <rPr>
        <u/>
        <color theme="10"/>
      </rPr>
      <t>https://twitter.com/ARTiV3RSE/status/1656685106117869568</t>
    </r>
  </si>
  <si>
    <t/>
    <r>
      <rPr>
        <u/>
        <color theme="10"/>
      </rPr>
      <t>https://twitter.com/chaseleantj/status/1765592900526842265</t>
    </r>
  </si>
  <si>
    <t/>
    <r>
      <rPr>
        <u/>
        <color theme="10"/>
      </rPr>
      <t>https://twitter.com/Rahll/status/1767355282739380734</t>
    </r>
  </si>
  <si>
    <t/>
    <r>
      <t xml:space="preserve">配文：I don't know how anyone can defend this as fair use if 1 or 2 non-specific words can 
</t>
    </r>
    <r>
      <t xml:space="preserve">reproduce perfect actor and character likenesses across multiple franchises.
</t>
    </r>
    <r>
      <t xml:space="preserve">Midjourney has scraped vast amounts of unlicensed IP to resell for profit, it's that simple.
</t>
    </r>
    <r>
      <t xml:space="preserve">
</t>
    </r>
    <r>
      <rPr>
        <u/>
        <sz val="9.75"/>
        <color theme="10"/>
        <rFont val="Calibri"/>
        <family val="2"/>
      </rPr>
      <t>https://spectrum.ieee.org/midjourney-copyright</t>
    </r>
    <r>
      <t xml:space="preserve">
</t>
    </r>
    <r>
      <t>配图：Midjourney对character的生成以及一些分析</t>
    </r>
  </si>
  <si>
    <t/>
    <r>
      <rPr>
        <u/>
        <color theme="10"/>
      </rPr>
      <t>https://twitter.com/riss3369/status/1769339526185635889</t>
    </r>
  </si>
  <si>
    <t/>
    <r>
      <rPr>
        <u/>
        <color theme="10"/>
      </rPr>
      <t>https://twitter.com/aliejules/status/1769431357929709573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</si>
</sst>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
    <numFmt numFmtId="165" formatCode="0%"/>
  </numFmts>
  <fonts count="6">
    <font>
      <sz val="10"/>
      <color theme="1"/>
      <name val="Calibri"/>
      <family val="2"/>
      <scheme val="minor"/>
    </font>
    <font>
      <sz val="9.75"/>
      <color rgb="FF000000"/>
      <name val="Calibri"/>
      <family val="2"/>
      <scheme val="minor"/>
    </font>
    <font>
      <sz val="12"/>
      <color rgb="FF000000"/>
      <name val="Calibri"/>
      <family val="2"/>
      <scheme val="minor"/>
    </font>
    <font>
      <sz val="12"/>
      <color rgb="FF1F2329"/>
      <name val="Calibri"/>
      <family val="2"/>
      <scheme val="minor"/>
    </font>
    <font>
      <b val="true"/>
      <sz val="12"/>
      <color rgb="FF000000"/>
      <name val="Calibri"/>
      <family val="2"/>
      <scheme val="minor"/>
    </font>
    <font>
      <sz val="12"/>
      <color rgb="FF536471"/>
      <name val="Calibri"/>
      <family val="2"/>
      <scheme val="minor"/>
    </font>
  </fonts>
  <fills count="8">
    <fill>
      <patternFill patternType="none">
        <fgColor/>
        <bgColor/>
      </patternFill>
    </fill>
    <fill>
      <patternFill patternType="gray125">
        <fgColor/>
        <bgColor/>
      </patternFill>
    </fill>
    <fill>
      <patternFill patternType="solid">
        <fgColor rgb="FFFBBFBC"/>
        <bgColor/>
      </patternFill>
    </fill>
    <fill>
      <patternFill patternType="solid">
        <fgColor rgb="FFD5F6F2"/>
        <bgColor/>
      </patternFill>
    </fill>
    <fill>
      <patternFill patternType="solid">
        <fgColor rgb="FFD9F5D6"/>
        <bgColor/>
      </patternFill>
    </fill>
    <fill>
      <patternFill patternType="solid">
        <fgColor rgb="FF7EDAFB"/>
        <bgColor/>
      </patternFill>
    </fill>
    <fill>
      <patternFill patternType="solid">
        <fgColor rgb="FFF76964"/>
        <bgColor/>
      </patternFill>
    </fill>
    <fill>
      <patternFill patternType="solid">
        <fgColor rgb="FF8EE085"/>
        <bgColor/>
      </patternFill>
    </fill>
  </fills>
  <borders count="14">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s>
  <cellStyleXfs count="1">
    <xf applyAlignment="true" applyBorder="false" applyFill="false" applyFont="false" applyNumberFormat="false" applyProtection="false" borderId="0" fillId="0" fontId="0" numFmtId="0"/>
  </cellStyleXfs>
  <cellXfs count="14">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xf>
    <xf applyAlignment="true" applyBorder="false" applyFill="false" applyFont="true" applyNumberFormat="false" applyProtection="false" borderId="2" fillId="0" fontId="2" numFmtId="0" xfId="0">
      <alignment vertical="center"/>
    </xf>
    <xf applyAlignment="true" applyBorder="false" applyFill="true" applyFont="true" applyNumberFormat="false" applyProtection="false" borderId="3" fillId="2" fontId="3" numFmtId="0" xfId="0">
      <alignment vertical="center"/>
    </xf>
    <xf applyAlignment="true" applyBorder="false" applyFill="false" applyFont="true" applyNumberFormat="true" applyProtection="false" borderId="4" fillId="0" fontId="2" numFmtId="164" xfId="0">
      <alignment vertical="center"/>
    </xf>
    <xf applyAlignment="true" applyBorder="false" applyFill="true" applyFont="true" applyNumberFormat="false" applyProtection="false" borderId="5" fillId="3" fontId="2" numFmtId="0" xfId="0">
      <alignment vertical="center"/>
    </xf>
    <xf applyAlignment="true" applyBorder="false" applyFill="true" applyFont="true" applyNumberFormat="false" applyProtection="false" borderId="6" fillId="4" fontId="1" numFmtId="0" xfId="0">
      <alignment vertical="center"/>
    </xf>
    <xf applyAlignment="true" applyBorder="false" applyFill="false" applyFont="true" applyNumberFormat="false" applyProtection="false" borderId="7" fillId="0" fontId="1" numFmtId="0" xfId="0">
      <alignment vertical="center"/>
    </xf>
    <xf applyAlignment="true" applyBorder="false" applyFill="false" applyFont="true" applyNumberFormat="true" applyProtection="false" borderId="8" fillId="0" fontId="1" numFmtId="165" xfId="0">
      <alignment vertical="center"/>
    </xf>
    <xf applyAlignment="true" applyBorder="false" applyFill="false" applyFont="true" applyNumberFormat="false" applyProtection="false" borderId="9" fillId="0" fontId="4" numFmtId="0" xfId="0">
      <alignment vertical="center"/>
    </xf>
    <xf applyAlignment="true" applyBorder="false" applyFill="true" applyFont="true" applyNumberFormat="false" applyProtection="false" borderId="10" fillId="5" fontId="2" numFmtId="0" xfId="0">
      <alignment vertical="center"/>
    </xf>
    <xf applyAlignment="true" applyBorder="false" applyFill="true" applyFont="true" applyNumberFormat="false" applyProtection="false" borderId="11" fillId="6" fontId="2" numFmtId="0" xfId="0">
      <alignment vertical="center"/>
    </xf>
    <xf applyAlignment="true" applyBorder="false" applyFill="true" applyFont="true" applyNumberFormat="false" applyProtection="false" borderId="12" fillId="7" fontId="1" numFmtId="0" xfId="0">
      <alignment vertical="center"/>
    </xf>
    <xf applyAlignment="true" applyBorder="false" applyFill="false" applyFont="true" applyNumberFormat="false" applyProtection="false" borderId="13" fillId="0" fontId="5"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https://twitter.com/RogerHaus/status/1768657783753466307" Type="http://schemas.openxmlformats.org/officeDocument/2006/relationships/hyperlink" TargetMode="External"></Relationship><Relationship Id="rId2" Target="https://twitter.com/RogerHaus/status/1767336790426300807" Type="http://schemas.openxmlformats.org/officeDocument/2006/relationships/hyperlink" TargetMode="External"></Relationship><Relationship Id="rId3" Target="https://twitter.com/oelhan_tv/status/1761073181195153663" Type="http://schemas.openxmlformats.org/officeDocument/2006/relationships/hyperlink" TargetMode="External"></Relationship><Relationship Id="rId4" Target="https://twitter.com/birdieaiart/status/1769103491786473628" Type="http://schemas.openxmlformats.org/officeDocument/2006/relationships/hyperlink" TargetMode="External"></Relationship><Relationship Id="rId5" Target="https://twitter.com/meltenx/status/1769100083394388233" Type="http://schemas.openxmlformats.org/officeDocument/2006/relationships/hyperlink" TargetMode="External"></Relationship><Relationship Id="rId6" Target="https://twitter.com/BTG_Art/status/1769045016247157142" Type="http://schemas.openxmlformats.org/officeDocument/2006/relationships/hyperlink" TargetMode="External"></Relationship><Relationship Id="rId7" Target="https://twitter.com/xxLONGOLONGOxx/status/1769322563061387398" Type="http://schemas.openxmlformats.org/officeDocument/2006/relationships/hyperlink" TargetMode="External"></Relationship><Relationship Id="rId8" Target="https://twitter.com/hq_thekonsept/status/1769038093695230119" Type="http://schemas.openxmlformats.org/officeDocument/2006/relationships/hyperlink" TargetMode="External"></Relationship><Relationship Id="rId9" Target="https://twitter.com/meltenx/status/1769391015365169304" Type="http://schemas.openxmlformats.org/officeDocument/2006/relationships/hyperlink" TargetMode="External"></Relationship><Relationship Id="rId10" Target="https://twitter.com/samdoesarts/status/1769393865780273656" Type="http://schemas.openxmlformats.org/officeDocument/2006/relationships/hyperlink" TargetMode="External"></Relationship><Relationship Id="rId11" Target="https://twitter.com/ShironekoAI_84/status/1768166464761033174" Type="http://schemas.openxmlformats.org/officeDocument/2006/relationships/hyperlink" TargetMode="External"></Relationship><Relationship Id="rId12" Target="https://twitter.com/peach_3d_ai/status/1769465073905357103" Type="http://schemas.openxmlformats.org/officeDocument/2006/relationships/hyperlink" TargetMode="External"></Relationship><Relationship Id="rId13" Target="https://twitter.com/hq_thekonsept/status/1769335459753148441" Type="http://schemas.openxmlformats.org/officeDocument/2006/relationships/hyperlink" TargetMode="External"></Relationship><Relationship Id="rId14" Target="https://twitter.com/oelhan_tv/status/1673360471959961600" Type="http://schemas.openxmlformats.org/officeDocument/2006/relationships/hyperlink" TargetMode="External"></Relationship><Relationship Id="rId15" Target="https://twitter.com/AI_CyberDreams/status/1768918389521596486" Type="http://schemas.openxmlformats.org/officeDocument/2006/relationships/hyperlink" TargetMode="External"></Relationship><Relationship Id="rId16" Target="https://twitter.com/hq_thekonsept/status/1768952729458585662" Type="http://schemas.openxmlformats.org/officeDocument/2006/relationships/hyperlink" TargetMode="External"></Relationship><Relationship Id="rId17" Target="https://twitter.com/RogerHaus/status/1769333505341718794" Type="http://schemas.openxmlformats.org/officeDocument/2006/relationships/hyperlink" TargetMode="External"></Relationship><Relationship Id="rId18" Target="https://twitter.com/nhoeskape/status/1768997160094249175" Type="http://schemas.openxmlformats.org/officeDocument/2006/relationships/hyperlink" TargetMode="External"></Relationship><Relationship Id="rId19" Target="https://twitter.com/RogerHaus/status/1763934488608886938" Type="http://schemas.openxmlformats.org/officeDocument/2006/relationships/hyperlink" TargetMode="External"></Relationship><Relationship Id="rId20" Target="https://twitter.com/ReignOfPride/status/1769117540502946112" Type="http://schemas.openxmlformats.org/officeDocument/2006/relationships/hyperlink" TargetMode="External"></Relationship><Relationship Id="rId2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https://twitter.com/ARTiV3RSE/status/1769547273044643919" Type="http://schemas.openxmlformats.org/officeDocument/2006/relationships/hyperlink" TargetMode="External"></Relationship><Relationship Id="rId2" Target="https://twitter.com/techhalla/status/1767513931918999821" Type="http://schemas.openxmlformats.org/officeDocument/2006/relationships/hyperlink" TargetMode="External"></Relationship><Relationship Id="rId3" Target="https://twitter.com/Rahll/status/1767355282739380734" Type="http://schemas.openxmlformats.org/officeDocument/2006/relationships/hyperlink" TargetMode="External"></Relationship><Relationship Id="rId4" Target="https://twitter.com/hq_thekonsept/status/1768320798865940544" Type="http://schemas.openxmlformats.org/officeDocument/2006/relationships/hyperlink" TargetMode="External"></Relationship><Relationship Id="rId5" Target="https://twitter.com/minchoi/status/1769227867639210030" Type="http://schemas.openxmlformats.org/officeDocument/2006/relationships/hyperlink" TargetMode="External"></Relationship><Relationship Id="rId6" Target="https://twitter.com/aliejules/status/1769431357929709573" Type="http://schemas.openxmlformats.org/officeDocument/2006/relationships/hyperlink" TargetMode="External"></Relationship><Relationship Id="rId7" Target="https://twitter.com/ciguleva/status/1769477451640619046" Type="http://schemas.openxmlformats.org/officeDocument/2006/relationships/hyperlink" TargetMode="External"></Relationship><Relationship Id="rId8" Target="https://twitter.com/ARTiV3RSE/status/1656685106117869568" Type="http://schemas.openxmlformats.org/officeDocument/2006/relationships/hyperlink" TargetMode="External"></Relationship><Relationship Id="rId9" Target="https://twitter.com/riss3369/status/1769339526185635889" Type="http://schemas.openxmlformats.org/officeDocument/2006/relationships/hyperlink" TargetMode="External"></Relationship><Relationship Id="rId10" Target="https://twitter.com/chaseleantj/status/1765592900526842265" Type="http://schemas.openxmlformats.org/officeDocument/2006/relationships/hyperlink" TargetMode="External"></Relationship><Relationship Id="rId11" Target="https://spectrum.ieee.org/midjourney-copyright" Type="http://schemas.openxmlformats.org/officeDocument/2006/relationships/hyperlink" TargetMode="External"></Relationship><Relationship Id="rId12"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3" ySplit="2"/>
    </sheetView>
  </sheetViews>
  <sheetFormatPr defaultColWidth="14" defaultRowHeight="19"/>
  <cols>
    <col collapsed="false" customWidth="true" hidden="false" max="2" min="2" style="0" width="21"/>
    <col collapsed="false" customWidth="true" hidden="false" max="3" min="3" style="0" width="46"/>
    <col collapsed="false" customWidth="true" hidden="false" max="4" min="4" style="0" width="21"/>
    <col collapsed="false" customWidth="true" hidden="false" max="5" min="5" style="0" width="21"/>
    <col collapsed="false" customWidth="true" hidden="false" max="8" min="8" style="0" width="21"/>
    <col collapsed="false" customWidth="true" hidden="false" max="9" min="9" style="0" width="34"/>
    <col collapsed="false" customWidth="true" hidden="false" max="10" min="10" style="0" width="33"/>
    <col collapsed="false" customWidth="true" hidden="false" max="11" min="11" style="0" width="53"/>
    <col collapsed="false" customWidth="true" hidden="false" max="13" min="13" style="0" width="14"/>
    <col collapsed="false" customWidth="true" hidden="false" max="15" min="15" style="0" width="22"/>
    <col collapsed="false" customWidth="true" hidden="false" max="16" min="16" style="0" width="59"/>
    <col collapsed="false" customWidth="true" hidden="false" max="23" min="23" style="0" width="14"/>
  </cols>
  <sheetData>
    <row customHeight="true" ht="120" r="1">
      <c r="A1" s="9" t="str">
        <v>AI Art， AI avatar等作为关键词，特点总结：
1. 流量基本盘不高（VV集中在1-10K），多为腰尾部达人自己创作的AI Artwork作品，流量大小和创新程度直接相关（users希望看到创新的，unexpected的作品）
2. 性别多为女生，beautiful girls居多
3. 风格可以明显分为两类：以日本地区为代表的anime风格，追求的是夸张、脱离实际风格的Anime作品创作；另外一类是欧美风格，风格多样，包括未来感城市、逼真真人、怪诞图片等风格
4. 地区以日本和美国居多
5. 是否有明显运营痕迹：没有明显运营痕迹，均为作者自己生成，但是会带工具的hashtag（可以作为一个软推广方法）</v>
      </c>
      <c r="B1" s="1"/>
      <c r="C1" s="1"/>
      <c r="D1" s="1"/>
      <c r="E1" s="1"/>
      <c r="F1" s="1"/>
      <c r="G1" s="1"/>
      <c r="H1" s="1"/>
      <c r="I1" s="1"/>
      <c r="J1" s="1"/>
      <c r="K1" s="1"/>
      <c r="L1" s="1"/>
      <c r="M1" s="1"/>
      <c r="N1" s="1"/>
      <c r="O1" s="1"/>
      <c r="P1" s="1"/>
    </row>
    <row r="2">
      <c r="A2" s="1" t="str">
        <v>关键词</v>
      </c>
      <c r="B2" s="1" t="str">
        <v>账户ID</v>
      </c>
      <c r="C2" s="1" t="str">
        <v>post链接</v>
      </c>
      <c r="D2" s="1" t="str">
        <v>VV量级</v>
      </c>
      <c r="E2" s="1" t="str">
        <v>Like</v>
      </c>
      <c r="F2" s="1" t="str">
        <v>Comment</v>
      </c>
      <c r="G2" s="1" t="str">
        <v>Repost</v>
      </c>
      <c r="H2" s="1" t="str">
        <v>Bookmark</v>
      </c>
      <c r="I2" s="1" t="str">
        <v>内容</v>
      </c>
      <c r="J2" s="1" t="str">
        <v>风格</v>
      </c>
      <c r="K2" s="1" t="str">
        <v>试分析爆点（用户喜欢原因）</v>
      </c>
      <c r="L2" s="1" t="str">
        <v>地区</v>
      </c>
      <c r="M2" s="1" t="str">
        <v>账号等级</v>
      </c>
      <c r="N2" s="1" t="str">
        <v>账号followers</v>
      </c>
      <c r="O2" s="1" t="str">
        <v>hashtag</v>
      </c>
      <c r="P2" s="1" t="str">
        <v>分类</v>
      </c>
    </row>
    <row r="3">
      <c r="A3" s="1" t="str">
        <v>AI art</v>
      </c>
      <c r="B3" s="13" t="str">
        <v>ShironekoAI_84</v>
      </c>
      <c r="C3" t="s">
        <v>16</v>
      </c>
      <c r="D3" t="str">
        <v>1k-5k</v>
      </c>
      <c r="E3" s="1">
        <v>265</v>
      </c>
      <c r="F3" s="1">
        <v>25</v>
      </c>
      <c r="G3" s="1">
        <v>25</v>
      </c>
      <c r="H3" s="1">
        <v>16</v>
      </c>
      <c r="I3" s="1" t="str">
        <v>配文：Hey
配图：一个女战士风格的侧脸</v>
      </c>
      <c r="J3" s="1" t="str">
        <v>Japanese Style Human Portrait</v>
      </c>
      <c r="K3" s="1" t="str">
        <v>Cool girl， 制作精美</v>
      </c>
      <c r="L3" t="str">
        <v>日本</v>
      </c>
      <c r="M3" s="1" t="str">
        <v>尾部达人</v>
      </c>
      <c r="N3" s="1">
        <v>677</v>
      </c>
      <c r="O3" s="1" t="str">
        <v>No hashtag</v>
      </c>
      <c r="P3" t="str">
        <v>女孩画像,冷酷,机械,细节丰富</v>
      </c>
    </row>
    <row r="4">
      <c r="A4" s="1" t="str">
        <v>AI art</v>
      </c>
      <c r="B4" s="1" t="str">
        <v>Peach 3D AI</v>
      </c>
      <c r="C4" t="s">
        <v>17</v>
      </c>
      <c r="D4" t="str">
        <v>1k-5k</v>
      </c>
      <c r="E4" s="1">
        <v>746</v>
      </c>
      <c r="F4" s="1">
        <v>0</v>
      </c>
      <c r="G4" s="1">
        <v>76</v>
      </c>
      <c r="H4" s="1">
        <v>70</v>
      </c>
      <c r="I4" s="1" t="str">
        <v>配文：I'm gaining Some weight
配图：一张anime女生正在吃东西的照片</v>
      </c>
      <c r="J4" s="1" t="str">
        <v>Japanese Style Anime</v>
      </c>
      <c r="K4" s="1" t="str">
        <v>Cutle girl，日本风格</v>
      </c>
      <c r="L4" t="str">
        <v>日本</v>
      </c>
      <c r="M4" s="1" t="str">
        <v>尾部达人</v>
      </c>
      <c r="N4" s="1">
        <v>3862</v>
      </c>
      <c r="O4" t="str">
        <v>#Megumin #Konosuba #animegirls #aiart</v>
      </c>
      <c r="P4" t="str">
        <v>女孩画像,可爱,日本漫画</v>
      </c>
    </row>
    <row r="5">
      <c r="A5" s="1" t="str">
        <v>AI art</v>
      </c>
      <c r="B5" s="1" t="str">
        <v>TeeKay</v>
      </c>
      <c r="C5" t="s">
        <v>4</v>
      </c>
      <c r="D5" t="str">
        <v>1k-5k</v>
      </c>
      <c r="E5" s="1">
        <v>83</v>
      </c>
      <c r="F5" s="1">
        <v>17</v>
      </c>
      <c r="G5" s="1">
        <v>12</v>
      </c>
      <c r="H5" s="1">
        <v>0</v>
      </c>
      <c r="I5" s="1" t="str">
        <v>配文：I "C-reffed" myself 
QT your goblin art
配图：一张长耳精灵/怪兽的图片</v>
      </c>
      <c r="J5" s="1" t="str">
        <v>Monster Vibe/Elf</v>
      </c>
      <c r="K5" s="1" t="str">
        <v>脸上细节重组，达人本身浏览量高</v>
      </c>
      <c r="L5" t="str">
        <v>欧洲</v>
      </c>
      <c r="M5" s="1" t="str">
        <v>腰部达人</v>
      </c>
      <c r="N5" s="1">
        <v>10700</v>
      </c>
      <c r="O5" s="1" t="str">
        <v>No</v>
      </c>
      <c r="P5" t="str">
        <v>细节丰富,怪兽,精灵,3D</v>
      </c>
      <c r="R5" s="10" t="str">
        <v>风格</v>
      </c>
      <c r="S5" s="10" t="str">
        <v>数量</v>
      </c>
      <c r="T5" s="10" t="str">
        <v>占比</v>
      </c>
      <c r="V5" s="11" t="str">
        <v>VV</v>
      </c>
      <c r="W5" s="11" t="str">
        <v>数量</v>
      </c>
      <c r="X5" s="11" t="str">
        <v>占比</v>
      </c>
    </row>
    <row r="6">
      <c r="A6" s="1" t="str">
        <v>AI art</v>
      </c>
      <c r="B6" s="1" t="str">
        <v>TeeKay</v>
      </c>
      <c r="C6" t="s">
        <v>13</v>
      </c>
      <c r="D6" t="str">
        <v>1k-5k</v>
      </c>
      <c r="E6" s="1">
        <v>221</v>
      </c>
      <c r="F6" s="1">
        <v>13</v>
      </c>
      <c r="G6" s="1">
        <v>33</v>
      </c>
      <c r="H6" s="1">
        <v>8</v>
      </c>
      <c r="I6" s="1" t="str">
        <v>配文：love this .. 
QT your neon braids
配图：一个千禧年风格的摇滚女孩</v>
      </c>
      <c r="J6" s="1" t="str">
        <v>Cool girl</v>
      </c>
      <c r="K6" s="1" t="str">
        <v>细节丰富，风格创新（除了题目给定的neon braids之外，
吸血鬼风格的牙齿和脖子上的骷髅头吊坠都是在评论和reposts
中被广泛提及和讨论的点）</v>
      </c>
      <c r="L6" t="str">
        <v>欧洲</v>
      </c>
      <c r="M6" s="1" t="str">
        <v>腰部达人</v>
      </c>
      <c r="N6" s="1">
        <v>10700</v>
      </c>
      <c r="O6" s="1" t="str">
        <v>No</v>
      </c>
      <c r="P6" t="str">
        <v>女孩画像,可爱,3D,Punk &amp; Rock,Neon,Vampire</v>
      </c>
      <c r="R6" s="5" t="str">
        <v>女孩画像</v>
      </c>
      <c r="S6" s="2">
        <v>16</v>
      </c>
      <c r="T6" s="4">
        <f>S6/20</f>
      </c>
      <c r="V6" s="3" t="str">
        <v>1-5K</v>
      </c>
      <c r="W6" s="2">
        <f>COUNTIF($D$3:$D$22,"1k-5k")</f>
      </c>
      <c r="X6" s="4">
        <f>W6/20</f>
      </c>
    </row>
    <row r="7">
      <c r="A7" s="1" t="str">
        <v>A1 art</v>
      </c>
      <c r="B7" s="1" t="str">
        <v>Teekay</v>
      </c>
      <c r="C7" t="s">
        <v>8</v>
      </c>
      <c r="D7" t="str">
        <v>5k-10k</v>
      </c>
      <c r="E7" s="1">
        <v>324</v>
      </c>
      <c r="F7" s="1">
        <v>13</v>
      </c>
      <c r="G7" s="1">
        <v>60</v>
      </c>
      <c r="H7" s="1">
        <v>13</v>
      </c>
      <c r="I7" s="1" t="str">
        <v>配文：Sometimes the angel of darkness visits in places I create,
as the architect of my dreams. 
配图：天使雕像和一片废墟</v>
      </c>
      <c r="J7" s="1" t="str">
        <v>Doomsday/Grey color</v>
      </c>
      <c r="K7" s="1" t="str">
        <v>细节丰富，构图创意</v>
      </c>
      <c r="L7" t="str">
        <v>欧洲</v>
      </c>
      <c r="M7" s="1" t="str">
        <v>腰部达人</v>
      </c>
      <c r="N7" s="1">
        <v>10700</v>
      </c>
      <c r="O7" s="1" t="str">
        <v>#Angel</v>
      </c>
      <c r="P7" t="str">
        <v>末日,建筑,天使,暗色调</v>
      </c>
      <c r="R7" s="5" t="str">
        <v>可爱</v>
      </c>
      <c r="S7" s="2">
        <v>2</v>
      </c>
      <c r="T7" s="4">
        <f>S7/20</f>
      </c>
      <c r="V7" s="3" t="str">
        <v>5-10K</v>
      </c>
      <c r="W7" s="2">
        <f>COUNTIF($D$3:$D$22,"5k-10k")</f>
      </c>
      <c r="X7" s="4">
        <f>W7/20</f>
      </c>
    </row>
    <row r="8">
      <c r="A8" s="1" t="str">
        <v>AI art</v>
      </c>
      <c r="B8" s="1" t="str">
        <v>AI CyberDreams</v>
      </c>
      <c r="C8" t="s">
        <v>5</v>
      </c>
      <c r="D8" t="str">
        <v>5k-10k</v>
      </c>
      <c r="E8" s="1">
        <v>594</v>
      </c>
      <c r="F8" s="1">
        <v>3</v>
      </c>
      <c r="G8" s="1">
        <v>90</v>
      </c>
      <c r="H8" s="1">
        <v>34</v>
      </c>
      <c r="I8" s="1" t="str">
        <v>配文：Forged in steel, I stand ready to defend humanity.
配图：高达机甲风格的巨形战士站立在城市之间，保护下方密集的人群</v>
      </c>
      <c r="J8" s="1" t="str">
        <v>Robots</v>
      </c>
      <c r="K8" s="1" t="str">
        <v>高达机甲风格本身就有很广泛的受众，机器人和地球人的结合使得构图新颖
细节丰富（机甲完成度很高）</v>
      </c>
      <c r="L8" t="str">
        <v>美国</v>
      </c>
      <c r="M8" s="1" t="str">
        <v>尾部达人</v>
      </c>
      <c r="N8" s="1">
        <v>7444</v>
      </c>
      <c r="O8" s="1" t="str">
        <v>No</v>
      </c>
      <c r="P8" t="str">
        <v>未来,机械,美国漫画,细节丰富,暗色调,Gundam Robot</v>
      </c>
      <c r="R8" s="5" t="str">
        <v>冷酷</v>
      </c>
      <c r="S8" s="2">
        <v>5</v>
      </c>
      <c r="T8" s="4">
        <f>S8/20</f>
      </c>
      <c r="V8" s="3" t="str">
        <v>10K-50K</v>
      </c>
      <c r="W8" s="2">
        <f>COUNTIF($D$3:$D$22,"10k-50k")</f>
      </c>
      <c r="X8" s="4">
        <f>W8/20</f>
      </c>
    </row>
    <row r="9">
      <c r="A9" s="1" t="str">
        <v>AI art</v>
      </c>
      <c r="B9" s="1" t="str">
        <v>MELTEN</v>
      </c>
      <c r="C9" t="s">
        <v>6</v>
      </c>
      <c r="D9" t="str">
        <v>5k-10k</v>
      </c>
      <c r="E9" s="1">
        <v>549</v>
      </c>
      <c r="F9" s="1">
        <v>5</v>
      </c>
      <c r="G9" s="1">
        <v>67</v>
      </c>
      <c r="H9" s="1">
        <v>45</v>
      </c>
      <c r="I9" s="1" t="str">
        <v>配文：QT your Muse
配图：穿着乳胶衣的性感精灵少女，黑白风格漫画</v>
      </c>
      <c r="J9" s="1" t="str">
        <v>Anime</v>
      </c>
      <c r="K9" s="1" t="str">
        <v>性感女神，身材很好</v>
      </c>
      <c r="L9" t="str">
        <v>美国</v>
      </c>
      <c r="M9" s="1" t="str">
        <v>腰部达人</v>
      </c>
      <c r="N9" s="1">
        <v>16300</v>
      </c>
      <c r="O9" s="1" t="str">
        <v>No</v>
      </c>
      <c r="P9" t="str">
        <v>女孩画像,兽人,美国漫画,性感,乳胶,黑白漫画</v>
      </c>
      <c r="R9" s="5" t="str">
        <v>细节丰富</v>
      </c>
      <c r="S9" s="2">
        <v>6</v>
      </c>
      <c r="T9" s="4">
        <f>S9/20</f>
      </c>
      <c r="V9" s="3" t="str">
        <v>50K-100K</v>
      </c>
      <c r="W9" s="2">
        <f>COUNTIF($D$3:$D$22,"50-100k")</f>
      </c>
      <c r="X9" s="4">
        <f>W9/20</f>
      </c>
    </row>
    <row r="10">
      <c r="A10" s="1" t="str">
        <v>AI art</v>
      </c>
      <c r="B10" s="1" t="str">
        <v>MELTEN</v>
      </c>
      <c r="C10" t="s">
        <v>18</v>
      </c>
      <c r="D10" t="str">
        <v>10k-50k</v>
      </c>
      <c r="E10" s="1">
        <v>1700</v>
      </c>
      <c r="F10" s="1">
        <v>11</v>
      </c>
      <c r="G10" s="1">
        <v>225</v>
      </c>
      <c r="H10" s="1">
        <v>142</v>
      </c>
      <c r="I10" s="1" t="str">
        <v>配文：Cult of Sorrow
配图：长着山羊角和halo的少女，表情凝重而悲伤</v>
      </c>
      <c r="J10" s="1" t="str">
        <v>Anime</v>
      </c>
      <c r="K10" s="1" t="str">
        <v>制作精美，元素众多，尤其是羊角和光环的碰撞</v>
      </c>
      <c r="L10" t="str">
        <v>美国</v>
      </c>
      <c r="M10" s="1" t="str">
        <v>腰部达人</v>
      </c>
      <c r="N10" s="1">
        <v>16300</v>
      </c>
      <c r="O10" s="1" t="str">
        <v>No</v>
      </c>
      <c r="P10" t="str">
        <v>女孩画像,冷酷,兽人,精灵,3D,暗色调,悲伤</v>
      </c>
      <c r="R10" s="5" t="str">
        <v>简笔画</v>
      </c>
      <c r="S10" s="2">
        <v>1</v>
      </c>
      <c r="T10" s="4">
        <f>S10/20</f>
      </c>
      <c r="V10" s="3" t="str">
        <v>100K-500k</v>
      </c>
      <c r="W10" s="2">
        <f>COUNTIF($D$3:$D$22,"100-500k")</f>
      </c>
      <c r="X10" s="4">
        <f>W10/20</f>
      </c>
    </row>
    <row r="11">
      <c r="A11" s="1" t="str">
        <v>AI art</v>
      </c>
      <c r="B11" s="1" t="str">
        <v>Oelhan</v>
      </c>
      <c r="C11" t="s">
        <v>14</v>
      </c>
      <c r="D11" t="str">
        <v>50-100k</v>
      </c>
      <c r="E11" s="1">
        <v>2500</v>
      </c>
      <c r="F11" s="1">
        <v>33</v>
      </c>
      <c r="G11" s="1">
        <v>349</v>
      </c>
      <c r="H11" s="1">
        <v>87</v>
      </c>
      <c r="I11" s="1" t="str">
        <v>配文：gm
配图：怪诞风格的动图，长者嘴巴的怪物跟着人脸在动，很难用语言描述</v>
      </c>
      <c r="J11" s="1" t="str">
        <v>Bizarre</v>
      </c>
      <c r="K11" s="1" t="str">
        <v>怪诞，吓人，但是很有趣，能够引起流量</v>
      </c>
      <c r="L11" t="str">
        <v>欧洲</v>
      </c>
      <c r="M11" s="1" t="str">
        <v>腰部达人</v>
      </c>
      <c r="N11" s="1">
        <v>39800</v>
      </c>
      <c r="O11" s="1" t="str">
        <v>No</v>
      </c>
      <c r="P11" t="str">
        <v>夸张,微恐,怪兽,3D,暗色调,怪诞,颗粒感,动图</v>
      </c>
      <c r="R11" s="5" t="str">
        <v>日本漫画</v>
      </c>
      <c r="S11" s="2">
        <v>4</v>
      </c>
      <c r="T11" s="4">
        <f>S11/20</f>
      </c>
      <c r="V11" s="3" t="str">
        <v>500K-1M</v>
      </c>
      <c r="W11" s="2">
        <f>COUNTIF($D$3:$D$22,"500k-1M")</f>
      </c>
      <c r="X11" s="4">
        <f>W11/20</f>
      </c>
    </row>
    <row r="12">
      <c r="A12" s="1" t="str">
        <v>AI art</v>
      </c>
      <c r="B12" s="1" t="str">
        <v>Oelhan</v>
      </c>
      <c r="C12" t="s">
        <v>1</v>
      </c>
      <c r="D12" t="str">
        <v>100-500k</v>
      </c>
      <c r="E12" s="1">
        <v>5900</v>
      </c>
      <c r="F12" s="1">
        <v>19</v>
      </c>
      <c r="G12" s="1">
        <v>946</v>
      </c>
      <c r="H12" s="1">
        <v>481</v>
      </c>
      <c r="I12" s="1" t="str">
        <v>配文：⋆｡°✩ ⋆⁺｡˚⋆˙‧₊✩₊‧˙⋆˚｡⁺⋆ ✩°｡⋆ .・゜゜・　　・゜゜・．
配图：怪诞风格的动图，是一个摇晃的人影，有点千禧年或者梦核的感觉</v>
      </c>
      <c r="J12" s="1" t="str">
        <v>Bizarre</v>
      </c>
      <c r="K12" s="1" t="str">
        <v>新颖，创意</v>
      </c>
      <c r="L12" t="str">
        <v>欧洲</v>
      </c>
      <c r="M12" s="1" t="str">
        <v>腰部达人</v>
      </c>
      <c r="N12" s="1">
        <v>39801</v>
      </c>
      <c r="O12" s="1" t="str">
        <v>No</v>
      </c>
      <c r="P12" t="str">
        <v>Neon,怪诞,颗粒感,动图,梦核</v>
      </c>
      <c r="R12" s="5" t="str">
        <v>美国漫画</v>
      </c>
      <c r="S12" s="2">
        <v>5</v>
      </c>
      <c r="T12" s="4">
        <f>S12/20</f>
      </c>
      <c r="V12" s="3" t="str">
        <v>1M-10M</v>
      </c>
      <c r="W12" s="2">
        <f>COUNTIF($D$3:$D$22,"1M-10M")</f>
      </c>
      <c r="X12" s="4">
        <f>W12/20</f>
      </c>
    </row>
    <row r="13">
      <c r="A13" s="1" t="str">
        <v>AI anime</v>
      </c>
      <c r="B13" s="1" t="str">
        <v>Nho Eskape</v>
      </c>
      <c r="C13" t="s">
        <v>9</v>
      </c>
      <c r="D13" t="str">
        <v>10k-50k</v>
      </c>
      <c r="E13" s="1">
        <v>1970</v>
      </c>
      <c r="F13" s="1">
        <v>9</v>
      </c>
      <c r="G13" s="1">
        <v>114</v>
      </c>
      <c r="H13" s="1">
        <v>145</v>
      </c>
      <c r="I13" s="1" t="str">
        <v>配文：Chun Li
配图：春丽画像</v>
      </c>
      <c r="J13" s="1" t="str">
        <v>Japanese Style Human Portrait</v>
      </c>
      <c r="K13" s="1" t="str">
        <v>春丽IP的自带流量, Cool girl</v>
      </c>
      <c r="L13" t="str">
        <v>日本</v>
      </c>
      <c r="M13" s="1" t="str">
        <v>尾部达人</v>
      </c>
      <c r="N13" s="1">
        <v>7170</v>
      </c>
      <c r="O13" s="1" t="str">
        <v>No</v>
      </c>
      <c r="P13" t="str">
        <v>女孩画像,冷酷,日本漫画,肌肉女孩,知名IP</v>
      </c>
      <c r="R13" s="5" t="str">
        <v>3D</v>
      </c>
      <c r="S13" s="2">
        <v>6</v>
      </c>
      <c r="T13" s="4">
        <f>S13/20</f>
      </c>
    </row>
    <row r="14">
      <c r="A14" s="1" t="str">
        <v>AI art</v>
      </c>
      <c r="B14" t="str">
        <v>Roger Haus 💮 HAI CATS</v>
      </c>
      <c r="C14" t="s">
        <v>19</v>
      </c>
      <c r="D14" t="str">
        <v>50-100k</v>
      </c>
      <c r="E14" s="1">
        <v>6700</v>
      </c>
      <c r="F14" s="1">
        <v>54</v>
      </c>
      <c r="G14" s="1">
        <v>532</v>
      </c>
      <c r="H14" s="1">
        <v>369</v>
      </c>
      <c r="I14" s="1" t="str">
        <v>配文：GM
配图：白色调，眼睛蒙着白色布的小女孩和白毛的狗</v>
      </c>
      <c r="J14" s="1" t="str">
        <v>Girl Portrait</v>
      </c>
      <c r="K14" s="1" t="str">
        <v>化作完成精良，展现出很强的故事感</v>
      </c>
      <c r="L14" t="str">
        <v>欧洲</v>
      </c>
      <c r="M14" s="1" t="str">
        <v>腰部达人</v>
      </c>
      <c r="N14" s="1">
        <v>30200</v>
      </c>
      <c r="O14" s="1" t="str">
        <v>No</v>
      </c>
      <c r="P14" t="str">
        <v>女孩画像,细节丰富,洁白无暇,脆弱感</v>
      </c>
      <c r="R14" s="5" t="str">
        <v>夸张</v>
      </c>
      <c r="S14" s="2">
        <v>6</v>
      </c>
      <c r="T14" s="4">
        <f>S14/20</f>
      </c>
    </row>
    <row r="15">
      <c r="A15" s="1" t="str">
        <v>AI art</v>
      </c>
      <c r="B15" t="str">
        <v>Roger Haus 💮 HAI CATS</v>
      </c>
      <c r="C15" t="s">
        <v>10</v>
      </c>
      <c r="D15" t="str">
        <v>50-100k</v>
      </c>
      <c r="E15" s="1">
        <v>5700</v>
      </c>
      <c r="F15" s="1">
        <v>43</v>
      </c>
      <c r="G15" s="1">
        <v>440</v>
      </c>
      <c r="H15" s="1">
        <v>316</v>
      </c>
      <c r="I15" s="1" t="str">
        <v>配文：ⓖⓜ 
配图：女孩画像，被分成两半，有两只蟾蜍分别从头部和肩膀爬出</v>
      </c>
      <c r="J15" s="1" t="str">
        <v>Girl Portrait</v>
      </c>
      <c r="K15" s="1" t="str">
        <v>怪诞，美丽但吓人</v>
      </c>
      <c r="L15" t="str">
        <v>欧洲</v>
      </c>
      <c r="M15" s="1" t="str">
        <v>腰部达人</v>
      </c>
      <c r="N15" s="1">
        <v>30200</v>
      </c>
      <c r="O15" s="1" t="str">
        <v>No</v>
      </c>
      <c r="P15" t="str">
        <v>女孩画像,夸张,怪诞,洁白无暇,脆弱感</v>
      </c>
      <c r="R15" s="1"/>
      <c r="S15" s="1"/>
      <c r="T15" s="1"/>
    </row>
    <row r="16">
      <c r="A16" s="1" t="str">
        <v>AI art</v>
      </c>
      <c r="B16" t="str">
        <v>Roger Haus 💮 HAI CATS</v>
      </c>
      <c r="C16" t="s">
        <v>15</v>
      </c>
      <c r="D16" t="str">
        <v>100-500k</v>
      </c>
      <c r="E16" s="1">
        <v>24000</v>
      </c>
      <c r="F16" s="1">
        <v>29</v>
      </c>
      <c r="G16" s="1">
        <v>1600</v>
      </c>
      <c r="H16" s="1">
        <v>1600</v>
      </c>
      <c r="I16" s="1" t="str">
        <v>配文：GN
配图：倒置过来的女孩形象</v>
      </c>
      <c r="J16" s="1" t="str">
        <v>Girl Portrait</v>
      </c>
      <c r="K16" s="1" t="str">
        <v>怪诞女孩</v>
      </c>
      <c r="L16" t="str">
        <v>欧洲</v>
      </c>
      <c r="M16" s="1" t="str">
        <v>腰部达人</v>
      </c>
      <c r="N16" s="1">
        <v>30200</v>
      </c>
      <c r="O16" s="1" t="str">
        <v>No</v>
      </c>
      <c r="P16" t="str">
        <v>女孩画像,夸张,精灵,怪诞,梦核</v>
      </c>
      <c r="Q16" s="1"/>
      <c r="R16" s="12" t="str">
        <v>地区</v>
      </c>
      <c r="S16" s="12" t="str">
        <v>数量</v>
      </c>
      <c r="T16" s="12" t="str">
        <v>占比</v>
      </c>
      <c r="U16" s="1"/>
    </row>
    <row r="17">
      <c r="A17" s="1" t="str">
        <v>AI art</v>
      </c>
      <c r="B17" t="str">
        <v>Roger Haus 💮 HAI CATS</v>
      </c>
      <c r="C17" t="s">
        <v>2</v>
      </c>
      <c r="D17" t="str">
        <v>500k-1M</v>
      </c>
      <c r="E17" s="1">
        <v>48000</v>
      </c>
      <c r="F17" s="1">
        <v>126</v>
      </c>
      <c r="G17" s="1">
        <v>4200</v>
      </c>
      <c r="H17" s="1">
        <v>3400</v>
      </c>
      <c r="I17" s="1" t="str">
        <v>配文：GM
配图：张开大嘴，有着双重牙齿的女孩形象</v>
      </c>
      <c r="J17" s="1" t="str">
        <v>Girl Portrait</v>
      </c>
      <c r="K17" s="1" t="str">
        <v>怪诞女孩，割裂感</v>
      </c>
      <c r="L17" t="str">
        <v>欧洲</v>
      </c>
      <c r="M17" s="1" t="str">
        <v>腰部达人</v>
      </c>
      <c r="N17" s="1">
        <v>30201</v>
      </c>
      <c r="O17" s="1" t="str">
        <v>No</v>
      </c>
      <c r="P17" t="str">
        <v>女孩画像,夸张,美国漫画,怪诞</v>
      </c>
      <c r="Q17" s="1"/>
      <c r="R17" s="6" t="str">
        <v>日本</v>
      </c>
      <c r="S17" s="7">
        <f>COUNTIF($L$3:$L$22,"日本")</f>
      </c>
      <c r="T17" s="8">
        <f>S17/20</f>
      </c>
      <c r="U17" s="1"/>
    </row>
    <row r="18">
      <c r="A18" s="1" t="str">
        <v>AI art</v>
      </c>
      <c r="B18" s="1" t="str">
        <v>PridefulSins</v>
      </c>
      <c r="C18" t="s">
        <v>3</v>
      </c>
      <c r="D18" t="str">
        <v>1M-10M</v>
      </c>
      <c r="E18" s="1">
        <v>22000</v>
      </c>
      <c r="F18" s="1">
        <v>176</v>
      </c>
      <c r="G18" s="1">
        <v>1400</v>
      </c>
      <c r="H18" s="1">
        <v>4100</v>
      </c>
      <c r="I18" s="1" t="str">
        <v>配文：I’m aware these are AI art but Nico Robin 
in a Lakers jersey got me feeling something
配图：Nico RobinAI漫画</v>
      </c>
      <c r="J18" s="1" t="str">
        <v>Girl Portrait</v>
      </c>
      <c r="K18" s="1" t="str">
        <v>内容具有争议性，大IP</v>
      </c>
      <c r="L18" t="str">
        <v>日本</v>
      </c>
      <c r="M18" s="1" t="str">
        <v>腰部达人</v>
      </c>
      <c r="N18" s="1">
        <v>293200</v>
      </c>
      <c r="O18" s="1" t="str">
        <v>No</v>
      </c>
      <c r="P18" t="str">
        <v>女孩画像,日本漫画,知名IP</v>
      </c>
      <c r="Q18" s="1"/>
      <c r="R18" s="6" t="str">
        <v>美国</v>
      </c>
      <c r="S18" s="7">
        <f>COUNTIF($L$3:$L$22,"美国")</f>
      </c>
      <c r="T18" s="8">
        <f>S18/20</f>
      </c>
      <c r="U18" s="1"/>
    </row>
    <row r="19">
      <c r="A19" s="1" t="str">
        <v>AI art</v>
      </c>
      <c r="B19" s="1" t="str">
        <v>BTG art</v>
      </c>
      <c r="C19" t="s">
        <v>11</v>
      </c>
      <c r="D19" t="str">
        <v>10k-50k</v>
      </c>
      <c r="E19" s="1">
        <v>1100</v>
      </c>
      <c r="F19" s="1">
        <v>9</v>
      </c>
      <c r="G19" s="1">
        <v>103</v>
      </c>
      <c r="H19" s="1">
        <v>139</v>
      </c>
      <c r="I19" s="1" t="str">
        <v>配文：Finally! I am back and with really cool illustration! 
I painted cover for upcoming comic book Vanya: The Lost Warrior #1-7
配图：性感女战士</v>
      </c>
      <c r="J19" s="1" t="str">
        <v>Girl Portrait</v>
      </c>
      <c r="K19" s="1" t="str">
        <v>女战士照片，很有张力</v>
      </c>
      <c r="L19" t="str">
        <v>美国</v>
      </c>
      <c r="M19" s="1" t="str">
        <v>尾部达人</v>
      </c>
      <c r="N19" s="1">
        <v>9121</v>
      </c>
      <c r="O19" s="1" t="str">
        <v>No</v>
      </c>
      <c r="P19" t="str">
        <v>女孩画像,夸张,美国漫画,细节丰富,3D,肌肉女孩,战士</v>
      </c>
      <c r="Q19" s="1"/>
      <c r="R19" s="6" t="str">
        <v>欧洲</v>
      </c>
      <c r="S19" s="7">
        <f>COUNTIF($L$3:$L$22,"欧洲")</f>
      </c>
      <c r="T19" s="8">
        <f>S19/20</f>
      </c>
      <c r="U19" s="1"/>
    </row>
    <row r="20">
      <c r="A20" s="1" t="str">
        <v>AI art</v>
      </c>
      <c r="B20" s="1" t="str">
        <v>あむ曇 -AMUKUMO-</v>
      </c>
      <c r="C20" t="s">
        <v>12</v>
      </c>
      <c r="D20" t="str">
        <v>1k-5k</v>
      </c>
      <c r="E20" s="1">
        <v>130</v>
      </c>
      <c r="F20" s="1">
        <v>1</v>
      </c>
      <c r="G20" s="1">
        <v>19</v>
      </c>
      <c r="H20" s="1">
        <v>0</v>
      </c>
      <c r="I20" s="1" t="str">
        <v>配文：WELCOME
配图：机械女生图像</v>
      </c>
      <c r="J20" s="1" t="str">
        <v>Japanese Style Human Portrait</v>
      </c>
      <c r="K20" s="1" t="str">
        <v>清冷机械姬和骨骼感的结合</v>
      </c>
      <c r="L20" t="str">
        <v>日本</v>
      </c>
      <c r="M20" s="1" t="str">
        <v>腰部达人</v>
      </c>
      <c r="N20" s="1">
        <v>30700</v>
      </c>
      <c r="O20" s="1" t="str">
        <v>NO</v>
      </c>
      <c r="P20" t="str">
        <v>女孩画像,夸张,日本漫画,细节丰富,3D,怪诞</v>
      </c>
      <c r="Q20" s="1"/>
      <c r="R20" s="6" t="str">
        <v>加拿大</v>
      </c>
      <c r="S20" s="7">
        <f>COUNTIF($L$3:$L$22,"加拿大")</f>
      </c>
      <c r="T20" s="8">
        <f>S20/20</f>
      </c>
      <c r="U20" s="1"/>
    </row>
    <row r="21">
      <c r="A21" s="1" t="str">
        <v>AI art</v>
      </c>
      <c r="B21" s="1" t="str">
        <v>Birdie</v>
      </c>
      <c r="C21" t="s">
        <v>20</v>
      </c>
      <c r="D21" t="str">
        <v>5k-10k</v>
      </c>
      <c r="E21" s="1">
        <v>331</v>
      </c>
      <c r="F21" s="1">
        <v>6</v>
      </c>
      <c r="G21" s="1">
        <v>33</v>
      </c>
      <c r="H21" s="1">
        <v>31</v>
      </c>
      <c r="I21" s="1" t="str">
        <v>配文：QT your blue hair art 
配图：蓝色头发女生</v>
      </c>
      <c r="J21" s="1" t="str">
        <v>Girl Portrait</v>
      </c>
      <c r="K21" s="1" t="str">
        <v>话题讨论贴，讨论度高</v>
      </c>
      <c r="L21" t="str">
        <v>美国</v>
      </c>
      <c r="M21" s="1" t="str">
        <v>尾部达人</v>
      </c>
      <c r="N21" s="1">
        <v>6746</v>
      </c>
      <c r="O21" s="1" t="str">
        <v>No</v>
      </c>
      <c r="P21" t="str">
        <v>女孩画像,冷酷,简笔画,暗色调</v>
      </c>
      <c r="R21" s="1"/>
      <c r="S21" s="1"/>
      <c r="T21" s="1"/>
    </row>
    <row r="22">
      <c r="A22" s="1" t="str" xml:space="preserve">
        <v>Digital Art </v>
      </c>
      <c r="B22" s="1" t="str">
        <v>Sam Yang</v>
      </c>
      <c r="C22" t="s">
        <v>7</v>
      </c>
      <c r="D22" t="str">
        <v>100-500k</v>
      </c>
      <c r="E22" s="1">
        <v>18000</v>
      </c>
      <c r="F22" s="1">
        <v>46</v>
      </c>
      <c r="G22" s="1">
        <v>1500</v>
      </c>
      <c r="H22" s="1">
        <v>840</v>
      </c>
      <c r="I22" s="1" t="str">
        <v>配文：Morning Sun
配图：黑色头发女生头像</v>
      </c>
      <c r="J22" s="1" t="str">
        <v>Girl Portrait</v>
      </c>
      <c r="K22" s="1" t="str">
        <v>制作精美</v>
      </c>
      <c r="L22" t="str">
        <v>加拿大</v>
      </c>
      <c r="M22" s="1" t="str">
        <v>头部达人</v>
      </c>
      <c r="N22" s="1">
        <v>462200</v>
      </c>
      <c r="O22" s="1" t="str">
        <v>#DigitalArt</v>
      </c>
      <c r="P22" t="str">
        <v>女孩画像,冷酷,美国漫画,战士</v>
      </c>
    </row>
  </sheetData>
  <dataValidations count="5">
    <dataValidation allowBlank="true" errorStyle="stop" showErrorMessage="true" sqref="D3:D22" type="list">
      <formula1>"100-500,500-1k,1k-5k,5k-10k,10k-50k,50-100k,100-500k,500k-1M,1M-10M,10M+"</formula1>
    </dataValidation>
    <dataValidation allowBlank="true" errorStyle="stop" showErrorMessage="true" sqref="P3:P22" type="list">
      <formula1>"女孩画像,冷酷,可爱,未来,机械,兽人,夸张,滑稽漫画,日本漫画,美国漫画,细节丰富,简笔画,微恐,重恐,怪兽,精灵,3D,Punk &amp; Rock,Neon,Vampire,末日,建筑,天使,暗色调,Gundam Robot,性感,乳胶,黑白漫画,悲伤,怪诞,颗粒感,动图,梦核,肌肉女孩,知名IP,洁白无暇,脆弱感,历史人物,Midjourney,逼真人物,使用教程,话题讨论（Controversial),战士"</formula1>
    </dataValidation>
    <dataValidation allowBlank="true" errorStyle="stop" showErrorMessage="true" sqref="J3:J22" type="list">
      <formula1>"Japanese Style Human Portrait,Japanese Style Anime,Japanese Cute Avatar,Monster Vibe/Elf,Cool girl,Doomsday/Grey color,Robots,Anime,Bizarre,Girl Portrait,Character Portrait,Tutorial,Futuristic pictures,Topic Discussion"</formula1>
    </dataValidation>
    <dataValidation allowBlank="true" errorStyle="stop" showErrorMessage="true" sqref="L3:L22" type="list">
      <formula1>"日本,美国,欧洲,加拿大"</formula1>
    </dataValidation>
    <dataValidation allowBlank="true" errorStyle="stop" showErrorMessage="true" sqref="M3:M22" type="list">
      <formula1>"行业代表,头部达人,腰部达人,尾部达人"</formula1>
    </dataValidation>
  </dataValidations>
  <hyperlinks>
    <hyperlink ref="C15" display="https://twitter.com/RogerHaus/status/1768657783753466307" r:id="rId1"/>
    <hyperlink ref="C16" display="https://twitter.com/RogerHaus/status/1767336790426300807" r:id="rId2"/>
    <hyperlink ref="C12" display="https://twitter.com/oelhan_tv/status/1761073181195153663" r:id="rId3"/>
    <hyperlink ref="C21" display="https://twitter.com/birdieaiart/status/1769103491786473628" r:id="rId4"/>
    <hyperlink ref="C9" display="https://twitter.com/meltenx/status/1769100083394388233" r:id="rId5"/>
    <hyperlink ref="C19" display="https://twitter.com/BTG_Art/status/1769045016247157142" r:id="rId6"/>
    <hyperlink ref="C20" display="https://twitter.com/xxLONGOLONGOxx/status/1769322563061387398" r:id="rId7"/>
    <hyperlink ref="C6" display="https://twitter.com/hq_thekonsept/status/1769038093695230119" r:id="rId8"/>
    <hyperlink ref="C10" display="https://twitter.com/meltenx/status/1769391015365169304" r:id="rId9"/>
    <hyperlink ref="C22" display="https://twitter.com/samdoesarts/status/1769393865780273656" r:id="rId10"/>
    <hyperlink ref="C3" display="https://twitter.com/ShironekoAI_84/status/1768166464761033174" r:id="rId11"/>
    <hyperlink ref="C4" display="https://twitter.com/peach_3d_ai/status/1769465073905357103" r:id="rId12"/>
    <hyperlink ref="C5" display="https://twitter.com/hq_thekonsept/status/1769335459753148441" r:id="rId13"/>
    <hyperlink ref="C11" display="https://twitter.com/oelhan_tv/status/1673360471959961600" r:id="rId14"/>
    <hyperlink ref="C8" display="https://twitter.com/AI_CyberDreams/status/1768918389521596486" r:id="rId15"/>
    <hyperlink ref="C7" display="https://twitter.com/hq_thekonsept/status/1768952729458585662" r:id="rId16"/>
    <hyperlink ref="C14" display="https://twitter.com/RogerHaus/status/1769333505341718794" r:id="rId17"/>
    <hyperlink ref="C13" display="https://twitter.com/nhoeskape/status/1768997160094249175" r:id="rId18"/>
    <hyperlink ref="C17" display="https://twitter.com/RogerHaus/status/1763934488608886938" r:id="rId19"/>
    <hyperlink ref="C18" display="https://twitter.com/ReignOfPride/status/1769117540502946112" r:id="rId20"/>
  </hyperlinks>
  <picture r:id="rId2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1" min="1" style="0" width="9"/>
    <col collapsed="false" customWidth="true" hidden="false" max="2" min="2" style="0" width="15"/>
    <col collapsed="false" customWidth="true" hidden="false" max="3" min="3" style="0" width="51"/>
    <col collapsed="false" customWidth="true" hidden="false" max="4" min="4" style="0" width="11"/>
    <col collapsed="false" customWidth="true" hidden="false" max="5" min="5" style="0" width="6"/>
    <col collapsed="false" customWidth="true" hidden="false" max="6" min="6" style="0" width="8"/>
    <col collapsed="false" customWidth="true" hidden="false" max="7" min="7" style="0" width="6"/>
    <col collapsed="false" customWidth="true" hidden="false" max="8" min="8" style="0" width="9"/>
    <col collapsed="false" customWidth="true" hidden="false" max="9" min="9" style="0" width="76"/>
    <col collapsed="false" customWidth="true" hidden="false" max="10" min="10" style="0" width="28"/>
    <col collapsed="false" customWidth="true" hidden="false" max="11" min="11" style="0" width="56"/>
    <col collapsed="false" customWidth="true" hidden="false" max="12" min="12" style="0" width="8"/>
    <col collapsed="false" customWidth="true" hidden="false" max="13" min="13" style="0" width="12"/>
    <col collapsed="false" customWidth="true" hidden="false" max="14" min="14" style="0" width="11"/>
    <col collapsed="false" customWidth="true" hidden="false" max="15" min="15" style="0" width="11"/>
    <col collapsed="false" customWidth="true" hidden="false" max="16" min="16" style="0" width="62"/>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 collapsed="false" customWidth="true" hidden="false" max="21" min="21" style="0" width="14"/>
    <col collapsed="false" customWidth="true" hidden="false" max="22" min="22" style="0" width="14"/>
    <col collapsed="false" customWidth="true" hidden="false" max="23" min="23" style="0" width="14"/>
    <col collapsed="false" customWidth="true" hidden="false" max="24" min="24" style="0" width="14"/>
    <col collapsed="false" customWidth="true" hidden="false" max="25" min="25" style="0" width="14"/>
    <col collapsed="false" customWidth="true" hidden="false" max="26" min="26" style="0" width="14"/>
  </cols>
  <sheetData>
    <row customHeight="true" ht="147" r="1">
      <c r="A1" s="9" t="str">
        <v>Midjourney twitter高热内容调研总结：
1. 地区为美国居多
2. 风格更加偏逼真，体现在对细节的专注和打磨
3. VV集中在50-100K左右，讨论度在AI生图方向上还是比较高
4. Tutorial内容浏览多
5. 有安排中部、头部达人进行运营
6. 新上的Character生成功能引起广泛讨论（争议性很大，一方面有人乐意使用，另一方面也有人抗议AI违法）</v>
      </c>
      <c r="B1" s="1"/>
      <c r="C1" s="1"/>
      <c r="D1" s="1"/>
      <c r="E1" s="1"/>
      <c r="F1" s="1"/>
      <c r="G1" s="1"/>
      <c r="H1" s="1"/>
      <c r="I1" s="1"/>
      <c r="J1" s="1"/>
      <c r="K1" s="1"/>
      <c r="L1" s="1"/>
      <c r="M1" s="1"/>
      <c r="N1" s="1"/>
      <c r="O1" s="1"/>
      <c r="P1" s="1"/>
    </row>
    <row r="2">
      <c r="A2" s="1" t="str">
        <v>关键词</v>
      </c>
      <c r="B2" s="1" t="str">
        <v>账户ID</v>
      </c>
      <c r="C2" s="1" t="str">
        <v>post链接</v>
      </c>
      <c r="D2" s="1" t="str">
        <v>VV量级</v>
      </c>
      <c r="E2" s="1" t="str">
        <v>Like</v>
      </c>
      <c r="F2" s="1" t="str">
        <v>Comment</v>
      </c>
      <c r="G2" s="1" t="str">
        <v>Repost</v>
      </c>
      <c r="H2" s="1" t="str">
        <v>Bookmark</v>
      </c>
      <c r="I2" s="1" t="str">
        <v>内容</v>
      </c>
      <c r="J2" s="1" t="str">
        <v>风格</v>
      </c>
      <c r="K2" s="1" t="str">
        <v>试分析爆点（用户喜欢原因）</v>
      </c>
      <c r="L2" s="1" t="str">
        <v>地区</v>
      </c>
      <c r="M2" s="1" t="str">
        <v>账号等级</v>
      </c>
      <c r="N2" s="1" t="str">
        <v>账号followers</v>
      </c>
      <c r="O2" s="1" t="str">
        <v>hashtag</v>
      </c>
      <c r="P2" s="1" t="str">
        <v>分类</v>
      </c>
    </row>
    <row r="3">
      <c r="A3" s="1" t="str">
        <v>Midjourney</v>
      </c>
      <c r="B3" s="1" t="str">
        <v>Artificial World</v>
      </c>
      <c r="C3" t="s">
        <v>21</v>
      </c>
      <c r="D3" t="str">
        <v>50-100k</v>
      </c>
      <c r="E3" s="1">
        <v>264</v>
      </c>
      <c r="F3" s="1">
        <v>8</v>
      </c>
      <c r="G3" s="1">
        <v>31</v>
      </c>
      <c r="H3" s="1">
        <v>110</v>
      </c>
      <c r="I3" s="1" t="str">
        <v>配文：I used Midjourney v6 to create images of historical figures who lived before 
the advent of photography in an aesthetic inspired by Grimes. The results are powerful.
1. Cleopatra
配图：配图为用midjourney生成的埃及艳后Cleopatra图片，
下方评论中还附加了midjourney生成的其他角色图片，包括Jesus
Martin Luther等</v>
      </c>
      <c r="J3" s="1" t="str">
        <v>Character Portrait</v>
      </c>
      <c r="K3" s="1" t="str">
        <v>用广为人知的人物作AI生成画像，图片精美</v>
      </c>
      <c r="L3" t="str">
        <v>美国</v>
      </c>
      <c r="M3" s="1" t="str">
        <v>腰部达人</v>
      </c>
      <c r="N3" s="1">
        <v>26200</v>
      </c>
      <c r="O3" s="1" t="str">
        <v>No</v>
      </c>
      <c r="P3" t="str">
        <v>细节丰富,历史人物,Midjourney</v>
      </c>
    </row>
    <row r="4">
      <c r="A4" s="1" t="str">
        <v>Midjourney</v>
      </c>
      <c r="B4" s="1" t="str">
        <v>Artificial World</v>
      </c>
      <c r="C4" t="s">
        <v>26</v>
      </c>
      <c r="D4" t="str">
        <v>1M-10M</v>
      </c>
      <c r="E4" s="1">
        <v>36000</v>
      </c>
      <c r="F4" s="1">
        <v>679</v>
      </c>
      <c r="G4" s="1">
        <v>3000</v>
      </c>
      <c r="H4" s="1">
        <v>49000</v>
      </c>
      <c r="I4" s="1" t="str">
        <v>配文：Midjourney is Pretty Wild
配图：女孩画像，特别精致，皮肤的纹理都清晰可见</v>
      </c>
      <c r="J4" s="1" t="str">
        <v>Girl Portrait</v>
      </c>
      <c r="K4" s="1" t="str">
        <v>生成图片精美，皮肤纹理清晰可见</v>
      </c>
      <c r="L4" t="str">
        <v>美国</v>
      </c>
      <c r="M4" s="1" t="str">
        <v>腰部达人</v>
      </c>
      <c r="N4" s="1">
        <v>26200</v>
      </c>
      <c r="O4" s="1" t="str">
        <v>No</v>
      </c>
      <c r="P4" t="str">
        <v>女孩画像,细节丰富,Midjourney,逼真人物</v>
      </c>
      <c r="R4" s="10" t="str">
        <v>风格</v>
      </c>
      <c r="S4" s="10" t="str">
        <v>数量</v>
      </c>
      <c r="T4" s="10" t="str">
        <v>占比</v>
      </c>
      <c r="V4" s="11" t="str">
        <v>VV</v>
      </c>
      <c r="W4" s="11" t="str">
        <v>数量</v>
      </c>
      <c r="X4" s="11" t="str">
        <v>占比</v>
      </c>
    </row>
    <row r="5">
      <c r="A5" s="1" t="str">
        <v>Midjourney</v>
      </c>
      <c r="B5" s="1" t="str">
        <v>Chase Lean</v>
      </c>
      <c r="C5" t="s">
        <v>27</v>
      </c>
      <c r="D5" t="str">
        <v>50-100k</v>
      </c>
      <c r="E5" s="1">
        <v>264</v>
      </c>
      <c r="F5" s="1">
        <v>10</v>
      </c>
      <c r="G5" s="1">
        <v>32</v>
      </c>
      <c r="H5" s="1">
        <v>457</v>
      </c>
      <c r="I5" s="1" t="str">
        <v>配文：Here's an easy way to change the style of an image but keep the same character and pose:
配图：女孩画像在style change之前和之后的对比效果</v>
      </c>
      <c r="J5" s="1" t="str">
        <v>Tutorial</v>
      </c>
      <c r="K5" s="1" t="str">
        <v>关于怎么使用midjourney进行style changing的教程</v>
      </c>
      <c r="L5" t="str">
        <v>美国</v>
      </c>
      <c r="M5" s="1" t="str">
        <v>腰部达人</v>
      </c>
      <c r="N5" s="1">
        <v>60200</v>
      </c>
      <c r="O5" s="1" t="str">
        <v>No</v>
      </c>
      <c r="P5" t="str">
        <v>女孩画像,细节丰富,Midjourney,逼真人物,使用教程</v>
      </c>
      <c r="R5" s="5" t="str">
        <v>女孩画像</v>
      </c>
      <c r="S5" s="2">
        <v>4</v>
      </c>
      <c r="T5" s="4">
        <f>S5/10</f>
      </c>
      <c r="V5" s="3" t="str">
        <v>1-5K</v>
      </c>
      <c r="W5" s="2">
        <f>COUNTIF($D$3:$D$22,"1k-5k")</f>
      </c>
      <c r="X5" s="4">
        <f>W5/10</f>
      </c>
    </row>
    <row r="6">
      <c r="A6" s="1" t="str">
        <v>Midjourney</v>
      </c>
      <c r="B6" s="1" t="str">
        <v>Teekay</v>
      </c>
      <c r="C6" t="s">
        <v>23</v>
      </c>
      <c r="D6" t="str">
        <v>5k-10k</v>
      </c>
      <c r="E6" s="1">
        <v>255</v>
      </c>
      <c r="F6" s="1">
        <v>26</v>
      </c>
      <c r="G6" s="1">
        <v>41</v>
      </c>
      <c r="H6" s="1">
        <v>52</v>
      </c>
      <c r="I6" s="1" t="str">
        <v>配文： Venice 2.0 in 40 years 
QT or share your futuristic city
(Prompt in alts for reference)
配图：未来40年的威尼斯水城演化史</v>
      </c>
      <c r="J6" s="1" t="str">
        <v>Futuristic pictures</v>
      </c>
      <c r="K6" s="1" t="str">
        <v>Midjourney生成的未来城市的教程</v>
      </c>
      <c r="L6" t="str">
        <v>欧洲</v>
      </c>
      <c r="M6" s="1" t="str">
        <v>腰部达人</v>
      </c>
      <c r="N6" s="1">
        <v>10700</v>
      </c>
      <c r="O6" s="1" t="str">
        <v>#Midjourney</v>
      </c>
      <c r="P6" t="str">
        <v>未来,建筑,Midjourney</v>
      </c>
      <c r="R6" s="5" t="str">
        <v>教程</v>
      </c>
      <c r="S6" s="2">
        <v>4</v>
      </c>
      <c r="T6" s="4">
        <f>S6/10</f>
      </c>
      <c r="V6" s="3" t="str">
        <v>5-10K</v>
      </c>
      <c r="W6" s="2">
        <f>COUNTIF($D$3:$D$22,"5k-10k")</f>
      </c>
      <c r="X6" s="4">
        <f>W6/10</f>
      </c>
    </row>
    <row r="7">
      <c r="A7" s="1" t="str">
        <v>Midjourney</v>
      </c>
      <c r="B7" s="1" t="str">
        <v>Reid Southen</v>
      </c>
      <c r="C7" t="s">
        <v>28</v>
      </c>
      <c r="D7" t="str">
        <v>50-100k</v>
      </c>
      <c r="E7" s="1">
        <v>1200</v>
      </c>
      <c r="F7" s="1">
        <v>40</v>
      </c>
      <c r="G7" s="1">
        <v>309</v>
      </c>
      <c r="H7" s="1">
        <v>111</v>
      </c>
      <c r="I7" s="1" t="s">
        <v>29</v>
      </c>
      <c r="J7" s="1" t="str">
        <v>Character Portrait</v>
      </c>
      <c r="K7" s="1" t="str">
        <v>对于Midjourney在unauthorized的情况下随意生成有copyright角色的不满</v>
      </c>
      <c r="L7" t="str">
        <v>美国</v>
      </c>
      <c r="M7" s="1" t="str">
        <v>腰部达人</v>
      </c>
      <c r="N7" s="1">
        <v>11700</v>
      </c>
      <c r="O7" s="1" t="str">
        <v>No</v>
      </c>
      <c r="P7" t="str">
        <v>3D,知名IP,Midjourney,话题讨论（Controversial)</v>
      </c>
      <c r="R7" s="5" t="str">
        <v>逼真人物</v>
      </c>
      <c r="S7" s="2">
        <v>4</v>
      </c>
      <c r="T7" s="4">
        <f>S7/10</f>
      </c>
      <c r="V7" s="3" t="str">
        <v>10K-50K</v>
      </c>
      <c r="W7" s="2">
        <f>COUNTIF($D$3:$D$22,"10k-50k")</f>
      </c>
      <c r="X7" s="4">
        <f>W7/10</f>
      </c>
    </row>
    <row r="8">
      <c r="A8" s="1" t="str">
        <v>Midjourney</v>
      </c>
      <c r="B8" s="1" t="str">
        <v>Min Choi</v>
      </c>
      <c r="C8" t="s">
        <v>24</v>
      </c>
      <c r="D8" t="str">
        <v>100-500k</v>
      </c>
      <c r="E8" s="1">
        <v>815</v>
      </c>
      <c r="F8" s="1">
        <v>21</v>
      </c>
      <c r="G8" s="1">
        <v>82</v>
      </c>
      <c r="H8" s="1">
        <v>979</v>
      </c>
      <c r="I8" s="1" t="str">
        <v>配文：Less than 6 days ago, Midjourney dropped Character Consistency feature. 
And people have been getting incredible results.
And it's not just for characters, it also works for product photography!
10 examples:
配图：Midjourney generative characters的一些配图</v>
      </c>
      <c r="J8" s="1" t="str">
        <v>Character Portrait</v>
      </c>
      <c r="K8" s="1" t="str">
        <v>Midjourney新功能宣传，在关键消费数据中明显bookmark的数量居多</v>
      </c>
      <c r="L8" t="str">
        <v>美国</v>
      </c>
      <c r="M8" s="1" t="str">
        <v>腰部达人</v>
      </c>
      <c r="N8" s="1">
        <v>48000</v>
      </c>
      <c r="O8" s="1" t="str">
        <v>No</v>
      </c>
      <c r="P8" t="str">
        <v>细节丰富,3D,Midjourney,逼真人物,Character生成,宣传性内容</v>
      </c>
      <c r="R8" s="5" t="str">
        <v>细节丰富</v>
      </c>
      <c r="S8" s="2">
        <v>4</v>
      </c>
      <c r="T8" s="4">
        <f>S8/10</f>
      </c>
      <c r="V8" s="3" t="str">
        <v>50K-100K</v>
      </c>
      <c r="W8" s="2">
        <f>COUNTIF($D$3:$D$22,"50-100k")</f>
      </c>
      <c r="X8" s="4">
        <f>W8/10</f>
      </c>
    </row>
    <row r="9">
      <c r="A9" s="1" t="str">
        <v>Midjourney</v>
      </c>
      <c r="B9" s="1" t="str">
        <v>Tech Halla</v>
      </c>
      <c r="C9" t="s">
        <v>22</v>
      </c>
      <c r="D9" t="str">
        <v>10k-50k</v>
      </c>
      <c r="E9" s="1">
        <v>370</v>
      </c>
      <c r="F9" s="1">
        <v>15</v>
      </c>
      <c r="G9" s="1">
        <v>56</v>
      </c>
      <c r="H9" s="1">
        <v>412</v>
      </c>
      <c r="I9" s="1" t="str">
        <v>配文：MidJourney has just incorporated the most desired feature by the community, character consistency.
Let me tell you how you can start using it.
配图：Midjourney generative characters的一些配图</v>
      </c>
      <c r="J9" s="1" t="str">
        <v>Tutorial</v>
      </c>
      <c r="K9" s="1" t="str">
        <v>Midjourney Character生成的一些prompt帮助</v>
      </c>
      <c r="L9" t="str">
        <v>欧洲</v>
      </c>
      <c r="M9" s="1" t="str">
        <v>腰部达人</v>
      </c>
      <c r="N9" s="1">
        <v>18800</v>
      </c>
      <c r="O9" s="1" t="str">
        <v>No</v>
      </c>
      <c r="P9" t="str">
        <v>女孩画像,细节丰富,Midjourney,逼真人物,使用教程,宣传性内容</v>
      </c>
      <c r="R9" s="5" t="str">
        <v>简笔画</v>
      </c>
      <c r="S9" s="2">
        <v>1</v>
      </c>
      <c r="T9" s="4">
        <f>S9/10</f>
      </c>
      <c r="V9" s="3" t="str">
        <v>100K-500k</v>
      </c>
      <c r="W9" s="2">
        <f>COUNTIF($D$3:$D$22,"100-500k")</f>
      </c>
      <c r="X9" s="4">
        <f>W9/10</f>
      </c>
    </row>
    <row r="10">
      <c r="A10" s="1" t="str">
        <v>Midjourney</v>
      </c>
      <c r="B10" s="1" t="str">
        <v>Riss</v>
      </c>
      <c r="C10" t="s">
        <v>30</v>
      </c>
      <c r="D10" t="str">
        <v>10k-50k</v>
      </c>
      <c r="E10" s="1">
        <v>1200</v>
      </c>
      <c r="F10" s="1">
        <v>4</v>
      </c>
      <c r="G10" s="1">
        <v>131</v>
      </c>
      <c r="H10" s="1">
        <v>70</v>
      </c>
      <c r="I10" s="1" t="str">
        <v>配文：No music, no life
配图：弹吉他的少女</v>
      </c>
      <c r="J10" s="1" t="str">
        <v>Japanese Style Human Portrait</v>
      </c>
      <c r="K10" s="1" t="str">
        <v>不像AI生成的话，特别像手绘</v>
      </c>
      <c r="L10" t="str">
        <v>日本</v>
      </c>
      <c r="M10" s="1" t="str">
        <v>尾部达人</v>
      </c>
      <c r="N10" s="1">
        <v>672</v>
      </c>
      <c r="O10" s="1" t="str">
        <v>NO</v>
      </c>
      <c r="P10" t="str">
        <v>女孩画像,日本漫画,简笔画,Midjourney</v>
      </c>
      <c r="R10" s="5" t="str">
        <v>日本漫画</v>
      </c>
      <c r="S10" s="2">
        <v>1</v>
      </c>
      <c r="T10" s="4">
        <f>S10/10</f>
      </c>
      <c r="V10" s="3" t="str">
        <v>500K-1M</v>
      </c>
      <c r="W10" s="2">
        <f>COUNTIF($D$3:$D$22,"500k-1M")</f>
      </c>
      <c r="X10" s="4">
        <f>W10/10</f>
      </c>
    </row>
    <row r="11">
      <c r="A11" s="1" t="str">
        <v>Midjourney</v>
      </c>
      <c r="B11" s="1" t="str">
        <v>Tatiana Tisguleva</v>
      </c>
      <c r="C11" t="s">
        <v>25</v>
      </c>
      <c r="D11" t="str">
        <v>5k-10k</v>
      </c>
      <c r="E11" s="1">
        <v>83</v>
      </c>
      <c r="F11" s="1">
        <v>3</v>
      </c>
      <c r="G11" s="1">
        <v>2</v>
      </c>
      <c r="H11" s="1">
        <v>45</v>
      </c>
      <c r="I11" s="1" t="str">
        <v>配文：The prompt is in the thread
配图：Midjjourney生成的两张图片，头部被一些镭射的丝带遮住</v>
      </c>
      <c r="J11" s="1" t="str">
        <v>Bizarre</v>
      </c>
      <c r="K11" s="1" t="str">
        <v>生成图下面还配了prompts</v>
      </c>
      <c r="L11" t="str">
        <v>加拿大</v>
      </c>
      <c r="M11" s="1" t="str">
        <v>腰部达人</v>
      </c>
      <c r="N11" s="1">
        <v>33400</v>
      </c>
      <c r="O11" s="1" t="str">
        <v>#Midjourney</v>
      </c>
      <c r="P11" t="str">
        <v>未来,夸张,3D,Neon,Midjourney,使用教程</v>
      </c>
      <c r="R11" s="5" t="str">
        <v>未来</v>
      </c>
      <c r="S11" s="2">
        <v>2</v>
      </c>
      <c r="T11" s="4">
        <f>S11/10</f>
      </c>
      <c r="V11" s="3" t="str">
        <v>1M-10M</v>
      </c>
      <c r="W11" s="2">
        <f>COUNTIF($D$3:$D$22,"1M-10M")</f>
      </c>
      <c r="X11" s="4">
        <f>W11/10</f>
      </c>
    </row>
    <row r="12">
      <c r="A12" s="1" t="str">
        <v>Midjourney</v>
      </c>
      <c r="B12" s="1" t="str">
        <v>Alie Jules</v>
      </c>
      <c r="C12" t="s">
        <v>31</v>
      </c>
      <c r="D12" t="str">
        <v>50-100k</v>
      </c>
      <c r="E12" s="1">
        <v>377</v>
      </c>
      <c r="F12" s="1">
        <v>4</v>
      </c>
      <c r="G12" s="1">
        <v>56</v>
      </c>
      <c r="H12" s="1">
        <v>669</v>
      </c>
      <c r="I12" s="1" t="str">
        <v>配文：tile parameter in Midjourney - Tutorial
Including prompts.
配图：文章封面：Midjourney Tutorial</v>
      </c>
      <c r="J12" s="1" t="str">
        <v>Tutorial</v>
      </c>
      <c r="K12" s="1" t="str">
        <v>很详细的Tutorial</v>
      </c>
      <c r="L12" t="str">
        <v>美国</v>
      </c>
      <c r="M12" s="1" t="str">
        <v>腰部达人</v>
      </c>
      <c r="N12" s="1">
        <v>28500</v>
      </c>
      <c r="O12" s="1" t="str">
        <v>No</v>
      </c>
      <c r="P12" t="str">
        <v>Midjourney,使用教程</v>
      </c>
      <c r="R12" s="5" t="str">
        <v>3D</v>
      </c>
      <c r="S12" s="2">
        <v>3</v>
      </c>
      <c r="T12" s="4">
        <f>S12/10</f>
      </c>
    </row>
    <row r="13">
      <c r="R13" s="5" t="str">
        <v>夸张</v>
      </c>
      <c r="S13" s="2">
        <v>1</v>
      </c>
      <c r="T13" s="4">
        <f>S13/10</f>
      </c>
    </row>
    <row r="14"/>
    <row r="15"/>
    <row r="16">
      <c r="R16" s="12" t="str">
        <v>地区</v>
      </c>
      <c r="S16" s="12" t="str">
        <v>数量</v>
      </c>
      <c r="T16" s="12" t="str">
        <v>占比</v>
      </c>
    </row>
    <row r="17">
      <c r="R17" s="6" t="str">
        <v>日本</v>
      </c>
      <c r="S17" s="7">
        <f>COUNTIF($L$3:$L$22,"日本")</f>
      </c>
      <c r="T17" s="8">
        <f>S17/10</f>
      </c>
    </row>
    <row r="18">
      <c r="R18" s="6" t="str">
        <v>美国</v>
      </c>
      <c r="S18" s="7">
        <f>COUNTIF($L$3:$L$22,"美国")</f>
      </c>
      <c r="T18" s="8">
        <f>S18/10</f>
      </c>
    </row>
    <row r="19">
      <c r="R19" s="6" t="str">
        <v>欧洲</v>
      </c>
      <c r="S19" s="7">
        <f>COUNTIF($L$3:$L$22,"欧洲")</f>
      </c>
      <c r="T19" s="8">
        <f>S19/10</f>
      </c>
    </row>
    <row r="20">
      <c r="R20" s="6" t="str">
        <v>加拿大</v>
      </c>
      <c r="S20" s="7">
        <f>COUNTIF($L$3:$L$22,"加拿大")</f>
      </c>
      <c r="T20" s="8">
        <f>S20/10</f>
      </c>
    </row>
  </sheetData>
  <dataValidations count="5">
    <dataValidation allowBlank="true" errorStyle="stop" showErrorMessage="true" sqref="D3:D12" type="list">
      <formula1>"100-500,500-1k,1k-5k,5k-10k,10k-50k,50-100k,100-500k,500k-1M,1M-10M,10M+"</formula1>
    </dataValidation>
    <dataValidation allowBlank="true" errorStyle="stop" showErrorMessage="true" sqref="P3:P12" type="list">
      <formula1>"女孩画像,冷酷,可爱,未来,机械,兽人,夸张,滑稽漫画,日本漫画,美国漫画,细节丰富,简笔画,微恐,重恐,怪兽,精灵,3D,Punk &amp; Rock,Neon,Vampire,末日,建筑,天使,暗色调,Gundam Robot,性感,乳胶,黑白漫画,悲伤,怪诞,颗粒感,动图,梦核,肌肉女孩,知名IP,洁白无暇,脆弱感,历史人物,Midjourney,逼真人物,使用教程,话题讨论（Controversial),战士,Character生成,宣传性内容"</formula1>
    </dataValidation>
    <dataValidation allowBlank="true" errorStyle="stop" showErrorMessage="true" sqref="J3:J12" type="list">
      <formula1>"Japanese Style Human Portrait,Japanese Style Anime,Japanese Cute Avatar,Monster Vibe/Elf,Cool girl,Doomsday/Grey color,Robots,Anime,Bizarre,Girl Portrait,Character Portrait,Tutorial,Futuristic pictures,Topic Discussion"</formula1>
    </dataValidation>
    <dataValidation allowBlank="true" errorStyle="stop" showErrorMessage="true" sqref="L3:L12" type="list">
      <formula1>"日本,美国,欧洲,加拿大"</formula1>
    </dataValidation>
    <dataValidation allowBlank="true" errorStyle="stop" showErrorMessage="true" sqref="M3:M12" type="list">
      <formula1>"行业代表,头部达人,腰部达人,尾部达人"</formula1>
    </dataValidation>
  </dataValidations>
  <hyperlinks>
    <hyperlink ref="C3" display="https://twitter.com/ARTiV3RSE/status/1769547273044643919" r:id="rId1"/>
    <hyperlink ref="C9" display="https://twitter.com/techhalla/status/1767513931918999821" r:id="rId2"/>
    <hyperlink ref="C7" display="https://twitter.com/Rahll/status/1767355282739380734" r:id="rId3"/>
    <hyperlink ref="C6" display="https://twitter.com/hq_thekonsept/status/1768320798865940544" r:id="rId4"/>
    <hyperlink ref="C8" display="https://twitter.com/minchoi/status/1769227867639210030" r:id="rId5"/>
    <hyperlink ref="C12" display="https://twitter.com/aliejules/status/1769431357929709573" r:id="rId6"/>
    <hyperlink ref="C11" display="https://twitter.com/ciguleva/status/1769477451640619046" r:id="rId7"/>
    <hyperlink ref="C4" display="https://twitter.com/ARTiV3RSE/status/1656685106117869568" r:id="rId8"/>
    <hyperlink ref="C10" display="https://twitter.com/riss3369/status/1769339526185635889" r:id="rId9"/>
    <hyperlink ref="C5" display="https://twitter.com/chaseleantj/status/1765592900526842265" r:id="rId10"/>
    <hyperlink ref="I7" display="https://spectrum.ieee.org/midjourney-copyright" r:id="rId11"/>
  </hyperlinks>
  <picture r:id="rId1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