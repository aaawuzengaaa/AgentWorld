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440"/>
  </bookViews>
  <sheets>
    <sheet name="全量达人沟通表" sheetId="2" r:id="rId1"/>
    <sheet name="Confirmed Onboard List" sheetId="3" r:id="rId2"/>
    <sheet name="Post 数据表" sheetId="4" r:id="rId3"/>
    <sheet name="引用选项" sheetId="5" r:id="rId4"/>
    <sheet name="♻️ Post 数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<sst xmlns="http://schemas.openxmlformats.org/spreadsheetml/2006/main" count="43459" uniqueCount="4566">
  <si>
    <t>Name</t>
  </si>
  <si>
    <t>CQS</t>
  </si>
  <si>
    <t>Negotiation Status</t>
  </si>
  <si>
    <t>payment status</t>
  </si>
  <si>
    <t>Hypeauditor Link</t>
  </si>
  <si>
    <t>Profile link</t>
  </si>
  <si>
    <t>contact information</t>
  </si>
  <si>
    <t>Contact Method</t>
  </si>
  <si>
    <t>Platform</t>
  </si>
  <si>
    <t>Deliverable</t>
  </si>
  <si>
    <t>达人所在地</t>
  </si>
  <si>
    <t>所在地打分</t>
  </si>
  <si>
    <t>Follower Num</t>
  </si>
  <si>
    <t>Follower Num打分</t>
  </si>
  <si>
    <t>T1 country Porportion</t>
  </si>
  <si>
    <t>T1 Country打分</t>
  </si>
  <si>
    <t>Content category</t>
  </si>
  <si>
    <t>Vertical 打分</t>
  </si>
  <si>
    <t>30天爆文率</t>
  </si>
  <si>
    <t>爆文率打分</t>
  </si>
  <si>
    <t>90天粉丝增长趋势</t>
  </si>
  <si>
    <t>增长趋势打分</t>
  </si>
  <si>
    <t>活跃粉丝占比</t>
  </si>
  <si>
    <t>活跃粉丝占比打分</t>
  </si>
  <si>
    <t>竞品是否复投</t>
  </si>
  <si>
    <t>竞品复投打分</t>
  </si>
  <si>
    <t>Caucasian占比</t>
  </si>
  <si>
    <t>Caucasian打分</t>
  </si>
  <si>
    <t>Male占比</t>
  </si>
  <si>
    <t>Male占比打分</t>
  </si>
  <si>
    <t>25-34岁粉丝占比</t>
  </si>
  <si>
    <t>25-34岁粉丝占比打分</t>
  </si>
  <si>
    <t>English语言占比</t>
  </si>
  <si>
    <t>English语言占比打分</t>
  </si>
  <si>
    <t>Faceless?</t>
  </si>
  <si>
    <t>Faceless打分</t>
  </si>
  <si>
    <t>Est.Views</t>
  </si>
  <si>
    <t>Est.ER</t>
  </si>
  <si>
    <t>Est. Engagement</t>
  </si>
  <si>
    <t>Rate</t>
  </si>
  <si>
    <t>Est. Registration</t>
  </si>
  <si>
    <t>ECPM</t>
  </si>
  <si>
    <t>ECPM得分</t>
  </si>
  <si>
    <t>ECPR</t>
  </si>
  <si>
    <t>ECPR得分</t>
  </si>
  <si>
    <t>父记录</t>
  </si>
  <si>
    <t>Draft</t>
  </si>
  <si>
    <t>父记录 2</t>
  </si>
  <si>
    <t>邮箱</t>
  </si>
  <si>
    <t>邮箱.联系方式</t>
  </si>
  <si>
    <t>Tech reviews | PC tips | iOS, Apps &amp; Windows tut</t>
  </si>
  <si>
    <t>Cancelled(our side)</t>
  </si>
  <si>
    <t>No</t>
  </si>
  <si>
    <t>wegic_marketing@wegic.pro</t>
  </si>
  <si>
    <t>0</t>
  </si>
  <si>
    <t>0.000</t>
  </si>
  <si>
    <t>Tiktok</t>
  </si>
  <si>
    <t>Tiktok Video</t>
  </si>
  <si>
    <t>T1国家</t>
  </si>
  <si>
    <t>100</t>
  </si>
  <si>
    <t>8.262</t>
  </si>
  <si>
    <t>951.51</t>
  </si>
  <si>
    <t>41.676138</t>
  </si>
  <si>
    <t>$37.27</t>
  </si>
  <si>
    <t>$14.01</t>
  </si>
  <si>
    <t>Instagram</t>
  </si>
  <si>
    <t>Instagram Carousel</t>
  </si>
  <si>
    <t>143.65</t>
  </si>
  <si>
    <t>6.29187</t>
  </si>
  <si>
    <t>$200.00</t>
  </si>
  <si>
    <t>$61.88</t>
  </si>
  <si>
    <t>Will</t>
  </si>
  <si>
    <t>Discussing Rates</t>
  </si>
  <si>
    <t>50.612</t>
  </si>
  <si>
    <t>8884.84</t>
  </si>
  <si>
    <t>389.15599199999997</t>
  </si>
  <si>
    <t>$17.00</t>
  </si>
  <si>
    <t>15.024</t>
  </si>
  <si>
    <t>$6.25</t>
  </si>
  <si>
    <t>willlforbess@gmail.com</t>
  </si>
  <si>
    <t>Positive &amp; Motivating Quote</t>
  </si>
  <si>
    <t>CEO Mindset</t>
  </si>
  <si>
    <t>Collabration confirmed</t>
  </si>
  <si>
    <t>542.73</t>
  </si>
  <si>
    <t>23.771574</t>
  </si>
  <si>
    <t>$2.05</t>
  </si>
  <si>
    <t>49.212</t>
  </si>
  <si>
    <t>partnership@ceomindsetmotivation.com</t>
  </si>
  <si>
    <t>Pierpaolo Mantello •Ti segue</t>
  </si>
  <si>
    <t>T2国家</t>
  </si>
  <si>
    <t>1.850</t>
  </si>
  <si>
    <t>293.02000000000004</t>
  </si>
  <si>
    <t>12.834276000000001</t>
  </si>
  <si>
    <t>$11.49</t>
  </si>
  <si>
    <t>42.547</t>
  </si>
  <si>
    <t>$14.03</t>
  </si>
  <si>
    <t xml:space="preserve">𝐀𝐛𝐡𝐢𝐬𝐡𝐞𝐤 𝐋𝐨𝐦𝐭𝐞 𝐏𝐚𝐭𝐢𝐥 ⚡♠️ </t>
  </si>
  <si>
    <t>其他国家</t>
  </si>
  <si>
    <t>11.838</t>
  </si>
  <si>
    <t>1374.28</t>
  </si>
  <si>
    <t>60.193464</t>
  </si>
  <si>
    <t>$5.81</t>
  </si>
  <si>
    <t>70.930</t>
  </si>
  <si>
    <t>$1.62</t>
  </si>
  <si>
    <t>59.575</t>
  </si>
  <si>
    <t>Salvatore | Tech&amp;Social Media</t>
  </si>
  <si>
    <t>86.48</t>
  </si>
  <si>
    <t>3.787824</t>
  </si>
  <si>
    <t>$10.87</t>
  </si>
  <si>
    <t>45.652</t>
  </si>
  <si>
    <t>$12.85</t>
  </si>
  <si>
    <t>collab@thedigitalbat.com</t>
  </si>
  <si>
    <t xml:space="preserve"> Ayman Al Yaman</t>
  </si>
  <si>
    <t>62.222</t>
  </si>
  <si>
    <t>It’sAyman</t>
  </si>
  <si>
    <t>info@bottleflipagency.com</t>
  </si>
  <si>
    <t>Instagram Reel</t>
  </si>
  <si>
    <t>57.778</t>
  </si>
  <si>
    <t>26400</t>
  </si>
  <si>
    <t>1156.32</t>
  </si>
  <si>
    <t>$6.31</t>
  </si>
  <si>
    <t>Ayman Al Yaman</t>
  </si>
  <si>
    <t>Motivazione | Successo | Business</t>
  </si>
  <si>
    <t>46.763</t>
  </si>
  <si>
    <t>6258.12</t>
  </si>
  <si>
    <t>274.105656</t>
  </si>
  <si>
    <t>$0.85</t>
  </si>
  <si>
    <t>78.694</t>
  </si>
  <si>
    <t>culturaimprenditoriale@gmail.com</t>
  </si>
  <si>
    <t>Plurimum Network</t>
  </si>
  <si>
    <t>gbr.tech</t>
  </si>
  <si>
    <t>Rejected(Creator side)</t>
  </si>
  <si>
    <t>50.122</t>
  </si>
  <si>
    <t>2963.7999999999997</t>
  </si>
  <si>
    <t>129.81444</t>
  </si>
  <si>
    <t>$26.24</t>
  </si>
  <si>
    <t>nico.lato</t>
  </si>
  <si>
    <t>93</t>
  </si>
  <si>
    <t>4.0733999999999995</t>
  </si>
  <si>
    <t>$10.00</t>
  </si>
  <si>
    <t>50.000</t>
  </si>
  <si>
    <t>$7.17</t>
  </si>
  <si>
    <t>n@ennefactory.com</t>
  </si>
  <si>
    <t>Stockdroid</t>
  </si>
  <si>
    <t>On hold</t>
  </si>
  <si>
    <t>Techno Life</t>
  </si>
  <si>
    <t>974.05</t>
  </si>
  <si>
    <t>42.66339</t>
  </si>
  <si>
    <t>$3.90</t>
  </si>
  <si>
    <t>80.519</t>
  </si>
  <si>
    <t>$3.42</t>
  </si>
  <si>
    <t>26.298</t>
  </si>
  <si>
    <t>info@technolifecore.com</t>
  </si>
  <si>
    <t>the.success.club</t>
  </si>
  <si>
    <t>3200</t>
  </si>
  <si>
    <t>140.16</t>
  </si>
  <si>
    <t>$0.69</t>
  </si>
  <si>
    <t>82.639</t>
  </si>
  <si>
    <t>Positive &amp; Motivating Quotes</t>
  </si>
  <si>
    <t>team@visionwallinc.com</t>
  </si>
  <si>
    <t xml:space="preserve">incomehunters </t>
  </si>
  <si>
    <t>50.078</t>
  </si>
  <si>
    <t>1368.9</t>
  </si>
  <si>
    <t>59.957820000000005</t>
  </si>
  <si>
    <t>59.416</t>
  </si>
  <si>
    <t>Nicolas Lombardo</t>
  </si>
  <si>
    <t>Business &amp; Careers</t>
  </si>
  <si>
    <t>nicolasllombardo</t>
  </si>
  <si>
    <t>2.725</t>
  </si>
  <si>
    <t>5187.000000000001</t>
  </si>
  <si>
    <t>227.19060000000005</t>
  </si>
  <si>
    <t>$5.40</t>
  </si>
  <si>
    <t>73.009</t>
  </si>
  <si>
    <t>$1.71</t>
  </si>
  <si>
    <t>57.158</t>
  </si>
  <si>
    <t>1.412</t>
  </si>
  <si>
    <t>1279.95</t>
  </si>
  <si>
    <t>56.06181</t>
  </si>
  <si>
    <t>$3.12</t>
  </si>
  <si>
    <t>84.375</t>
  </si>
  <si>
    <t>$4.34</t>
  </si>
  <si>
    <t>10.993</t>
  </si>
  <si>
    <t>65.22879999999999</t>
  </si>
  <si>
    <t>2.8570214399999996</t>
  </si>
  <si>
    <t>$0.00</t>
  </si>
  <si>
    <t>100.000</t>
  </si>
  <si>
    <t xml:space="preserve">precious | uni &amp; grad jobs </t>
  </si>
  <si>
    <t>126.3</t>
  </si>
  <si>
    <t>5.53194</t>
  </si>
  <si>
    <t>$33.33</t>
  </si>
  <si>
    <t>$8.80</t>
  </si>
  <si>
    <t>precious | uni &amp; grad jobs</t>
  </si>
  <si>
    <t>preciousodunai@gmail.com</t>
  </si>
  <si>
    <t>chunksgaming101</t>
  </si>
  <si>
    <t>ChunksMedia</t>
  </si>
  <si>
    <t>𝖒𝖆𝖗𝖎𝖔𝖜𝖘𝖙𝖊𝖈𝖍</t>
  </si>
  <si>
    <t>114.39999999999999</t>
  </si>
  <si>
    <t>5.010719999999999</t>
  </si>
  <si>
    <t>$9.38</t>
  </si>
  <si>
    <t>53.125</t>
  </si>
  <si>
    <t>$2.91</t>
  </si>
  <si>
    <t>34.771</t>
  </si>
  <si>
    <t>Davide Marra</t>
  </si>
  <si>
    <t>32.367999999999995</t>
  </si>
  <si>
    <t>1.4177183999999998</t>
  </si>
  <si>
    <t>$17.86</t>
  </si>
  <si>
    <t>10.714</t>
  </si>
  <si>
    <t>$6.87</t>
  </si>
  <si>
    <t>Dennis Castelluzzo</t>
  </si>
  <si>
    <t>1.550</t>
  </si>
  <si>
    <t>7676.92</t>
  </si>
  <si>
    <t>336.249096</t>
  </si>
  <si>
    <t>$1.88</t>
  </si>
  <si>
    <t>52.961</t>
  </si>
  <si>
    <t>dcmarketingofficial@gmail.com</t>
  </si>
  <si>
    <t>Simone Mattavelli</t>
  </si>
  <si>
    <t>291.06</t>
  </si>
  <si>
    <t>12.748428</t>
  </si>
  <si>
    <t>$5.05</t>
  </si>
  <si>
    <t>74.747</t>
  </si>
  <si>
    <t>$7.63</t>
  </si>
  <si>
    <t>Buiniss</t>
  </si>
  <si>
    <t>39.013</t>
  </si>
  <si>
    <t>948.4799999999999</t>
  </si>
  <si>
    <t>41.543423999999995</t>
  </si>
  <si>
    <t>$52.63</t>
  </si>
  <si>
    <t>$18.74</t>
  </si>
  <si>
    <t>Biniuss</t>
  </si>
  <si>
    <t>bini@cfactor.it</t>
  </si>
  <si>
    <t xml:space="preserve"> infotricks_ </t>
  </si>
  <si>
    <t>136.21</t>
  </si>
  <si>
    <t>5.965998</t>
  </si>
  <si>
    <t>$9.43</t>
  </si>
  <si>
    <t>52.830</t>
  </si>
  <si>
    <t>$8.16</t>
  </si>
  <si>
    <t>infotricks_</t>
  </si>
  <si>
    <t>infotricks7@gmail.com</t>
  </si>
  <si>
    <t xml:space="preserve">ubaldo.info </t>
  </si>
  <si>
    <t>3.287</t>
  </si>
  <si>
    <t>441.59999999999997</t>
  </si>
  <si>
    <t>19.34208</t>
  </si>
  <si>
    <t>$5.21</t>
  </si>
  <si>
    <t>73.958</t>
  </si>
  <si>
    <t>$5.03</t>
  </si>
  <si>
    <t>ubaldo.info</t>
  </si>
  <si>
    <t>marketing.infox@gmail.com</t>
  </si>
  <si>
    <t xml:space="preserve"> Gian’s Tech </t>
  </si>
  <si>
    <t>16.525</t>
  </si>
  <si>
    <t>743.1600000000001</t>
  </si>
  <si>
    <t>32.550408000000004</t>
  </si>
  <si>
    <t>$60.61</t>
  </si>
  <si>
    <t>$23.92</t>
  </si>
  <si>
    <t>Gian’s Tech</t>
  </si>
  <si>
    <t>gianstech@atomicalagency.it</t>
  </si>
  <si>
    <t>Thiago | Smart Tips⚡️</t>
  </si>
  <si>
    <t>wegic_officialteam@wegic.pro</t>
  </si>
  <si>
    <t>31.175</t>
  </si>
  <si>
    <t>278.25</t>
  </si>
  <si>
    <t>12.18735</t>
  </si>
  <si>
    <t>$106.53</t>
  </si>
  <si>
    <t>$63.81</t>
  </si>
  <si>
    <t>Thiago Derminio | Smart Tips ⚡️</t>
  </si>
  <si>
    <t>hello@bravetech.ai</t>
  </si>
  <si>
    <t>30.500</t>
  </si>
  <si>
    <t>619.1999999999999</t>
  </si>
  <si>
    <t>27.120959999999997</t>
  </si>
  <si>
    <t>61.832</t>
  </si>
  <si>
    <t>$7.18</t>
  </si>
  <si>
    <t>iFixit</t>
  </si>
  <si>
    <t>Youtube</t>
  </si>
  <si>
    <t>57.222</t>
  </si>
  <si>
    <t>support@ifixit.com, michael@ifixit.com</t>
  </si>
  <si>
    <t>Kajabi</t>
  </si>
  <si>
    <t>Jeremy Mura</t>
  </si>
  <si>
    <t>0.287</t>
  </si>
  <si>
    <t>hello@jeremymura.com</t>
  </si>
  <si>
    <t>Christian Lempa</t>
  </si>
  <si>
    <t>15.812</t>
  </si>
  <si>
    <t>christianlempa@makrwatch.com</t>
  </si>
  <si>
    <t>Dr. Nancy Li - Director of Product</t>
  </si>
  <si>
    <t>Deniz Sancar</t>
  </si>
  <si>
    <t>Keenya Kelly</t>
  </si>
  <si>
    <t>clovak Studio Ai</t>
  </si>
  <si>
    <t>dockel247@gmail.com</t>
  </si>
  <si>
    <t>@bravetech.ai</t>
  </si>
  <si>
    <t>30.263</t>
  </si>
  <si>
    <t>581.5699999999999</t>
  </si>
  <si>
    <t>25.472765999999996</t>
  </si>
  <si>
    <t>$36.32</t>
  </si>
  <si>
    <t>$30.53</t>
  </si>
  <si>
    <t>Veraxity</t>
  </si>
  <si>
    <t>46.175</t>
  </si>
  <si>
    <t>verax1ty@protonmail.com</t>
  </si>
  <si>
    <t>ninjaaitools</t>
  </si>
  <si>
    <t>11.550</t>
  </si>
  <si>
    <t>346.32</t>
  </si>
  <si>
    <t>15.168816</t>
  </si>
  <si>
    <t>$62.50</t>
  </si>
  <si>
    <t>$19.25</t>
  </si>
  <si>
    <t>19.8171</t>
  </si>
  <si>
    <t>0.86798898</t>
  </si>
  <si>
    <t>Brad Gaines -AI│Websites│Tools</t>
  </si>
  <si>
    <t>@soyadrian.ramirez</t>
  </si>
  <si>
    <t>8.450</t>
  </si>
  <si>
    <t>1122.92</t>
  </si>
  <si>
    <t>49.183896000000004</t>
  </si>
  <si>
    <t>$0.93</t>
  </si>
  <si>
    <t>95.327</t>
  </si>
  <si>
    <t>$0.99</t>
  </si>
  <si>
    <t>75.263</t>
  </si>
  <si>
    <t>Adrian | Diseño | Powerpoint</t>
  </si>
  <si>
    <t>armichel27@gmail.com</t>
  </si>
  <si>
    <t>36.888</t>
  </si>
  <si>
    <t>3082.5</t>
  </si>
  <si>
    <t>135.0135</t>
  </si>
  <si>
    <t>Adrián PowerPoint</t>
  </si>
  <si>
    <t>Yoma James Kukor</t>
  </si>
  <si>
    <t>wegic_official@wegic.pro</t>
  </si>
  <si>
    <t>4.512</t>
  </si>
  <si>
    <t>$40.54</t>
  </si>
  <si>
    <t>Nasnas K</t>
  </si>
  <si>
    <t>11.238</t>
  </si>
  <si>
    <t>812.52</t>
  </si>
  <si>
    <t>35.588376</t>
  </si>
  <si>
    <t>$10.93</t>
  </si>
  <si>
    <t>45.355</t>
  </si>
  <si>
    <t>$10.94</t>
  </si>
  <si>
    <t>keralatechie@outlook.com</t>
  </si>
  <si>
    <t>Amer Nour</t>
  </si>
  <si>
    <t>11.088</t>
  </si>
  <si>
    <t>3035.02</t>
  </si>
  <si>
    <t>132.933876</t>
  </si>
  <si>
    <t>$11.27</t>
  </si>
  <si>
    <t>43.674</t>
  </si>
  <si>
    <t>$9.52</t>
  </si>
  <si>
    <t>Amer Nour | Tech Creator</t>
  </si>
  <si>
    <t>amer@dive.it</t>
  </si>
  <si>
    <t>𝑨-𝒍𝒆𝒗𝒆𝒍 𝒉𝒆𝒍𝒑</t>
  </si>
  <si>
    <t>51.266</t>
  </si>
  <si>
    <t>280.34000000000003</t>
  </si>
  <si>
    <t>12.278892</t>
  </si>
  <si>
    <t>$7.01</t>
  </si>
  <si>
    <t>64.953</t>
  </si>
  <si>
    <t>$11.89</t>
  </si>
  <si>
    <t>alevelhelp.32@gmail.com</t>
  </si>
  <si>
    <t>mackasy_aitech_guy</t>
  </si>
  <si>
    <t>4.316</t>
  </si>
  <si>
    <t>0.18904079999999998</t>
  </si>
  <si>
    <t>$38.46</t>
  </si>
  <si>
    <t>$51.49</t>
  </si>
  <si>
    <t>davidmackasy@gmail.com</t>
  </si>
  <si>
    <t>GIFT | social media+lifestyle</t>
  </si>
  <si>
    <t>40.924800000000005</t>
  </si>
  <si>
    <t>1.7925062400000003</t>
  </si>
  <si>
    <t>$25.51</t>
  </si>
  <si>
    <t>$5.43</t>
  </si>
  <si>
    <t>harveyrenn</t>
  </si>
  <si>
    <t>774</t>
  </si>
  <si>
    <t>33.901199999999996</t>
  </si>
  <si>
    <t>$7.00</t>
  </si>
  <si>
    <t>65.000</t>
  </si>
  <si>
    <t>$2.01</t>
  </si>
  <si>
    <t>49.837</t>
  </si>
  <si>
    <t>ttv.harveyrenn@gmail.com</t>
  </si>
  <si>
    <t>Nés Rasgado</t>
  </si>
  <si>
    <t>2.325</t>
  </si>
  <si>
    <t>259.72</t>
  </si>
  <si>
    <t>11.375736000000002</t>
  </si>
  <si>
    <t>$209.30</t>
  </si>
  <si>
    <t>$154.01</t>
  </si>
  <si>
    <t>contacto.nes.rasgado@gmail.com</t>
  </si>
  <si>
    <t>4.200</t>
  </si>
  <si>
    <t>307.28</t>
  </si>
  <si>
    <t>13.458863999999998</t>
  </si>
  <si>
    <t>53.113</t>
  </si>
  <si>
    <t>5107.63</t>
  </si>
  <si>
    <t>223.714194</t>
  </si>
  <si>
    <t>Matt Talks Tech</t>
  </si>
  <si>
    <t>Youtube Dedicated Long Video</t>
  </si>
  <si>
    <t>51.849</t>
  </si>
  <si>
    <t>4444.2</t>
  </si>
  <si>
    <t>194.65596</t>
  </si>
  <si>
    <t>$185.19</t>
  </si>
  <si>
    <t>$25.00</t>
  </si>
  <si>
    <t>boss_business_motivation</t>
  </si>
  <si>
    <t>359.52</t>
  </si>
  <si>
    <t>15.746975999999998</t>
  </si>
  <si>
    <t>$1.60</t>
  </si>
  <si>
    <t>92.000</t>
  </si>
  <si>
    <t>$9.89</t>
  </si>
  <si>
    <t>Boss Business Motivation</t>
  </si>
  <si>
    <t>bossbsnss@gmail.com</t>
  </si>
  <si>
    <t>Edward S l Product Designer</t>
  </si>
  <si>
    <t>2.213</t>
  </si>
  <si>
    <t>741.51</t>
  </si>
  <si>
    <t>32.478138</t>
  </si>
  <si>
    <t>$10.68</t>
  </si>
  <si>
    <t>46.581</t>
  </si>
  <si>
    <t>$7.49</t>
  </si>
  <si>
    <t>Bola Sol | Finance Expert</t>
  </si>
  <si>
    <t>33.756</t>
  </si>
  <si>
    <t>1.4785128</t>
  </si>
  <si>
    <t>$25.77</t>
  </si>
  <si>
    <t>$6.58</t>
  </si>
  <si>
    <t>$1,165.00</t>
  </si>
  <si>
    <t>54.856</t>
  </si>
  <si>
    <t>160.3</t>
  </si>
  <si>
    <t>7.02114</t>
  </si>
  <si>
    <t>16.938</t>
  </si>
  <si>
    <t>3994.1800000000003</t>
  </si>
  <si>
    <t>174.945084</t>
  </si>
  <si>
    <t>$19.69</t>
  </si>
  <si>
    <t>1.532</t>
  </si>
  <si>
    <t>$5.01</t>
  </si>
  <si>
    <t>1222.4</t>
  </si>
  <si>
    <t>53.54112</t>
  </si>
  <si>
    <t>Study tips | Daily motivation | Studygram</t>
  </si>
  <si>
    <t>2.488</t>
  </si>
  <si>
    <t>947.21</t>
  </si>
  <si>
    <t>41.487798</t>
  </si>
  <si>
    <t>129.5</t>
  </si>
  <si>
    <t>5.6720999999999995</t>
  </si>
  <si>
    <t>BMG</t>
  </si>
  <si>
    <t>Youtube Shorts</t>
  </si>
  <si>
    <t>0.048400000000000006</t>
  </si>
  <si>
    <t>0.00211992</t>
  </si>
  <si>
    <t>Brad Gaines - AI | Websites | Tools</t>
  </si>
  <si>
    <t>Gregory Hogg</t>
  </si>
  <si>
    <t>20.875</t>
  </si>
  <si>
    <t>1575.3</t>
  </si>
  <si>
    <t>68.99813999999999</t>
  </si>
  <si>
    <t>$7.78</t>
  </si>
  <si>
    <t>61.120</t>
  </si>
  <si>
    <t>$7.05</t>
  </si>
  <si>
    <t>greg.hogg1@outlook.com</t>
  </si>
  <si>
    <t>1699.2</t>
  </si>
  <si>
    <t>74.42496</t>
  </si>
  <si>
    <t>14.938</t>
  </si>
  <si>
    <t>160.6</t>
  </si>
  <si>
    <t>7.03428</t>
  </si>
  <si>
    <t>Greg Hogg</t>
  </si>
  <si>
    <t>INNOCN</t>
  </si>
  <si>
    <t>12.6592</t>
  </si>
  <si>
    <t>0.55447296</t>
  </si>
  <si>
    <t>Hamza Azmi | حمزة عزمي</t>
  </si>
  <si>
    <t>22.013</t>
  </si>
  <si>
    <t>8862.81</t>
  </si>
  <si>
    <t>388.19107799999995</t>
  </si>
  <si>
    <t xml:space="preserve">Joshua Lee Glavin </t>
  </si>
  <si>
    <t>5.625</t>
  </si>
  <si>
    <t>1421</t>
  </si>
  <si>
    <t>62.239799999999995</t>
  </si>
  <si>
    <t>$4.69</t>
  </si>
  <si>
    <t>5.141</t>
  </si>
  <si>
    <t>Tiffany Yu | disabled &amp; well</t>
  </si>
  <si>
    <t xml:space="preserve">T1国家 </t>
  </si>
  <si>
    <t>6.200</t>
  </si>
  <si>
    <t>35.187</t>
  </si>
  <si>
    <t>1.5411905999999997</t>
  </si>
  <si>
    <t>wmgpdlv</t>
  </si>
  <si>
    <t>1000.4399999999999</t>
  </si>
  <si>
    <t>43.819272</t>
  </si>
  <si>
    <t>664.61</t>
  </si>
  <si>
    <t>29.109918</t>
  </si>
  <si>
    <t>2478.84</t>
  </si>
  <si>
    <t>108.573192</t>
  </si>
  <si>
    <t>Gordon Ly</t>
  </si>
  <si>
    <t>43.3341</t>
  </si>
  <si>
    <t>1.8980335799999999</t>
  </si>
  <si>
    <t>$2,496.88</t>
  </si>
  <si>
    <t>$1,025.62</t>
  </si>
  <si>
    <t>emmyxtech</t>
  </si>
  <si>
    <t>Wegic_marketing@wegic.ai</t>
  </si>
  <si>
    <t>16.375</t>
  </si>
  <si>
    <t>5082</t>
  </si>
  <si>
    <t>222.5916</t>
  </si>
  <si>
    <t>$5.25</t>
  </si>
  <si>
    <t>24.875</t>
  </si>
  <si>
    <t>0.053000000000000005</t>
  </si>
  <si>
    <t>0.0023214000000000004</t>
  </si>
  <si>
    <t xml:space="preserve">Panna • Astuce | iPhone | Tech| </t>
  </si>
  <si>
    <t>$34.68</t>
  </si>
  <si>
    <t>639.5799999999999</t>
  </si>
  <si>
    <t>28.013603999999997</t>
  </si>
  <si>
    <t>$9.96</t>
  </si>
  <si>
    <t>50.199</t>
  </si>
  <si>
    <t>$8.69</t>
  </si>
  <si>
    <t>shiveetalks</t>
  </si>
  <si>
    <t>10.637</t>
  </si>
  <si>
    <t>1517.8200000000002</t>
  </si>
  <si>
    <t>66.48051600000001</t>
  </si>
  <si>
    <t>$9.21</t>
  </si>
  <si>
    <t>53.959</t>
  </si>
  <si>
    <t>$21.96</t>
  </si>
  <si>
    <t>georgewarringtonuk</t>
  </si>
  <si>
    <t>719.36</t>
  </si>
  <si>
    <t>31.507967999999998</t>
  </si>
  <si>
    <t>oxydoxy</t>
  </si>
  <si>
    <t>56.667</t>
  </si>
  <si>
    <t>455.01</t>
  </si>
  <si>
    <t>19.929437999999998</t>
  </si>
  <si>
    <t>34.875</t>
  </si>
  <si>
    <t>4548</t>
  </si>
  <si>
    <t>199.20239999999998</t>
  </si>
  <si>
    <t>$10.57</t>
  </si>
  <si>
    <t>47.130</t>
  </si>
  <si>
    <t>26.328</t>
  </si>
  <si>
    <t>Boss Babe - Andria</t>
  </si>
  <si>
    <t>394.71</t>
  </si>
  <si>
    <t>17.288297999999998</t>
  </si>
  <si>
    <t>$115.79</t>
  </si>
  <si>
    <t>$61.93</t>
  </si>
  <si>
    <t>degenlifer</t>
  </si>
  <si>
    <t>wegic_official@wegic.ai</t>
  </si>
  <si>
    <t>50.940</t>
  </si>
  <si>
    <t>12804.8</t>
  </si>
  <si>
    <t>560.85024</t>
  </si>
  <si>
    <t>Ali Abdelwahab</t>
  </si>
  <si>
    <t>RaulRafael@wegic.ai</t>
  </si>
  <si>
    <t>53.214</t>
  </si>
  <si>
    <t>𝙎𝙢𝙖𝙧𝙩 &amp; 𝙀𝙖𝙨𝙮</t>
  </si>
  <si>
    <t>53.524</t>
  </si>
  <si>
    <t>772.68</t>
  </si>
  <si>
    <t>33.84338399999999</t>
  </si>
  <si>
    <t>$7.98</t>
  </si>
  <si>
    <t>60.106</t>
  </si>
  <si>
    <t>$4.31</t>
  </si>
  <si>
    <t>11.434</t>
  </si>
  <si>
    <t>16.900</t>
  </si>
  <si>
    <t>70.55999999999999</t>
  </si>
  <si>
    <t>3.0905279999999995</t>
  </si>
  <si>
    <t>Braindegeek, tech addict</t>
  </si>
  <si>
    <t>31.750</t>
  </si>
  <si>
    <t>614.95</t>
  </si>
  <si>
    <t>26.934810000000002</t>
  </si>
  <si>
    <t>$10.20</t>
  </si>
  <si>
    <t>48.980</t>
  </si>
  <si>
    <t>$9.03</t>
  </si>
  <si>
    <t>14445.000000000002</t>
  </si>
  <si>
    <t>632.691</t>
  </si>
  <si>
    <t>$0.23</t>
  </si>
  <si>
    <t>94.231</t>
  </si>
  <si>
    <t>Shaheer</t>
  </si>
  <si>
    <t>52.354</t>
  </si>
  <si>
    <t>2381.4</t>
  </si>
  <si>
    <t>104.30532</t>
  </si>
  <si>
    <t>$2.52</t>
  </si>
  <si>
    <t>41.341</t>
  </si>
  <si>
    <t>27.2623</t>
  </si>
  <si>
    <t>1.19408874</t>
  </si>
  <si>
    <t>1.125</t>
  </si>
  <si>
    <t>A+ Student Tips 💡</t>
  </si>
  <si>
    <t>52.096</t>
  </si>
  <si>
    <t>4539.6</t>
  </si>
  <si>
    <t>198.83448</t>
  </si>
  <si>
    <t>$39.32</t>
  </si>
  <si>
    <t>$11.26</t>
  </si>
  <si>
    <t>10.288</t>
  </si>
  <si>
    <t>783.89</t>
  </si>
  <si>
    <t>34.334382</t>
  </si>
  <si>
    <t>Dessy Ocean</t>
  </si>
  <si>
    <t>21.938</t>
  </si>
  <si>
    <t>297.36</t>
  </si>
  <si>
    <t>13.024368</t>
  </si>
  <si>
    <t>$78.57</t>
  </si>
  <si>
    <t>$24.66</t>
  </si>
  <si>
    <t>6.675</t>
  </si>
  <si>
    <t>368.15999999999997</t>
  </si>
  <si>
    <t>16.125407999999997</t>
  </si>
  <si>
    <t>Instagram Story</t>
  </si>
  <si>
    <t>Tech Tabloid</t>
  </si>
  <si>
    <t>wegic_partnership@wegic.ai</t>
  </si>
  <si>
    <t>5.250</t>
  </si>
  <si>
    <t>170.39999999999998</t>
  </si>
  <si>
    <t>7.463519999999999</t>
  </si>
  <si>
    <t>$6.52</t>
  </si>
  <si>
    <t>gtpcs</t>
  </si>
  <si>
    <t>3534.2400000000002</t>
  </si>
  <si>
    <t>154.799712</t>
  </si>
  <si>
    <t>$9.01</t>
  </si>
  <si>
    <t>54.955</t>
  </si>
  <si>
    <t>41.415</t>
  </si>
  <si>
    <t>phonerepairguru</t>
  </si>
  <si>
    <t>8045.360000000001</t>
  </si>
  <si>
    <t>352.386768</t>
  </si>
  <si>
    <t>$9.99</t>
  </si>
  <si>
    <t>50.033</t>
  </si>
  <si>
    <t>$4.14</t>
  </si>
  <si>
    <t>14.280</t>
  </si>
  <si>
    <t>Alice 🧸🪴</t>
  </si>
  <si>
    <t>4.688</t>
  </si>
  <si>
    <t>3241.03</t>
  </si>
  <si>
    <t>141.95711400000002</t>
  </si>
  <si>
    <t>$10.73</t>
  </si>
  <si>
    <t>46.352</t>
  </si>
  <si>
    <t>57.147</t>
  </si>
  <si>
    <t>Alice | study, edtech 🪴</t>
  </si>
  <si>
    <t>1.713</t>
  </si>
  <si>
    <t>6185.28</t>
  </si>
  <si>
    <t>270.915264</t>
  </si>
  <si>
    <t>$5.00</t>
  </si>
  <si>
    <t>75.000</t>
  </si>
  <si>
    <t>$0.90</t>
  </si>
  <si>
    <t>77.545</t>
  </si>
  <si>
    <t>@words_worth_billions</t>
  </si>
  <si>
    <t>17680</t>
  </si>
  <si>
    <t>774.384</t>
  </si>
  <si>
    <t>$6.47</t>
  </si>
  <si>
    <t>67.664</t>
  </si>
  <si>
    <t>$1.01</t>
  </si>
  <si>
    <t>74.862</t>
  </si>
  <si>
    <t>Mattia Di Chiara</t>
  </si>
  <si>
    <t>Instagram, Tiktok</t>
  </si>
  <si>
    <t>33.750</t>
  </si>
  <si>
    <t>927.9999999999999</t>
  </si>
  <si>
    <t>40.64639999999999</t>
  </si>
  <si>
    <t xml:space="preserve">Kristel | Tech &amp; Jokes </t>
  </si>
  <si>
    <t>967.74</t>
  </si>
  <si>
    <t>42.387012</t>
  </si>
  <si>
    <t>$13.64</t>
  </si>
  <si>
    <t>31.818</t>
  </si>
  <si>
    <t>$6.89</t>
  </si>
  <si>
    <t>103.03999999999999</t>
  </si>
  <si>
    <t>4.513152</t>
  </si>
  <si>
    <t>$31.25</t>
  </si>
  <si>
    <t>$10.78</t>
  </si>
  <si>
    <t xml:space="preserve"> Paula Gómez </t>
  </si>
  <si>
    <t>Christian</t>
  </si>
  <si>
    <t>13.375</t>
  </si>
  <si>
    <t>san.shapes</t>
  </si>
  <si>
    <t>Luisa@wegic.ai</t>
  </si>
  <si>
    <t>波兰</t>
  </si>
  <si>
    <t>31.663</t>
  </si>
  <si>
    <t>1020.0000000000001</t>
  </si>
  <si>
    <t>44.676</t>
  </si>
  <si>
    <t>$13.33</t>
  </si>
  <si>
    <t>33.333</t>
  </si>
  <si>
    <t>$4.36</t>
  </si>
  <si>
    <t>10.712</t>
  </si>
  <si>
    <t>Sarah Emmerich</t>
  </si>
  <si>
    <t>deryakba</t>
  </si>
  <si>
    <t>4.500</t>
  </si>
  <si>
    <t>2216.7999999999997</t>
  </si>
  <si>
    <t>97.09583999999998</t>
  </si>
  <si>
    <t>Sheffield G</t>
  </si>
  <si>
    <t>9430.01</t>
  </si>
  <si>
    <t>413.034438</t>
  </si>
  <si>
    <t>$3.59</t>
  </si>
  <si>
    <t>82.047</t>
  </si>
  <si>
    <t>$0.47</t>
  </si>
  <si>
    <t>88.217</t>
  </si>
  <si>
    <t>Career | Corporate | Grad🌟</t>
  </si>
  <si>
    <t>$9.62</t>
  </si>
  <si>
    <t>51.923</t>
  </si>
  <si>
    <t>jessramosdata</t>
  </si>
  <si>
    <t>429.11999999999995</t>
  </si>
  <si>
    <t>18.795455999999998</t>
  </si>
  <si>
    <t>$8.20</t>
  </si>
  <si>
    <t>59.016</t>
  </si>
  <si>
    <t>$5.18</t>
  </si>
  <si>
    <t>112.64</t>
  </si>
  <si>
    <t>4.933632</t>
  </si>
  <si>
    <t>$9.09</t>
  </si>
  <si>
    <t>54.545</t>
  </si>
  <si>
    <t>$3.95</t>
  </si>
  <si>
    <t>17.572</t>
  </si>
  <si>
    <t>NamikazeTech</t>
  </si>
  <si>
    <t>481.77</t>
  </si>
  <si>
    <t>21.101526</t>
  </si>
  <si>
    <t>$9.20</t>
  </si>
  <si>
    <t>54.000</t>
  </si>
  <si>
    <t>$10.61</t>
  </si>
  <si>
    <t>152.82</t>
  </si>
  <si>
    <t>6.693516</t>
  </si>
  <si>
    <t>$7.41</t>
  </si>
  <si>
    <t>62.963</t>
  </si>
  <si>
    <t>34.862</t>
  </si>
  <si>
    <t>MrBlakeW💡</t>
  </si>
  <si>
    <t>24.613</t>
  </si>
  <si>
    <t>2028.84</t>
  </si>
  <si>
    <t>88.863192</t>
  </si>
  <si>
    <t>$8.62</t>
  </si>
  <si>
    <t>56.897</t>
  </si>
  <si>
    <t>$1.64</t>
  </si>
  <si>
    <t>58.926</t>
  </si>
  <si>
    <t>digitalrajas</t>
  </si>
  <si>
    <t>10.588</t>
  </si>
  <si>
    <t>295.52000000000004</t>
  </si>
  <si>
    <t>12.943776000000002</t>
  </si>
  <si>
    <t>$9.30</t>
  </si>
  <si>
    <t>53.488</t>
  </si>
  <si>
    <t>$6.02</t>
  </si>
  <si>
    <t>bengreenfield</t>
  </si>
  <si>
    <t xml:space="preserve"> IPCisco </t>
  </si>
  <si>
    <t>3.425</t>
  </si>
  <si>
    <t>560.5600000000001</t>
  </si>
  <si>
    <t>24.552528000000002</t>
  </si>
  <si>
    <t>$10.50</t>
  </si>
  <si>
    <t>47.514</t>
  </si>
  <si>
    <t>$7.53</t>
  </si>
  <si>
    <t>73.91</t>
  </si>
  <si>
    <t>3.2372579999999997</t>
  </si>
  <si>
    <t>$5.26</t>
  </si>
  <si>
    <t>73.684</t>
  </si>
  <si>
    <t>$3.01</t>
  </si>
  <si>
    <t>33.222</t>
  </si>
  <si>
    <t>soyadrianramirez</t>
  </si>
  <si>
    <t>36.950</t>
  </si>
  <si>
    <t>1122</t>
  </si>
  <si>
    <t>49.1436</t>
  </si>
  <si>
    <t>$1.67</t>
  </si>
  <si>
    <t>91.667</t>
  </si>
  <si>
    <t>75.243</t>
  </si>
  <si>
    <t>Adnan Hashm</t>
  </si>
  <si>
    <t>55.509</t>
  </si>
  <si>
    <t>taplab agency/izi</t>
  </si>
  <si>
    <t>marcustechnology</t>
  </si>
  <si>
    <t>30.013</t>
  </si>
  <si>
    <t>170.28</t>
  </si>
  <si>
    <t>7.458264</t>
  </si>
  <si>
    <t>$5.61</t>
  </si>
  <si>
    <t>DreamTech</t>
  </si>
  <si>
    <t>54.540</t>
  </si>
  <si>
    <t>86.42999999999999</t>
  </si>
  <si>
    <t>3.7856339999999995</t>
  </si>
  <si>
    <t>$10.47</t>
  </si>
  <si>
    <t>47.674</t>
  </si>
  <si>
    <t>$11.57</t>
  </si>
  <si>
    <t>Carlo | Apprentago</t>
  </si>
  <si>
    <t>728.75</t>
  </si>
  <si>
    <t>31.919249999999998</t>
  </si>
  <si>
    <t>$20.00</t>
  </si>
  <si>
    <t>$7.62</t>
  </si>
  <si>
    <t>mybankingcareer</t>
  </si>
  <si>
    <t>98.3969</t>
  </si>
  <si>
    <t>4.30978422</t>
  </si>
  <si>
    <t>$4.07</t>
  </si>
  <si>
    <t>15.581</t>
  </si>
  <si>
    <t>Az&amp;Riz | Tech | Career Advice</t>
  </si>
  <si>
    <t>156.15</t>
  </si>
  <si>
    <t>6.83937</t>
  </si>
  <si>
    <t>$11.11</t>
  </si>
  <si>
    <t>44.444</t>
  </si>
  <si>
    <t>$7.12</t>
  </si>
  <si>
    <t>Revishaan :)</t>
  </si>
  <si>
    <t>37.663</t>
  </si>
  <si>
    <t>2381.82</t>
  </si>
  <si>
    <t>104.323716</t>
  </si>
  <si>
    <t>$10.01</t>
  </si>
  <si>
    <t>49.933</t>
  </si>
  <si>
    <t>Boris K. | Career Success</t>
  </si>
  <si>
    <t>51.579</t>
  </si>
  <si>
    <t>587.1600000000001</t>
  </si>
  <si>
    <t>25.717608000000002</t>
  </si>
  <si>
    <t>52.381</t>
  </si>
  <si>
    <t>$4.54</t>
  </si>
  <si>
    <t>7.639</t>
  </si>
  <si>
    <t>Dr Rads | Careers | Earnings</t>
  </si>
  <si>
    <t>769.5</t>
  </si>
  <si>
    <t>33.7041</t>
  </si>
  <si>
    <t>$5.85</t>
  </si>
  <si>
    <t>70.760</t>
  </si>
  <si>
    <t>$2.89</t>
  </si>
  <si>
    <t>35.202</t>
  </si>
  <si>
    <t>Work Humor</t>
  </si>
  <si>
    <t>11.725</t>
  </si>
  <si>
    <t>2517.2000000000003</t>
  </si>
  <si>
    <t>110.25336000000001</t>
  </si>
  <si>
    <t>$12.67</t>
  </si>
  <si>
    <t>36.636</t>
  </si>
  <si>
    <t>$4.86</t>
  </si>
  <si>
    <t>2.409</t>
  </si>
  <si>
    <t>Alefie | Tech</t>
  </si>
  <si>
    <t>wegic_partnership@wegic.pro</t>
  </si>
  <si>
    <t>jakebeau_</t>
  </si>
  <si>
    <t>100T Lough</t>
  </si>
  <si>
    <t>58.889</t>
  </si>
  <si>
    <t>1784.8</t>
  </si>
  <si>
    <t>78.17424</t>
  </si>
  <si>
    <t>$30.93</t>
  </si>
  <si>
    <t>$7.47</t>
  </si>
  <si>
    <t>8.575</t>
  </si>
  <si>
    <t>4265.58</t>
  </si>
  <si>
    <t>186.832404</t>
  </si>
  <si>
    <t>𝔗𝔢𝔠𝔥_𝔲𝔭𝔡𝔱</t>
  </si>
  <si>
    <t>Tiktok, Youtube</t>
  </si>
  <si>
    <t>1951.2899999999997</t>
  </si>
  <si>
    <t>85.46650199999999</t>
  </si>
  <si>
    <t>$4.71</t>
  </si>
  <si>
    <t>76.431</t>
  </si>
  <si>
    <t>$1.59</t>
  </si>
  <si>
    <t>60.140</t>
  </si>
  <si>
    <t>Myke Metzger</t>
  </si>
  <si>
    <t>10.200</t>
  </si>
  <si>
    <t>60.61000000000001</t>
  </si>
  <si>
    <t>2.6547180000000004</t>
  </si>
  <si>
    <t>$18.18</t>
  </si>
  <si>
    <t>9.091</t>
  </si>
  <si>
    <t>$7.33</t>
  </si>
  <si>
    <t>11.2712</t>
  </si>
  <si>
    <t>0.49367856</t>
  </si>
  <si>
    <t>36.4</t>
  </si>
  <si>
    <t>1.59432</t>
  </si>
  <si>
    <t>LP Lucas</t>
  </si>
  <si>
    <t>7.738</t>
  </si>
  <si>
    <t>3112.98</t>
  </si>
  <si>
    <t>136.348524</t>
  </si>
  <si>
    <t>$19.23</t>
  </si>
  <si>
    <t>3.846</t>
  </si>
  <si>
    <t>$4.64</t>
  </si>
  <si>
    <t>5.999</t>
  </si>
  <si>
    <t>1.675</t>
  </si>
  <si>
    <t>1394.82</t>
  </si>
  <si>
    <t>61.093115999999995</t>
  </si>
  <si>
    <t>25.388</t>
  </si>
  <si>
    <t>36812.91</t>
  </si>
  <si>
    <t>1612.4054580000002</t>
  </si>
  <si>
    <t>ProductNation 🇲🇾</t>
  </si>
  <si>
    <t>11.913</t>
  </si>
  <si>
    <t>524.47</t>
  </si>
  <si>
    <t>22.971786</t>
  </si>
  <si>
    <t>$9.50</t>
  </si>
  <si>
    <t>52.514</t>
  </si>
  <si>
    <t>$7.20</t>
  </si>
  <si>
    <t>133.32</t>
  </si>
  <si>
    <t>5.839416</t>
  </si>
  <si>
    <t>$8.79</t>
  </si>
  <si>
    <t>56.044</t>
  </si>
  <si>
    <t>Justin Serran</t>
  </si>
  <si>
    <t>1.312</t>
  </si>
  <si>
    <t>174</t>
  </si>
  <si>
    <t>7.6212</t>
  </si>
  <si>
    <t>$5.11</t>
  </si>
  <si>
    <t>9.288</t>
  </si>
  <si>
    <t>331.17</t>
  </si>
  <si>
    <t>14.505246</t>
  </si>
  <si>
    <t>$9.95</t>
  </si>
  <si>
    <t>50.249</t>
  </si>
  <si>
    <t>$13.42</t>
  </si>
  <si>
    <t>99</t>
  </si>
  <si>
    <t>4.3362</t>
  </si>
  <si>
    <t>$5.56</t>
  </si>
  <si>
    <t>72.222</t>
  </si>
  <si>
    <t>$2.24</t>
  </si>
  <si>
    <t>45.922</t>
  </si>
  <si>
    <t>techbykalen</t>
  </si>
  <si>
    <t>219.5</t>
  </si>
  <si>
    <t>9.6141</t>
  </si>
  <si>
    <t>Nolan | Agence de com’ 💻</t>
  </si>
  <si>
    <t>992</t>
  </si>
  <si>
    <t>43.4496</t>
  </si>
  <si>
    <t>$17.50</t>
  </si>
  <si>
    <t>12.500</t>
  </si>
  <si>
    <t>$7.84</t>
  </si>
  <si>
    <t>Maria Mavridou | author</t>
  </si>
  <si>
    <t>8154.08</t>
  </si>
  <si>
    <t>357.148704</t>
  </si>
  <si>
    <t>$5.71</t>
  </si>
  <si>
    <t>71.429</t>
  </si>
  <si>
    <t>$0.22</t>
  </si>
  <si>
    <t>94.549</t>
  </si>
  <si>
    <t>Dani Shaykho</t>
  </si>
  <si>
    <t>18.562</t>
  </si>
  <si>
    <t>31.1916</t>
  </si>
  <si>
    <t>1.36619208</t>
  </si>
  <si>
    <t>21.688</t>
  </si>
  <si>
    <t>6946.9</t>
  </si>
  <si>
    <t>304.27421999999996</t>
  </si>
  <si>
    <t>ASBYT (Adam Butcher)</t>
  </si>
  <si>
    <t>343.5</t>
  </si>
  <si>
    <t>15.0453</t>
  </si>
  <si>
    <t>$16.95</t>
  </si>
  <si>
    <t>15.254</t>
  </si>
  <si>
    <t>101.52</t>
  </si>
  <si>
    <t>4.446575999999999</t>
  </si>
  <si>
    <t>Skullcandy</t>
  </si>
  <si>
    <t>19.837</t>
  </si>
  <si>
    <t>715.45</t>
  </si>
  <si>
    <t>31.33671</t>
  </si>
  <si>
    <t>52.526</t>
  </si>
  <si>
    <t>5454.75</t>
  </si>
  <si>
    <t>238.91805</t>
  </si>
  <si>
    <t>9.550</t>
  </si>
  <si>
    <t>68.32000000000001</t>
  </si>
  <si>
    <t>2.9924160000000004</t>
  </si>
  <si>
    <t>c74connect</t>
  </si>
  <si>
    <t>557.26</t>
  </si>
  <si>
    <t>24.407988</t>
  </si>
  <si>
    <t>andystallion</t>
  </si>
  <si>
    <t>77.778</t>
  </si>
  <si>
    <t>2437.6</t>
  </si>
  <si>
    <t>106.76687999999999</t>
  </si>
  <si>
    <t xml:space="preserve"> Konstantinos⚡Digital Marketing</t>
  </si>
  <si>
    <t>68.889</t>
  </si>
  <si>
    <t>967.75</t>
  </si>
  <si>
    <t>42.38745</t>
  </si>
  <si>
    <t>$138.78</t>
  </si>
  <si>
    <t>$78.07</t>
  </si>
  <si>
    <t>55.022</t>
  </si>
  <si>
    <t>1237.6</t>
  </si>
  <si>
    <t>54.20687999999999</t>
  </si>
  <si>
    <t>$8.82</t>
  </si>
  <si>
    <t>55.908</t>
  </si>
  <si>
    <t>$8.98</t>
  </si>
  <si>
    <t>120.45</t>
  </si>
  <si>
    <t>5.27571</t>
  </si>
  <si>
    <t>Harshil Acharya</t>
  </si>
  <si>
    <t>8.613</t>
  </si>
  <si>
    <t>1756.56</t>
  </si>
  <si>
    <t>76.937328</t>
  </si>
  <si>
    <t>$9.53</t>
  </si>
  <si>
    <t>52.340</t>
  </si>
  <si>
    <t>$6.96</t>
  </si>
  <si>
    <t>followmario</t>
  </si>
  <si>
    <t>9.938</t>
  </si>
  <si>
    <t>909.15</t>
  </si>
  <si>
    <t>39.820769999999996</t>
  </si>
  <si>
    <t>54.023</t>
  </si>
  <si>
    <t>$1.96</t>
  </si>
  <si>
    <t>51.114</t>
  </si>
  <si>
    <t>Jordan Villanueva</t>
  </si>
  <si>
    <t>20.862</t>
  </si>
  <si>
    <t>507.11</t>
  </si>
  <si>
    <t>22.211418</t>
  </si>
  <si>
    <t>$7.94</t>
  </si>
  <si>
    <t>60.317</t>
  </si>
  <si>
    <t>$6.57</t>
  </si>
  <si>
    <t>carterpcs</t>
  </si>
  <si>
    <t>setupspawn</t>
  </si>
  <si>
    <t>misodope</t>
  </si>
  <si>
    <t>mattupham</t>
  </si>
  <si>
    <t>nalae.co</t>
  </si>
  <si>
    <t>kaedigitaldesign</t>
  </si>
  <si>
    <t>studywithnali</t>
  </si>
  <si>
    <t>reesienotes</t>
  </si>
  <si>
    <t>inspiredmediaco</t>
  </si>
  <si>
    <t>Diego Viegas Lopez</t>
  </si>
  <si>
    <t>7.887</t>
  </si>
  <si>
    <t>619.78</t>
  </si>
  <si>
    <t>27.146364</t>
  </si>
  <si>
    <t>Christian Andrades</t>
  </si>
  <si>
    <t>309.58</t>
  </si>
  <si>
    <t>13.559603999999998</t>
  </si>
  <si>
    <t>$15.00</t>
  </si>
  <si>
    <t>25.000</t>
  </si>
  <si>
    <t>$10.77</t>
  </si>
  <si>
    <t>MILAD ALEMI</t>
  </si>
  <si>
    <t>1540</t>
  </si>
  <si>
    <t>67.452</t>
  </si>
  <si>
    <t>$9.69</t>
  </si>
  <si>
    <t>51.550</t>
  </si>
  <si>
    <t>$21.65</t>
  </si>
  <si>
    <t>WOMENONTOPP.COM</t>
  </si>
  <si>
    <t>63.333</t>
  </si>
  <si>
    <t>5100</t>
  </si>
  <si>
    <t>223.38</t>
  </si>
  <si>
    <t>$6.28</t>
  </si>
  <si>
    <t>68.619</t>
  </si>
  <si>
    <t>$2.61</t>
  </si>
  <si>
    <t>39.760</t>
  </si>
  <si>
    <t>Dani | Filmmaking Tips</t>
  </si>
  <si>
    <t>10.963</t>
  </si>
  <si>
    <t>844.65</t>
  </si>
  <si>
    <t>36.99567</t>
  </si>
  <si>
    <t>17.560</t>
  </si>
  <si>
    <t>toquederetoque</t>
  </si>
  <si>
    <t>55.556</t>
  </si>
  <si>
    <t>$2.00</t>
  </si>
  <si>
    <t>90.000</t>
  </si>
  <si>
    <t>11.675</t>
  </si>
  <si>
    <t>214.62</t>
  </si>
  <si>
    <t>9.400356</t>
  </si>
  <si>
    <t>$238.10</t>
  </si>
  <si>
    <t>$103.54</t>
  </si>
  <si>
    <t>22.64</t>
  </si>
  <si>
    <t>0.991632</t>
  </si>
  <si>
    <t>Caffè Design</t>
  </si>
  <si>
    <t>12.000</t>
  </si>
  <si>
    <t>2861.6</t>
  </si>
  <si>
    <t>125.33807999999999</t>
  </si>
  <si>
    <t>$7.77</t>
  </si>
  <si>
    <t>Marshawn Evans Daniels</t>
  </si>
  <si>
    <t>0.138</t>
  </si>
  <si>
    <t>404.40000000000003</t>
  </si>
  <si>
    <t>17.71272</t>
  </si>
  <si>
    <t>$2.75</t>
  </si>
  <si>
    <t>37.541</t>
  </si>
  <si>
    <t>55.383</t>
  </si>
  <si>
    <t>1956.0500000000002</t>
  </si>
  <si>
    <t>85.67499000000001</t>
  </si>
  <si>
    <t>Bad Moon Talent</t>
  </si>
  <si>
    <t>𝔀𝓲𝓵𝓵</t>
  </si>
  <si>
    <t>17.012</t>
  </si>
  <si>
    <t>2862.5299999999997</t>
  </si>
  <si>
    <t>125.37881399999999</t>
  </si>
  <si>
    <t>$10.18</t>
  </si>
  <si>
    <t>49.084</t>
  </si>
  <si>
    <t>$3.88</t>
  </si>
  <si>
    <t>18.640</t>
  </si>
  <si>
    <t>vveoko</t>
  </si>
  <si>
    <t>53.251</t>
  </si>
  <si>
    <t>3049.2</t>
  </si>
  <si>
    <t>133.55496</t>
  </si>
  <si>
    <t>$5.83</t>
  </si>
  <si>
    <t>GutzyAiden</t>
  </si>
  <si>
    <t>$13.89</t>
  </si>
  <si>
    <t>30.556</t>
  </si>
  <si>
    <t>jonjontech</t>
  </si>
  <si>
    <t>lough</t>
  </si>
  <si>
    <t>$10.36</t>
  </si>
  <si>
    <t>48.187</t>
  </si>
  <si>
    <t>jhawktiktok</t>
  </si>
  <si>
    <t>$9.84</t>
  </si>
  <si>
    <t>50.820</t>
  </si>
  <si>
    <t>gemzape.gg</t>
  </si>
  <si>
    <t>$14.93</t>
  </si>
  <si>
    <t>25.373</t>
  </si>
  <si>
    <t>Topes de Gama</t>
  </si>
  <si>
    <t>10075.779999999999</t>
  </si>
  <si>
    <t>441.31916399999994</t>
  </si>
  <si>
    <t>$10.76</t>
  </si>
  <si>
    <t>46.208</t>
  </si>
  <si>
    <t>$4.41</t>
  </si>
  <si>
    <t>9.816</t>
  </si>
  <si>
    <t>테크사냥꾼 쭈모</t>
  </si>
  <si>
    <t>215.28</t>
  </si>
  <si>
    <t>9.429264</t>
  </si>
  <si>
    <t>$44.23</t>
  </si>
  <si>
    <t>$71.23</t>
  </si>
  <si>
    <t>189.42</t>
  </si>
  <si>
    <t>8.296596</t>
  </si>
  <si>
    <t>$17.08</t>
  </si>
  <si>
    <t>14.604</t>
  </si>
  <si>
    <t>$80.95</t>
  </si>
  <si>
    <t>412.90999999999997</t>
  </si>
  <si>
    <t>18.085458</t>
  </si>
  <si>
    <t>Zartyk</t>
  </si>
  <si>
    <t>495.69</t>
  </si>
  <si>
    <t>21.711222</t>
  </si>
  <si>
    <t>$24.39</t>
  </si>
  <si>
    <t>$4.48</t>
  </si>
  <si>
    <t>8.615</t>
  </si>
  <si>
    <t>2.0119</t>
  </si>
  <si>
    <t>0.08812121999999999</t>
  </si>
  <si>
    <t>patrickneagu</t>
  </si>
  <si>
    <t>11.525</t>
  </si>
  <si>
    <t>575.0999999999999</t>
  </si>
  <si>
    <t>25.189379999999996</t>
  </si>
  <si>
    <t>$55.56</t>
  </si>
  <si>
    <t>$34.78</t>
  </si>
  <si>
    <t>3.83</t>
  </si>
  <si>
    <t>0.167754</t>
  </si>
  <si>
    <t>$10.53</t>
  </si>
  <si>
    <t>47.368</t>
  </si>
  <si>
    <t>$232.09</t>
  </si>
  <si>
    <t>Unique-AI</t>
  </si>
  <si>
    <t>自荐</t>
  </si>
  <si>
    <t>Aktien📈Dividenden 📈Passives Einkommen</t>
  </si>
  <si>
    <t>3.213</t>
  </si>
  <si>
    <t>1734.66</t>
  </si>
  <si>
    <t>75.978108</t>
  </si>
  <si>
    <t>$9.78</t>
  </si>
  <si>
    <t>51.087</t>
  </si>
  <si>
    <t>$11.53</t>
  </si>
  <si>
    <t>10ivaan</t>
  </si>
  <si>
    <t>TTCM</t>
  </si>
  <si>
    <t>6.113</t>
  </si>
  <si>
    <t>3976.5</t>
  </si>
  <si>
    <t>174.17069999999998</t>
  </si>
  <si>
    <t>$2.12</t>
  </si>
  <si>
    <t>89.394</t>
  </si>
  <si>
    <t>$0.39</t>
  </si>
  <si>
    <t>90.220</t>
  </si>
  <si>
    <t xml:space="preserve"> Zone Connectée</t>
  </si>
  <si>
    <t>295.68</t>
  </si>
  <si>
    <t>12.950784</t>
  </si>
  <si>
    <t>Zeynep Küçük Woman Engineer</t>
  </si>
  <si>
    <t>3.463</t>
  </si>
  <si>
    <t>1277</t>
  </si>
  <si>
    <t>55.9326</t>
  </si>
  <si>
    <t>$9.72</t>
  </si>
  <si>
    <t>51.389</t>
  </si>
  <si>
    <t>$2.44</t>
  </si>
  <si>
    <t>42.729</t>
  </si>
  <si>
    <t xml:space="preserve"> orzatech</t>
  </si>
  <si>
    <t>606.43</t>
  </si>
  <si>
    <t>26.561633999999998</t>
  </si>
  <si>
    <t>$10.07</t>
  </si>
  <si>
    <t>49.664</t>
  </si>
  <si>
    <t>$5.50</t>
  </si>
  <si>
    <t>itsjayyce</t>
  </si>
  <si>
    <t>826.15</t>
  </si>
  <si>
    <t>36.18537</t>
  </si>
  <si>
    <t>$9.68</t>
  </si>
  <si>
    <t>51.613</t>
  </si>
  <si>
    <t>$4.03</t>
  </si>
  <si>
    <t>16.087</t>
  </si>
  <si>
    <t>工具王 阿璋 ｜ 呂明璋</t>
  </si>
  <si>
    <t>8.213</t>
  </si>
  <si>
    <t>695.9399999999999</t>
  </si>
  <si>
    <t>30.482171999999995</t>
  </si>
  <si>
    <t>$9.90</t>
  </si>
  <si>
    <t>50.495</t>
  </si>
  <si>
    <t>$19.16</t>
  </si>
  <si>
    <t xml:space="preserve"> CORPS DIARY</t>
  </si>
  <si>
    <t>8.538</t>
  </si>
  <si>
    <t>420.75</t>
  </si>
  <si>
    <t>18.42885</t>
  </si>
  <si>
    <t>$6.90</t>
  </si>
  <si>
    <t>65.517</t>
  </si>
  <si>
    <t>$5.28</t>
  </si>
  <si>
    <t>Antonio Louback</t>
  </si>
  <si>
    <t>7.262</t>
  </si>
  <si>
    <t>127.1</t>
  </si>
  <si>
    <t>5.566979999999999</t>
  </si>
  <si>
    <t>$17.48</t>
  </si>
  <si>
    <t>Facebook</t>
  </si>
  <si>
    <t>33.93</t>
  </si>
  <si>
    <t>1.4861339999999998</t>
  </si>
  <si>
    <t>1454.1799999999998</t>
  </si>
  <si>
    <t>63.69308399999999</t>
  </si>
  <si>
    <t>2.550</t>
  </si>
  <si>
    <t>192.64000000000001</t>
  </si>
  <si>
    <t>8.437632</t>
  </si>
  <si>
    <t xml:space="preserve">Astro_11 </t>
  </si>
  <si>
    <t>$5.99</t>
  </si>
  <si>
    <t>siterij🇮🇹</t>
  </si>
  <si>
    <t>44.76</t>
  </si>
  <si>
    <t>1.9604879999999998</t>
  </si>
  <si>
    <t>$41.67</t>
  </si>
  <si>
    <t>$24.82</t>
  </si>
  <si>
    <t>Azumi.Zen</t>
  </si>
  <si>
    <t>vikijogos</t>
  </si>
  <si>
    <t>304.38</t>
  </si>
  <si>
    <t>13.331844</t>
  </si>
  <si>
    <t>$10.71</t>
  </si>
  <si>
    <t>46.429</t>
  </si>
  <si>
    <t>$8.76</t>
  </si>
  <si>
    <t>YANNICK TECH</t>
  </si>
  <si>
    <t>7.200</t>
  </si>
  <si>
    <t>365.03999999999996</t>
  </si>
  <si>
    <t>15.988751999999998</t>
  </si>
  <si>
    <t>$23.15</t>
  </si>
  <si>
    <t>$15.22</t>
  </si>
  <si>
    <t>Edis-Techtalk</t>
  </si>
  <si>
    <t>301.49</t>
  </si>
  <si>
    <t>13.205262</t>
  </si>
  <si>
    <t>Void Tech</t>
  </si>
  <si>
    <t>159.63</t>
  </si>
  <si>
    <t>6.991794</t>
  </si>
  <si>
    <t>$17.65</t>
  </si>
  <si>
    <t>11.765</t>
  </si>
  <si>
    <t>$4.18</t>
  </si>
  <si>
    <t>13.728</t>
  </si>
  <si>
    <t>Pedro Veroneze</t>
  </si>
  <si>
    <t>104.06</t>
  </si>
  <si>
    <t>4.557828</t>
  </si>
  <si>
    <t>112.19999999999999</t>
  </si>
  <si>
    <t>4.914359999999999</t>
  </si>
  <si>
    <t>black2k</t>
  </si>
  <si>
    <t>iNowis | Astuces Tech</t>
  </si>
  <si>
    <t>52.607</t>
  </si>
  <si>
    <t>2406.18</t>
  </si>
  <si>
    <t>105.390684</t>
  </si>
  <si>
    <t>$6.30</t>
  </si>
  <si>
    <t>68.487</t>
  </si>
  <si>
    <t>$4.16</t>
  </si>
  <si>
    <t>14.067</t>
  </si>
  <si>
    <t>335.78000000000003</t>
  </si>
  <si>
    <t>14.707164</t>
  </si>
  <si>
    <t>23.6873</t>
  </si>
  <si>
    <t>1.03750374</t>
  </si>
  <si>
    <t>Jan Yuri</t>
  </si>
  <si>
    <t>228.16</t>
  </si>
  <si>
    <t>9.993407999999999</t>
  </si>
  <si>
    <t>$64.52</t>
  </si>
  <si>
    <t>$19.48</t>
  </si>
  <si>
    <t>622.5999999999999</t>
  </si>
  <si>
    <t>27.269879999999993</t>
  </si>
  <si>
    <t>$36.36</t>
  </si>
  <si>
    <t>$21.42</t>
  </si>
  <si>
    <t>93.6</t>
  </si>
  <si>
    <t>4.099679999999999</t>
  </si>
  <si>
    <t>SR7O</t>
  </si>
  <si>
    <t>45.238</t>
  </si>
  <si>
    <t>3251.3900000000003</t>
  </si>
  <si>
    <t>142.41088200000002</t>
  </si>
  <si>
    <t>$1.07</t>
  </si>
  <si>
    <t>94.664</t>
  </si>
  <si>
    <t>$0.68</t>
  </si>
  <si>
    <t>82.913</t>
  </si>
  <si>
    <t>16.137</t>
  </si>
  <si>
    <t>3535.84</t>
  </si>
  <si>
    <t>154.869792</t>
  </si>
  <si>
    <t xml:space="preserve">Tech You Know </t>
  </si>
  <si>
    <t>814.23</t>
  </si>
  <si>
    <t>35.663274</t>
  </si>
  <si>
    <t>$4.02</t>
  </si>
  <si>
    <t>79.920</t>
  </si>
  <si>
    <t>$2.73</t>
  </si>
  <si>
    <t>37.846</t>
  </si>
  <si>
    <t>Abdullah Kameran - عبدالله كاميران</t>
  </si>
  <si>
    <t>伊拉克</t>
  </si>
  <si>
    <t>1.650</t>
  </si>
  <si>
    <t>15830.4</t>
  </si>
  <si>
    <t>693.3715199999999</t>
  </si>
  <si>
    <t>2.562</t>
  </si>
  <si>
    <t>6012.95</t>
  </si>
  <si>
    <t>263.36721</t>
  </si>
  <si>
    <t>1.388</t>
  </si>
  <si>
    <t>188.16</t>
  </si>
  <si>
    <t>8.241408</t>
  </si>
  <si>
    <t>Penlar</t>
  </si>
  <si>
    <t>16.825</t>
  </si>
  <si>
    <t>35.52</t>
  </si>
  <si>
    <t>1.555776</t>
  </si>
  <si>
    <t>20930.4</t>
  </si>
  <si>
    <t>916.75152</t>
  </si>
  <si>
    <t>43.975</t>
  </si>
  <si>
    <t>632.52</t>
  </si>
  <si>
    <t>27.704376</t>
  </si>
  <si>
    <t>$19.75</t>
  </si>
  <si>
    <t>1.235</t>
  </si>
  <si>
    <t>$28.11</t>
  </si>
  <si>
    <t>9.463</t>
  </si>
  <si>
    <t>439.25</t>
  </si>
  <si>
    <t>19.23915</t>
  </si>
  <si>
    <t>TechKnow Biz</t>
  </si>
  <si>
    <t>260.58</t>
  </si>
  <si>
    <t>11.413403999999998</t>
  </si>
  <si>
    <t>$11.63</t>
  </si>
  <si>
    <t>41.860</t>
  </si>
  <si>
    <t>$8.53</t>
  </si>
  <si>
    <t>104.49999999999999</t>
  </si>
  <si>
    <t>4.577099999999999</t>
  </si>
  <si>
    <t xml:space="preserve"> Streep Reviews</t>
  </si>
  <si>
    <t>乌克兰</t>
  </si>
  <si>
    <t>1461.3200000000002</t>
  </si>
  <si>
    <t>64.00581600000001</t>
  </si>
  <si>
    <t xml:space="preserve">Technic Tricks DE </t>
  </si>
  <si>
    <t>22.825</t>
  </si>
  <si>
    <t>462.8</t>
  </si>
  <si>
    <t>20.27064</t>
  </si>
  <si>
    <t>$76.92</t>
  </si>
  <si>
    <t>$48.02</t>
  </si>
  <si>
    <t>30.462</t>
  </si>
  <si>
    <t>618.66</t>
  </si>
  <si>
    <t>27.097307999999998</t>
  </si>
  <si>
    <t>Trucker Liam</t>
  </si>
  <si>
    <t>51.796</t>
  </si>
  <si>
    <t>3613.22</t>
  </si>
  <si>
    <t>158.25903599999998</t>
  </si>
  <si>
    <t>$3.74</t>
  </si>
  <si>
    <t>81.291</t>
  </si>
  <si>
    <t>$2.46</t>
  </si>
  <si>
    <t>42.332</t>
  </si>
  <si>
    <t>6.425</t>
  </si>
  <si>
    <t>2482.96</t>
  </si>
  <si>
    <t>108.753648</t>
  </si>
  <si>
    <t>1014.3199999999999</t>
  </si>
  <si>
    <t>44.427215999999994</t>
  </si>
  <si>
    <t>Issachar Lee | Personal Finance Edutainer</t>
  </si>
  <si>
    <t>36.363</t>
  </si>
  <si>
    <t>6567.12</t>
  </si>
  <si>
    <t>287.639856</t>
  </si>
  <si>
    <t>$8.83</t>
  </si>
  <si>
    <t>55.830</t>
  </si>
  <si>
    <t>$1.69</t>
  </si>
  <si>
    <t>57.702</t>
  </si>
  <si>
    <t>467.09999999999997</t>
  </si>
  <si>
    <t>20.458979999999997</t>
  </si>
  <si>
    <t>leonistech</t>
  </si>
  <si>
    <t>25.050</t>
  </si>
  <si>
    <t>3304.3999999999996</t>
  </si>
  <si>
    <t>144.73271999999997</t>
  </si>
  <si>
    <t>52.592</t>
  </si>
  <si>
    <t>2369.1</t>
  </si>
  <si>
    <t>103.76657999999999</t>
  </si>
  <si>
    <t>$30.20</t>
  </si>
  <si>
    <t>$8.44</t>
  </si>
  <si>
    <t>asherintech</t>
  </si>
  <si>
    <t>92</t>
  </si>
  <si>
    <t>4.0296</t>
  </si>
  <si>
    <t>0.088</t>
  </si>
  <si>
    <t>20.14</t>
  </si>
  <si>
    <t>0.882132</t>
  </si>
  <si>
    <t>limsaniity</t>
  </si>
  <si>
    <t>14.062</t>
  </si>
  <si>
    <t>558.25</t>
  </si>
  <si>
    <t>24.451349999999998</t>
  </si>
  <si>
    <t>14.656799999999999</t>
  </si>
  <si>
    <t>0.64196784</t>
  </si>
  <si>
    <t>yosheez</t>
  </si>
  <si>
    <t>962.52</t>
  </si>
  <si>
    <t>42.158376</t>
  </si>
  <si>
    <t>1.763</t>
  </si>
  <si>
    <t>410.99</t>
  </si>
  <si>
    <t>18.001362</t>
  </si>
  <si>
    <t>kayjayohpcs</t>
  </si>
  <si>
    <t>9903.179999999998</t>
  </si>
  <si>
    <t>433.7592839999999</t>
  </si>
  <si>
    <t>9.500</t>
  </si>
  <si>
    <t>950.4000000000001</t>
  </si>
  <si>
    <t>41.627520000000004</t>
  </si>
  <si>
    <t>721.2</t>
  </si>
  <si>
    <t>31.58856</t>
  </si>
  <si>
    <t>reaganlevi</t>
  </si>
  <si>
    <t>66.667</t>
  </si>
  <si>
    <t>150.96</t>
  </si>
  <si>
    <t>6.612048</t>
  </si>
  <si>
    <t>TechToker</t>
  </si>
  <si>
    <t>64.444</t>
  </si>
  <si>
    <t>1602.12</t>
  </si>
  <si>
    <t>70.172856</t>
  </si>
  <si>
    <t>Toukiwanti</t>
  </si>
  <si>
    <t>葡萄牙</t>
  </si>
  <si>
    <t>26.462</t>
  </si>
  <si>
    <t>268.40999999999997</t>
  </si>
  <si>
    <t>11.756357999999999</t>
  </si>
  <si>
    <t>$289.86</t>
  </si>
  <si>
    <t>$165.58</t>
  </si>
  <si>
    <t>Rez Tech</t>
  </si>
  <si>
    <t>3.150</t>
  </si>
  <si>
    <t>4390.400000000001</t>
  </si>
  <si>
    <t>192.29952000000003</t>
  </si>
  <si>
    <t>$5.10</t>
  </si>
  <si>
    <t>74.490</t>
  </si>
  <si>
    <t>$2.02</t>
  </si>
  <si>
    <t>49.590</t>
  </si>
  <si>
    <t>Kamikazz罪</t>
  </si>
  <si>
    <t>2295.4437</t>
  </si>
  <si>
    <t>100.54043406</t>
  </si>
  <si>
    <t>$1.47</t>
  </si>
  <si>
    <t>92.668</t>
  </si>
  <si>
    <t>$0.58</t>
  </si>
  <si>
    <t>85.478</t>
  </si>
  <si>
    <t xml:space="preserve">kura </t>
  </si>
  <si>
    <t>Science Gaming</t>
  </si>
  <si>
    <t>51.534</t>
  </si>
  <si>
    <t>943.4</t>
  </si>
  <si>
    <t>41.32092</t>
  </si>
  <si>
    <t>$64.15</t>
  </si>
  <si>
    <t>$40.04</t>
  </si>
  <si>
    <t>1.750</t>
  </si>
  <si>
    <t>877.8000000000001</t>
  </si>
  <si>
    <t>38.44764</t>
  </si>
  <si>
    <t>8.887</t>
  </si>
  <si>
    <t>2802.1400000000003</t>
  </si>
  <si>
    <t>122.73373200000002</t>
  </si>
  <si>
    <t>InfoDigitaeFR (Informatique)</t>
  </si>
  <si>
    <t>928.68</t>
  </si>
  <si>
    <t>40.676184</t>
  </si>
  <si>
    <t>$7.04</t>
  </si>
  <si>
    <t>64.789</t>
  </si>
  <si>
    <t>$4.79</t>
  </si>
  <si>
    <t>3.571</t>
  </si>
  <si>
    <t>157.85</t>
  </si>
  <si>
    <t>6.91383</t>
  </si>
  <si>
    <t>Chicken</t>
  </si>
  <si>
    <t>1650.9199999999998</t>
  </si>
  <si>
    <t>72.310296</t>
  </si>
  <si>
    <t>49.682</t>
  </si>
  <si>
    <t xml:space="preserve">max.torstensson </t>
  </si>
  <si>
    <t>1216.8</t>
  </si>
  <si>
    <t>53.29584</t>
  </si>
  <si>
    <t>$9.83</t>
  </si>
  <si>
    <t>50.855</t>
  </si>
  <si>
    <t>$4.20</t>
  </si>
  <si>
    <t>13.326</t>
  </si>
  <si>
    <t>Jeeker</t>
  </si>
  <si>
    <t>越南</t>
  </si>
  <si>
    <t>27142.250000000004</t>
  </si>
  <si>
    <t>1188.8305500000001</t>
  </si>
  <si>
    <t>profitwithAI</t>
  </si>
  <si>
    <t>170.97</t>
  </si>
  <si>
    <t>7.488486</t>
  </si>
  <si>
    <t>$13.00</t>
  </si>
  <si>
    <t>Skawa</t>
  </si>
  <si>
    <t>33.613</t>
  </si>
  <si>
    <t>6965</t>
  </si>
  <si>
    <t>305.067</t>
  </si>
  <si>
    <t>$12.86</t>
  </si>
  <si>
    <t>35.714</t>
  </si>
  <si>
    <t>$2.87</t>
  </si>
  <si>
    <t>35.475</t>
  </si>
  <si>
    <t>thedevlife</t>
  </si>
  <si>
    <t>6.125</t>
  </si>
  <si>
    <t>387.4</t>
  </si>
  <si>
    <t>16.96812</t>
  </si>
  <si>
    <t>$9.00</t>
  </si>
  <si>
    <t>55.000</t>
  </si>
  <si>
    <t>$10.33</t>
  </si>
  <si>
    <t>Zachary Charles</t>
  </si>
  <si>
    <t>20.000</t>
  </si>
  <si>
    <t>456</t>
  </si>
  <si>
    <t>19.9728</t>
  </si>
  <si>
    <t>Matt’s Computer Services</t>
  </si>
  <si>
    <t>547.5</t>
  </si>
  <si>
    <t>23.9805</t>
  </si>
  <si>
    <t>$8.12</t>
  </si>
  <si>
    <t>Stack Over Memes</t>
  </si>
  <si>
    <t>1213.6000000000001</t>
  </si>
  <si>
    <t>53.155680000000004</t>
  </si>
  <si>
    <t>$5.49</t>
  </si>
  <si>
    <t>Danica Simic</t>
  </si>
  <si>
    <t>8.012</t>
  </si>
  <si>
    <t>689.2199999999999</t>
  </si>
  <si>
    <t>30.187835999999994</t>
  </si>
  <si>
    <t>$9.67</t>
  </si>
  <si>
    <t>51.334</t>
  </si>
  <si>
    <t>$6.00</t>
  </si>
  <si>
    <t>70.000</t>
  </si>
  <si>
    <t>43.875</t>
  </si>
  <si>
    <t>811.8</t>
  </si>
  <si>
    <t>35.556839999999994</t>
  </si>
  <si>
    <t>52.500</t>
  </si>
  <si>
    <t>$10.40</t>
  </si>
  <si>
    <t>16.850</t>
  </si>
  <si>
    <t>60.6</t>
  </si>
  <si>
    <t>2.65428</t>
  </si>
  <si>
    <t>Carlos LV</t>
  </si>
  <si>
    <t>513</t>
  </si>
  <si>
    <t>22.4694</t>
  </si>
  <si>
    <t>50.500</t>
  </si>
  <si>
    <t>$4.29</t>
  </si>
  <si>
    <t>11.858</t>
  </si>
  <si>
    <t>AI News Central</t>
  </si>
  <si>
    <t>117</t>
  </si>
  <si>
    <t>5.1246</t>
  </si>
  <si>
    <t>Liberty TGP</t>
  </si>
  <si>
    <t>19.375</t>
  </si>
  <si>
    <t>1020</t>
  </si>
  <si>
    <t>$6.54</t>
  </si>
  <si>
    <t>OfficialZat</t>
  </si>
  <si>
    <t>137.8</t>
  </si>
  <si>
    <t>6.03564</t>
  </si>
  <si>
    <t>$3.23</t>
  </si>
  <si>
    <t>29.579</t>
  </si>
  <si>
    <t>Rohit Gupta</t>
  </si>
  <si>
    <t>3.538</t>
  </si>
  <si>
    <t>910.9300000000001</t>
  </si>
  <si>
    <t>39.898734000000005</t>
  </si>
  <si>
    <t>$9.97</t>
  </si>
  <si>
    <t>50.167</t>
  </si>
  <si>
    <t>$7.29</t>
  </si>
  <si>
    <t xml:space="preserve"> Chiico | Tech,Setup </t>
  </si>
  <si>
    <t>Tomex</t>
  </si>
  <si>
    <t>54.424</t>
  </si>
  <si>
    <t>12658.41</t>
  </si>
  <si>
    <t>554.438358</t>
  </si>
  <si>
    <t>$9.63</t>
  </si>
  <si>
    <t>51.830</t>
  </si>
  <si>
    <t>$2.63</t>
  </si>
  <si>
    <t>39.445</t>
  </si>
  <si>
    <t>2564.1</t>
  </si>
  <si>
    <t>112.30757999999999</t>
  </si>
  <si>
    <t>$4.33</t>
  </si>
  <si>
    <t>11.111</t>
  </si>
  <si>
    <t>19</t>
  </si>
  <si>
    <t>0.8321999999999999</t>
  </si>
  <si>
    <t>$17.54</t>
  </si>
  <si>
    <t>Ibo Ahmiane</t>
  </si>
  <si>
    <t>51.578</t>
  </si>
  <si>
    <t>577.8</t>
  </si>
  <si>
    <t>25.307639999999996</t>
  </si>
  <si>
    <t>Phil Pallen</t>
  </si>
  <si>
    <t>287.83</t>
  </si>
  <si>
    <t>12.606953999999998</t>
  </si>
  <si>
    <t>$50.00</t>
  </si>
  <si>
    <t>$3.86</t>
  </si>
  <si>
    <t>18.995</t>
  </si>
  <si>
    <t>zonages</t>
  </si>
  <si>
    <t>silly_con_valley</t>
  </si>
  <si>
    <t>ronniebezel</t>
  </si>
  <si>
    <t>tanishqprofile</t>
  </si>
  <si>
    <t>ifynaijacan_</t>
  </si>
  <si>
    <t>Shelly ☼ Diseño de Marcas</t>
  </si>
  <si>
    <t>1074.45</t>
  </si>
  <si>
    <t>47.06091</t>
  </si>
  <si>
    <t>$5.17</t>
  </si>
  <si>
    <t>10590</t>
  </si>
  <si>
    <t>463.842</t>
  </si>
  <si>
    <t>$1.05</t>
  </si>
  <si>
    <t>73.770</t>
  </si>
  <si>
    <t>Ziv Peer | Web Developer | Blogger</t>
  </si>
  <si>
    <t>444.15</t>
  </si>
  <si>
    <t>19.45377</t>
  </si>
  <si>
    <t>$15.01</t>
  </si>
  <si>
    <t>https://www.kwai.com/@CloserTech?kpn=KWAI&amp;share_device_id=687BC8AE-9F19-4BAD-9160-018E1BB32135&amp;share_item_type=profile&amp;share_id=687BC8AE-9F19-4BAD-9160-018E1BB32135_1735210204869&amp;language=pt-BR&amp;share_uid=150001516744020&amp;fid=150001516744020&amp;cc=COPY_LINK&amp;timestamp=1735210204865&amp;authorKwaiId=CloserTech&amp;translateKey=share_profile_default_word&amp;shareBucket=br&amp;pwa_source=share&amp;shareCountry=BRA&amp;shareBiz=profile&amp;share_item_info=%40CloserTech&amp;ept=v2&amp;short_key=CFxBuTmx&amp;PWA_share_N_string=20&amp;request_source=1001&amp;share_redirect_switch_choice=pwa</t>
  </si>
  <si>
    <t>Kwai</t>
  </si>
  <si>
    <t>theomarnatour</t>
  </si>
  <si>
    <t>163.3</t>
  </si>
  <si>
    <t>7.15254</t>
  </si>
  <si>
    <t>43.662</t>
  </si>
  <si>
    <t>$10.89</t>
  </si>
  <si>
    <t>Alex Craviotto | Developer</t>
  </si>
  <si>
    <t>410.2</t>
  </si>
  <si>
    <t>17.966759999999997</t>
  </si>
  <si>
    <t>$14.29</t>
  </si>
  <si>
    <t>28.571</t>
  </si>
  <si>
    <t>$5.42</t>
  </si>
  <si>
    <t>c1evergirl- ugc | tech | gamer</t>
  </si>
  <si>
    <t>688.55</t>
  </si>
  <si>
    <t>30.158489999999997</t>
  </si>
  <si>
    <t>29.543</t>
  </si>
  <si>
    <t>TECHTRICKZ</t>
  </si>
  <si>
    <t>26.388</t>
  </si>
  <si>
    <t>618.28</t>
  </si>
  <si>
    <t>27.080664</t>
  </si>
  <si>
    <t>$12.20</t>
  </si>
  <si>
    <t>39.024</t>
  </si>
  <si>
    <t>$7.19</t>
  </si>
  <si>
    <t xml:space="preserve">barneyytech </t>
  </si>
  <si>
    <t>Harry</t>
  </si>
  <si>
    <t>Twine Branding &amp; Design Ideas💡</t>
  </si>
  <si>
    <t>sethgodwin</t>
  </si>
  <si>
    <t>$12.50</t>
  </si>
  <si>
    <t>37.500</t>
  </si>
  <si>
    <t>Seth Godwin</t>
  </si>
  <si>
    <t>Sara AI Madani</t>
  </si>
  <si>
    <t>genevievelongbrake</t>
  </si>
  <si>
    <t xml:space="preserve"> Felon Entrepreneur</t>
  </si>
  <si>
    <t>3.162</t>
  </si>
  <si>
    <t>130.39999999999998</t>
  </si>
  <si>
    <t>5.711519999999999</t>
  </si>
  <si>
    <t>$17.04</t>
  </si>
  <si>
    <t>craftingwithcassandra</t>
  </si>
  <si>
    <t>22.638</t>
  </si>
  <si>
    <t>449.76000000000005</t>
  </si>
  <si>
    <t>19.699488000000002</t>
  </si>
  <si>
    <t>$9.92</t>
  </si>
  <si>
    <t>50.382</t>
  </si>
  <si>
    <t>$6.42</t>
  </si>
  <si>
    <t>SPG MARKS</t>
  </si>
  <si>
    <t>272.7</t>
  </si>
  <si>
    <t>11.94426</t>
  </si>
  <si>
    <t>$115.38</t>
  </si>
  <si>
    <t>$12.22</t>
  </si>
  <si>
    <t>Stefffanos</t>
  </si>
  <si>
    <t>6.375</t>
  </si>
  <si>
    <t>2312.87</t>
  </si>
  <si>
    <t>101.30370599999999</t>
  </si>
  <si>
    <t>$77.22</t>
  </si>
  <si>
    <t>$19.22</t>
  </si>
  <si>
    <t>D DesignHub</t>
  </si>
  <si>
    <t>47.325</t>
  </si>
  <si>
    <t>289.52000000000004</t>
  </si>
  <si>
    <t>12.680976000000001</t>
  </si>
  <si>
    <t>Matt Upham | AI, Tech, Coding</t>
  </si>
  <si>
    <t>50.067</t>
  </si>
  <si>
    <t>19.4463</t>
  </si>
  <si>
    <t>0.85174794</t>
  </si>
  <si>
    <t>$286.94</t>
  </si>
  <si>
    <t>$228.55</t>
  </si>
  <si>
    <t>0.225</t>
  </si>
  <si>
    <t>132.34</t>
  </si>
  <si>
    <t>5.796492</t>
  </si>
  <si>
    <t>$19.05</t>
  </si>
  <si>
    <t>4.762</t>
  </si>
  <si>
    <t>$20.15</t>
  </si>
  <si>
    <t>145.28</t>
  </si>
  <si>
    <t>6.363264</t>
  </si>
  <si>
    <t>$78.12</t>
  </si>
  <si>
    <t>$76.48</t>
  </si>
  <si>
    <t>RussFlipsWhips</t>
  </si>
  <si>
    <t>51.090</t>
  </si>
  <si>
    <t>10428.66</t>
  </si>
  <si>
    <t>456.775308</t>
  </si>
  <si>
    <t>$10.92</t>
  </si>
  <si>
    <t>45.415</t>
  </si>
  <si>
    <t>$3.20</t>
  </si>
  <si>
    <t>30.061</t>
  </si>
  <si>
    <t>⚡️Johanne | AI Tools &amp; News 🤖</t>
  </si>
  <si>
    <t>12.288</t>
  </si>
  <si>
    <t>203.72</t>
  </si>
  <si>
    <t>8.922936</t>
  </si>
  <si>
    <t>$45.45</t>
  </si>
  <si>
    <t>$21.82</t>
  </si>
  <si>
    <t>html Css JavaScript | Coding | Rohit 🚀🔥</t>
  </si>
  <si>
    <t>12.538</t>
  </si>
  <si>
    <t>320.48</t>
  </si>
  <si>
    <t>14.037024</t>
  </si>
  <si>
    <t>$11.54</t>
  </si>
  <si>
    <t>42.308</t>
  </si>
  <si>
    <t>Michelle Lawson</t>
  </si>
  <si>
    <t>483.28</t>
  </si>
  <si>
    <t>21.167664</t>
  </si>
  <si>
    <t>$11.98</t>
  </si>
  <si>
    <t>40.120</t>
  </si>
  <si>
    <t>147.95999999999998</t>
  </si>
  <si>
    <t>6.480647999999999</t>
  </si>
  <si>
    <t>Jigar Patel</t>
  </si>
  <si>
    <t>98.889</t>
  </si>
  <si>
    <t>2915.2200000000003</t>
  </si>
  <si>
    <t>127.68663600000001</t>
  </si>
  <si>
    <t>$21.13</t>
  </si>
  <si>
    <t>$30.49</t>
  </si>
  <si>
    <t>52.786</t>
  </si>
  <si>
    <t>18992.71</t>
  </si>
  <si>
    <t>831.8806979999999</t>
  </si>
  <si>
    <t>650.1</t>
  </si>
  <si>
    <t>28.47438</t>
  </si>
  <si>
    <t>Frankie Quiroz</t>
  </si>
  <si>
    <t>54.329</t>
  </si>
  <si>
    <t>4092.16</t>
  </si>
  <si>
    <t>179.236608</t>
  </si>
  <si>
    <t>0.062</t>
  </si>
  <si>
    <t>13579.7</t>
  </si>
  <si>
    <t>594.7908600000001</t>
  </si>
  <si>
    <t>Assigned to</t>
  </si>
  <si>
    <t>备注</t>
  </si>
  <si>
    <t>付款check 春节</t>
  </si>
  <si>
    <t>春节通知发送checklist</t>
  </si>
  <si>
    <t>发布排期</t>
  </si>
  <si>
    <t>Current Status</t>
  </si>
  <si>
    <t>Post link</t>
  </si>
  <si>
    <t>发布状态</t>
  </si>
  <si>
    <t>Currency</t>
  </si>
  <si>
    <t>最后修改人</t>
  </si>
  <si>
    <t>发布</t>
  </si>
  <si>
    <t>总消耗预算</t>
  </si>
  <si>
    <t>总剩余预算</t>
  </si>
  <si>
    <t>父记录 3</t>
  </si>
  <si>
    <t>Post link 副本</t>
  </si>
  <si>
    <t>Evolving ai</t>
  </si>
  <si>
    <t>唐旭康</t>
  </si>
  <si>
    <t>付款中</t>
  </si>
  <si>
    <t>已付</t>
  </si>
  <si>
    <t>hello.evolvingai@gmail.com</t>
  </si>
  <si>
    <t>wegic_marketteam@wegic.pro</t>
  </si>
  <si>
    <t>Posted</t>
  </si>
  <si>
    <t>T1 - United States</t>
  </si>
  <si>
    <t>66.722</t>
  </si>
  <si>
    <t>38095</t>
  </si>
  <si>
    <t>1668.561</t>
  </si>
  <si>
    <t>$6.03</t>
  </si>
  <si>
    <t>69.839</t>
  </si>
  <si>
    <t>13.333</t>
  </si>
  <si>
    <t>范子逸</t>
  </si>
  <si>
    <t>$54,180.80</t>
  </si>
  <si>
    <t>$103,808.67</t>
  </si>
  <si>
    <t>The Trillionaire Life $5000 IG</t>
  </si>
  <si>
    <t>已签完合同提审中</t>
  </si>
  <si>
    <t>已发Brief+材料, 需要先付款</t>
  </si>
  <si>
    <t>Whatsapp</t>
  </si>
  <si>
    <t>取消合作</t>
  </si>
  <si>
    <t>23940</t>
  </si>
  <si>
    <t>1048.572</t>
  </si>
  <si>
    <t>68.750</t>
  </si>
  <si>
    <t>5.979</t>
  </si>
  <si>
    <t>2.4 follow up</t>
  </si>
  <si>
    <t>contacto@topesdegama.com</t>
  </si>
  <si>
    <t>T1 - Spain</t>
  </si>
  <si>
    <t>51.989</t>
  </si>
  <si>
    <t>17654</t>
  </si>
  <si>
    <t>773.2452</t>
  </si>
  <si>
    <t>$3.75</t>
  </si>
  <si>
    <t>81.250</t>
  </si>
  <si>
    <t>$3.78</t>
  </si>
  <si>
    <t>20.395</t>
  </si>
  <si>
    <t>Wealth</t>
  </si>
  <si>
    <t xml:space="preserve">周五早上 Ready to go </t>
  </si>
  <si>
    <t>83.53</t>
  </si>
  <si>
    <t>已发Brief+材料</t>
  </si>
  <si>
    <t>whatsapp</t>
  </si>
  <si>
    <t>54.667</t>
  </si>
  <si>
    <t>Exellent</t>
  </si>
  <si>
    <t>56.500</t>
  </si>
  <si>
    <t>Yes</t>
  </si>
  <si>
    <t>66.350</t>
  </si>
  <si>
    <t>62.125</t>
  </si>
  <si>
    <t>64.286</t>
  </si>
  <si>
    <t>72.025</t>
  </si>
  <si>
    <t>46350</t>
  </si>
  <si>
    <t>2030.1299999999999</t>
  </si>
  <si>
    <t>$0.83</t>
  </si>
  <si>
    <t>95.834</t>
  </si>
  <si>
    <t>$1.28</t>
  </si>
  <si>
    <t>68.045</t>
  </si>
  <si>
    <t>ChatgptTricks $2000 Reel+carousel</t>
  </si>
  <si>
    <t>1.6已付款</t>
  </si>
  <si>
    <t>61.300</t>
  </si>
  <si>
    <t>9102</t>
  </si>
  <si>
    <t>398.6676</t>
  </si>
  <si>
    <t>$6.67</t>
  </si>
  <si>
    <t>$4.88</t>
  </si>
  <si>
    <t>1.951</t>
  </si>
  <si>
    <t>Pawan X Wegic</t>
  </si>
  <si>
    <t>ready to go</t>
  </si>
  <si>
    <t>Adnan Hashmi Discussing</t>
  </si>
  <si>
    <t>ready to post</t>
  </si>
  <si>
    <t>已发Brief</t>
  </si>
  <si>
    <t>aima@inspired-analyst.com</t>
  </si>
  <si>
    <t>T1 - United Arab Emirates</t>
  </si>
  <si>
    <t>55.547</t>
  </si>
  <si>
    <t>32973.6</t>
  </si>
  <si>
    <t>1444.2436799999998</t>
  </si>
  <si>
    <t>$3.48</t>
  </si>
  <si>
    <t>82.599</t>
  </si>
  <si>
    <t>74.727</t>
  </si>
  <si>
    <t>Amer Nour $1300 Tt</t>
  </si>
  <si>
    <t>多维表格助手</t>
  </si>
  <si>
    <t>1.13 draft 完成 审核中</t>
  </si>
  <si>
    <t>T2 - Italy</t>
  </si>
  <si>
    <t>14647.2</t>
  </si>
  <si>
    <t>641.54736</t>
  </si>
  <si>
    <t>$6.04</t>
  </si>
  <si>
    <t>69.824</t>
  </si>
  <si>
    <t>$1.97</t>
  </si>
  <si>
    <t>50.692</t>
  </si>
  <si>
    <t xml:space="preserve">josephabehsera </t>
  </si>
  <si>
    <t>2.10 已提醒付款完成</t>
  </si>
  <si>
    <t>预付一半</t>
  </si>
  <si>
    <t>有delay 风险</t>
  </si>
  <si>
    <t>joseph@visble.io</t>
  </si>
  <si>
    <t>19.000</t>
  </si>
  <si>
    <t>8568</t>
  </si>
  <si>
    <t>375.2784</t>
  </si>
  <si>
    <t>35.000</t>
  </si>
  <si>
    <t>$3.37</t>
  </si>
  <si>
    <t>27.138</t>
  </si>
  <si>
    <t>Elvis Tusha</t>
  </si>
  <si>
    <t>1.23 今天晚上发</t>
  </si>
  <si>
    <t>已发送draft</t>
  </si>
  <si>
    <t>elvistushatech@gmail.com</t>
  </si>
  <si>
    <t>collab@wegic.ai</t>
  </si>
  <si>
    <t>8.100</t>
  </si>
  <si>
    <t>9781.2</t>
  </si>
  <si>
    <t>428.41656</t>
  </si>
  <si>
    <t>$4.98</t>
  </si>
  <si>
    <t>75.080</t>
  </si>
  <si>
    <t>$2.84</t>
  </si>
  <si>
    <t>36.001</t>
  </si>
  <si>
    <t>SetupsAI (Tony)</t>
  </si>
  <si>
    <t>等待发布 先付50%</t>
  </si>
  <si>
    <t>63.79</t>
  </si>
  <si>
    <t>draft done</t>
  </si>
  <si>
    <t>52.872</t>
  </si>
  <si>
    <t>53.750</t>
  </si>
  <si>
    <t>Tech(software+hardware)</t>
  </si>
  <si>
    <t>75</t>
  </si>
  <si>
    <t>96.000</t>
  </si>
  <si>
    <t>64.375</t>
  </si>
  <si>
    <t>61.429</t>
  </si>
  <si>
    <t>59.500</t>
  </si>
  <si>
    <t>63387.6</t>
  </si>
  <si>
    <t>2776.37688</t>
  </si>
  <si>
    <t>$0.96</t>
  </si>
  <si>
    <t>95.220</t>
  </si>
  <si>
    <t>$0.35</t>
  </si>
  <si>
    <t>91.236</t>
  </si>
  <si>
    <t>Ellie</t>
  </si>
  <si>
    <t>已预付</t>
  </si>
  <si>
    <t>T2 - Mexico</t>
  </si>
  <si>
    <t>51.622</t>
  </si>
  <si>
    <t>9096</t>
  </si>
  <si>
    <t>398.40479999999997</t>
  </si>
  <si>
    <t>$4.40</t>
  </si>
  <si>
    <t>78.012</t>
  </si>
  <si>
    <t>42.615</t>
  </si>
  <si>
    <t>Logiaweb</t>
  </si>
  <si>
    <t>1.21 draft修改中</t>
  </si>
  <si>
    <t>已发Brief+材料, 已预付</t>
  </si>
  <si>
    <t>33.625</t>
  </si>
  <si>
    <t>7649.999999999999</t>
  </si>
  <si>
    <t>335.06999999999994</t>
  </si>
  <si>
    <t>$2.90</t>
  </si>
  <si>
    <t>34.919</t>
  </si>
  <si>
    <t>1.15 号跟进，1.18号发布</t>
  </si>
  <si>
    <t>已提醒</t>
  </si>
  <si>
    <t>已发Brief+材料, 有delay 风险</t>
  </si>
  <si>
    <t>buongiornissimo@caffe-design.it</t>
  </si>
  <si>
    <t>5880</t>
  </si>
  <si>
    <t>257.544</t>
  </si>
  <si>
    <t>$8.33</t>
  </si>
  <si>
    <t>58.333</t>
  </si>
  <si>
    <t>20.345</t>
  </si>
  <si>
    <t>DisizYyov ig</t>
  </si>
  <si>
    <t>posted</t>
  </si>
  <si>
    <t>T1 - France</t>
  </si>
  <si>
    <t>10350</t>
  </si>
  <si>
    <t>453.33</t>
  </si>
  <si>
    <t>$2.50</t>
  </si>
  <si>
    <t>87.500</t>
  </si>
  <si>
    <t>$2.15</t>
  </si>
  <si>
    <t>47.549</t>
  </si>
  <si>
    <t>Gabriel €1000 TT IG FB YT</t>
  </si>
  <si>
    <t>1.23 待发布</t>
  </si>
  <si>
    <t>technictricksde@gmail.com</t>
  </si>
  <si>
    <t>T2 - Germany</t>
  </si>
  <si>
    <t>14404</t>
  </si>
  <si>
    <t>630.8951999999999</t>
  </si>
  <si>
    <t>$3.85</t>
  </si>
  <si>
    <t>80.769</t>
  </si>
  <si>
    <t>$1.54</t>
  </si>
  <si>
    <t>61.430</t>
  </si>
  <si>
    <t>Kaspar Pampis IA $2000 Ig Tt</t>
  </si>
  <si>
    <t>1.13 等待付款发布 ready to go</t>
  </si>
  <si>
    <t>已推荐加WhatsApp , 需要先付款</t>
  </si>
  <si>
    <t>6849.5</t>
  </si>
  <si>
    <t>300.0081</t>
  </si>
  <si>
    <t>$5.62</t>
  </si>
  <si>
    <t>71.910</t>
  </si>
  <si>
    <t>$3.24</t>
  </si>
  <si>
    <t>29.261</t>
  </si>
  <si>
    <t>Pampis IA</t>
  </si>
  <si>
    <t xml:space="preserve">已推荐加WhatsApp </t>
  </si>
  <si>
    <t>53.463</t>
  </si>
  <si>
    <t>20913.48</t>
  </si>
  <si>
    <t>916.010424</t>
  </si>
  <si>
    <t>$4.32</t>
  </si>
  <si>
    <t>78.411</t>
  </si>
  <si>
    <t>$1.06</t>
  </si>
  <si>
    <t>73.436</t>
  </si>
  <si>
    <t>Hurricane</t>
  </si>
  <si>
    <t>未发single推, 已提醒</t>
  </si>
  <si>
    <t>Twitter</t>
  </si>
  <si>
    <t>Twitter Thread</t>
  </si>
  <si>
    <t>8.125</t>
  </si>
  <si>
    <t>12000</t>
  </si>
  <si>
    <t>525.6</t>
  </si>
  <si>
    <t>$1.85</t>
  </si>
  <si>
    <t>53.704</t>
  </si>
  <si>
    <t>Leo Deep ig</t>
  </si>
  <si>
    <t>5858</t>
  </si>
  <si>
    <t>256.5804</t>
  </si>
  <si>
    <t>$23.75</t>
  </si>
  <si>
    <t>$3.60</t>
  </si>
  <si>
    <t>23.270</t>
  </si>
  <si>
    <t>OXYDOXYTV(Daniel ) ig</t>
  </si>
  <si>
    <t>王晨杰</t>
  </si>
  <si>
    <t>draft done等待发布</t>
  </si>
  <si>
    <t>@范子逸微信</t>
  </si>
  <si>
    <t>WeChat</t>
  </si>
  <si>
    <t>8110.599999999999</t>
  </si>
  <si>
    <t>355.24427999999995</t>
  </si>
  <si>
    <t>$2.47</t>
  </si>
  <si>
    <t>42.235</t>
  </si>
  <si>
    <t xml:space="preserve">1.14 发送invoice </t>
  </si>
  <si>
    <t>7960</t>
  </si>
  <si>
    <t>348.64799999999997</t>
  </si>
  <si>
    <t>$11.25</t>
  </si>
  <si>
    <t>43.750</t>
  </si>
  <si>
    <t>$2.51</t>
  </si>
  <si>
    <t>41.457</t>
  </si>
  <si>
    <t>Rl Carbona $900 Tk</t>
  </si>
  <si>
    <t>1.16</t>
  </si>
  <si>
    <t>83984.55</t>
  </si>
  <si>
    <t>3678.52329</t>
  </si>
  <si>
    <t>$0.91</t>
  </si>
  <si>
    <t>95.472</t>
  </si>
  <si>
    <t>$0.24</t>
  </si>
  <si>
    <t>94.047</t>
  </si>
  <si>
    <t>Yofumedia</t>
  </si>
  <si>
    <t>（delay) 1.26 follow up + collab follow up</t>
  </si>
  <si>
    <t xml:space="preserve">确认最后报价中, 已推荐加WhatsApp </t>
  </si>
  <si>
    <t>yofu@yofumedia.com</t>
  </si>
  <si>
    <t>Chill Blinton!</t>
  </si>
  <si>
    <t>1.16 火烧房子无法合作</t>
  </si>
  <si>
    <t>info@chillmedia.cool</t>
  </si>
  <si>
    <t>OverTips (euros)</t>
  </si>
  <si>
    <t>drafting</t>
  </si>
  <si>
    <t>overtips.social@gmail.com</t>
  </si>
  <si>
    <t>51.394</t>
  </si>
  <si>
    <t>5600</t>
  </si>
  <si>
    <t>245.28</t>
  </si>
  <si>
    <t>$8.90</t>
  </si>
  <si>
    <t>55.500</t>
  </si>
  <si>
    <t>$3.53</t>
  </si>
  <si>
    <t>24.471</t>
  </si>
  <si>
    <t>drafting中，需要在完成draft后付款</t>
  </si>
  <si>
    <t>contactgabzer@gmail.com</t>
  </si>
  <si>
    <t>Sami Peña</t>
  </si>
  <si>
    <t>1.16 发送draft</t>
  </si>
  <si>
    <t>6006</t>
  </si>
  <si>
    <t>263.0628</t>
  </si>
  <si>
    <t>$2.96</t>
  </si>
  <si>
    <t>34.000</t>
  </si>
  <si>
    <t>EL IAS</t>
  </si>
  <si>
    <t>esdibarte@gmail.com</t>
  </si>
  <si>
    <t>5.500</t>
  </si>
  <si>
    <t>7200</t>
  </si>
  <si>
    <t>315.36</t>
  </si>
  <si>
    <t>$26.67</t>
  </si>
  <si>
    <t>42.181</t>
  </si>
  <si>
    <t>Adrian Markovac £800 Tk</t>
  </si>
  <si>
    <t>inthewvlogs@gmail.com</t>
  </si>
  <si>
    <t>T1 - United Kingdom</t>
  </si>
  <si>
    <t>4616</t>
  </si>
  <si>
    <t>202.1808</t>
  </si>
  <si>
    <t>$13.86</t>
  </si>
  <si>
    <t>30.676</t>
  </si>
  <si>
    <t>19.144</t>
  </si>
  <si>
    <t>Gabzer YT</t>
  </si>
  <si>
    <t>53.333</t>
  </si>
  <si>
    <t>900</t>
  </si>
  <si>
    <t>39.42</t>
  </si>
  <si>
    <t>$8.89</t>
  </si>
  <si>
    <t>Gabzer IG</t>
  </si>
  <si>
    <t>和revishaan一个公司的，打包谈的价格；待确认联系方式</t>
  </si>
  <si>
    <t>已推荐加WhatsApp , 已发Brief,  材料待发</t>
  </si>
  <si>
    <t>sophie@revishaan.com</t>
  </si>
  <si>
    <t>NowisTech tt</t>
  </si>
  <si>
    <t>52.738</t>
  </si>
  <si>
    <t>4000</t>
  </si>
  <si>
    <t>175.2</t>
  </si>
  <si>
    <t>$7.50</t>
  </si>
  <si>
    <t>62.500</t>
  </si>
  <si>
    <t>$4.17</t>
  </si>
  <si>
    <t>13.889</t>
  </si>
  <si>
    <t xml:space="preserve"> Javier Ponce 🎃</t>
  </si>
  <si>
    <t>1.14 等付款 ready to go</t>
  </si>
  <si>
    <t>magojp.contacto@gmail.com</t>
  </si>
  <si>
    <t>T1 - Australia</t>
  </si>
  <si>
    <t>54.622</t>
  </si>
  <si>
    <t>36640</t>
  </si>
  <si>
    <t>1604.8319999999999</t>
  </si>
  <si>
    <t>$0.45</t>
  </si>
  <si>
    <t>88.628</t>
  </si>
  <si>
    <t>krishna goswami Ins $700</t>
  </si>
  <si>
    <t>1.28 发布, follow up</t>
  </si>
  <si>
    <t>Penlar (tt+reel $800)</t>
  </si>
  <si>
    <t>30217</t>
  </si>
  <si>
    <t>1323.5046</t>
  </si>
  <si>
    <t>$9.71</t>
  </si>
  <si>
    <t>51.429</t>
  </si>
  <si>
    <t>$0.50</t>
  </si>
  <si>
    <t>87.498</t>
  </si>
  <si>
    <t>Valerio R</t>
  </si>
  <si>
    <t>1.24 ready to go</t>
  </si>
  <si>
    <t>已发Brief+材料, 已全付</t>
  </si>
  <si>
    <t>60.000</t>
  </si>
  <si>
    <t>1960</t>
  </si>
  <si>
    <t>85.848</t>
  </si>
  <si>
    <t>$6.13</t>
  </si>
  <si>
    <t>69.369</t>
  </si>
  <si>
    <t>$7.37</t>
  </si>
  <si>
    <t>Eloiljf (tt $700)</t>
  </si>
  <si>
    <t>1.7待审核</t>
  </si>
  <si>
    <t>14.975</t>
  </si>
  <si>
    <t>4500</t>
  </si>
  <si>
    <t>197.1</t>
  </si>
  <si>
    <t>78.333</t>
  </si>
  <si>
    <t>$3.21</t>
  </si>
  <si>
    <t>29.835</t>
  </si>
  <si>
    <t>1.16 ready to go</t>
  </si>
  <si>
    <t>lucaspiaceski@gmail.com</t>
  </si>
  <si>
    <t>5700</t>
  </si>
  <si>
    <t>249.66</t>
  </si>
  <si>
    <t>$2.53</t>
  </si>
  <si>
    <t>41.098</t>
  </si>
  <si>
    <t>32.625</t>
  </si>
  <si>
    <t>16606</t>
  </si>
  <si>
    <t>727.3428</t>
  </si>
  <si>
    <t>$0.80</t>
  </si>
  <si>
    <t>79.927</t>
  </si>
  <si>
    <t>姚伟坤</t>
  </si>
  <si>
    <t>Johntool-工具王阿璋</t>
  </si>
  <si>
    <t>7125.099999999999</t>
  </si>
  <si>
    <t>312.07937999999996</t>
  </si>
  <si>
    <t>$7.44</t>
  </si>
  <si>
    <t>62.779</t>
  </si>
  <si>
    <t>$1.87</t>
  </si>
  <si>
    <t>53.217</t>
  </si>
  <si>
    <t>VanyBlue💙</t>
  </si>
  <si>
    <t>1.21 follow up</t>
  </si>
  <si>
    <t>vanyblue.contacto@gmail.com</t>
  </si>
  <si>
    <t>55.189</t>
  </si>
  <si>
    <t>5330</t>
  </si>
  <si>
    <t>233.45399999999998</t>
  </si>
  <si>
    <t>$4.62</t>
  </si>
  <si>
    <t>76.923</t>
  </si>
  <si>
    <t>41.641</t>
  </si>
  <si>
    <t>luigi 800 euros ig tt</t>
  </si>
  <si>
    <t>1.17 待发布</t>
  </si>
  <si>
    <t>50.613</t>
  </si>
  <si>
    <t>4497.12</t>
  </si>
  <si>
    <t>196.97385599999998</t>
  </si>
  <si>
    <t>33.919</t>
  </si>
  <si>
    <t>Infinite</t>
  </si>
  <si>
    <t>5000</t>
  </si>
  <si>
    <t>219</t>
  </si>
  <si>
    <t>$2.67</t>
  </si>
  <si>
    <t>38.889</t>
  </si>
  <si>
    <t>Incroillable (Gabriel)</t>
  </si>
  <si>
    <t>22.46</t>
  </si>
  <si>
    <t>已发Brief,  材料待发, 已全付</t>
  </si>
  <si>
    <t>minutework1@gmail.com</t>
  </si>
  <si>
    <t>5782.6</t>
  </si>
  <si>
    <t>253.27788</t>
  </si>
  <si>
    <t>$5.52</t>
  </si>
  <si>
    <t>72.417</t>
  </si>
  <si>
    <t>$2.11</t>
  </si>
  <si>
    <t>48.106</t>
  </si>
  <si>
    <t>mahat$537 IG</t>
  </si>
  <si>
    <t>【已付$173.15】 移到2月</t>
  </si>
  <si>
    <t>需要先付款, 已发Brief+材料</t>
  </si>
  <si>
    <t>studyihng@gmail.com</t>
  </si>
  <si>
    <t>16.163</t>
  </si>
  <si>
    <t>13643.349999999999</t>
  </si>
  <si>
    <t>597.57873</t>
  </si>
  <si>
    <t>$6.71</t>
  </si>
  <si>
    <t>66.438</t>
  </si>
  <si>
    <t>$0.87</t>
  </si>
  <si>
    <t>78.133</t>
  </si>
  <si>
    <t>Worlds Greatest Gadgets</t>
  </si>
  <si>
    <t>1.16 draft 反馈</t>
  </si>
  <si>
    <t>70.26</t>
  </si>
  <si>
    <t>gus@junglebadger.com</t>
  </si>
  <si>
    <t>No rush on payment</t>
  </si>
  <si>
    <t>50.622</t>
  </si>
  <si>
    <t>45.000</t>
  </si>
  <si>
    <t>83.300</t>
  </si>
  <si>
    <t>60.500</t>
  </si>
  <si>
    <t>77.233</t>
  </si>
  <si>
    <t>56.875</t>
  </si>
  <si>
    <t>68.571</t>
  </si>
  <si>
    <t>53.275</t>
  </si>
  <si>
    <t>7228</t>
  </si>
  <si>
    <t>316.58639999999997</t>
  </si>
  <si>
    <t>$4.11</t>
  </si>
  <si>
    <t>79.458</t>
  </si>
  <si>
    <t>61.569</t>
  </si>
  <si>
    <t xml:space="preserve"> IAenlinea 🤖💛</t>
  </si>
  <si>
    <t>ready to post 16/01, at 7:30 pm (Spanish time)</t>
  </si>
  <si>
    <t>contacto@iaenlinea.com</t>
  </si>
  <si>
    <t>26.875</t>
  </si>
  <si>
    <t>3465</t>
  </si>
  <si>
    <t>151.767</t>
  </si>
  <si>
    <t>29.889</t>
  </si>
  <si>
    <t>AtomicDragonoy</t>
  </si>
  <si>
    <t>2.5 达人删除tiktok视频 已询问</t>
  </si>
  <si>
    <t>atomicdragonoy.contacto@gmail.com</t>
  </si>
  <si>
    <t>29.950</t>
  </si>
  <si>
    <t>7104.7699999999995</t>
  </si>
  <si>
    <t>311.188926</t>
  </si>
  <si>
    <t>$3.46</t>
  </si>
  <si>
    <t>82.723</t>
  </si>
  <si>
    <t>$1.56</t>
  </si>
  <si>
    <t>60.903</t>
  </si>
  <si>
    <t>Edú | Tips de Tecnología ⚡️</t>
  </si>
  <si>
    <t>1/17 draft 审核中</t>
  </si>
  <si>
    <t>53.087</t>
  </si>
  <si>
    <t>4240</t>
  </si>
  <si>
    <t>185.712</t>
  </si>
  <si>
    <t>$2.62</t>
  </si>
  <si>
    <t>39.658</t>
  </si>
  <si>
    <t>Adam Digital ($500 Reel)</t>
  </si>
  <si>
    <t>1.7发布</t>
  </si>
  <si>
    <t>25.57</t>
  </si>
  <si>
    <t>58.767</t>
  </si>
  <si>
    <t>3222.5</t>
  </si>
  <si>
    <t>141.1455</t>
  </si>
  <si>
    <t>$3.45</t>
  </si>
  <si>
    <t>25.867</t>
  </si>
  <si>
    <t xml:space="preserve"> Conectado 🔌</t>
  </si>
  <si>
    <t>1.16 draft 修改</t>
  </si>
  <si>
    <t>conectadostechcontacto@gmail.com</t>
  </si>
  <si>
    <t>51.586</t>
  </si>
  <si>
    <t>2800</t>
  </si>
  <si>
    <t>122.64</t>
  </si>
  <si>
    <t>$7.14</t>
  </si>
  <si>
    <t>$3.97</t>
  </si>
  <si>
    <t>17.196</t>
  </si>
  <si>
    <t>derjotech $500 IG</t>
  </si>
  <si>
    <t>1.22 已付款 待发布</t>
  </si>
  <si>
    <t>31.000</t>
  </si>
  <si>
    <t>8700</t>
  </si>
  <si>
    <t>381.06</t>
  </si>
  <si>
    <t>$14.71</t>
  </si>
  <si>
    <t>26.471</t>
  </si>
  <si>
    <t>68.072</t>
  </si>
  <si>
    <t>artificialmente.ai</t>
  </si>
  <si>
    <t>3.125</t>
  </si>
  <si>
    <t>$16.67</t>
  </si>
  <si>
    <t>16.667</t>
  </si>
  <si>
    <t>$2.22</t>
  </si>
  <si>
    <t>46.296</t>
  </si>
  <si>
    <t>Creative Suite Tutorials</t>
  </si>
  <si>
    <t>2.10 已通知付款完成，等待发布排期</t>
  </si>
  <si>
    <t>businesscreativesuite@gmail.com</t>
  </si>
  <si>
    <t>Not yet</t>
  </si>
  <si>
    <t>3120</t>
  </si>
  <si>
    <t>136.656</t>
  </si>
  <si>
    <t>$20.83</t>
  </si>
  <si>
    <t>$3.56</t>
  </si>
  <si>
    <t>23.979</t>
  </si>
  <si>
    <t>HARUN $500 3 Platforms</t>
  </si>
  <si>
    <t>2.4 表示会马上发布</t>
  </si>
  <si>
    <t>harun769@hotmail.com</t>
  </si>
  <si>
    <t>15.250</t>
  </si>
  <si>
    <t>4218</t>
  </si>
  <si>
    <t>184.7484</t>
  </si>
  <si>
    <t>39.430</t>
  </si>
  <si>
    <t>已签合同，预付 50% ($750 USD) via PayPal to ellycontactos@gmail.com</t>
  </si>
  <si>
    <t>The AI Colony(pounds)</t>
  </si>
  <si>
    <t>未发single推,已提醒</t>
  </si>
  <si>
    <t>4.300</t>
  </si>
  <si>
    <t>3000</t>
  </si>
  <si>
    <t>131.4</t>
  </si>
  <si>
    <t>$1.66</t>
  </si>
  <si>
    <t>91.683</t>
  </si>
  <si>
    <t>$3.70</t>
  </si>
  <si>
    <t>21.728</t>
  </si>
  <si>
    <t xml:space="preserve">No es Brujería, es Tecnología </t>
  </si>
  <si>
    <t>1.29 最后一次follow up</t>
  </si>
  <si>
    <t>已发Brief,  材料待发</t>
  </si>
  <si>
    <t>Angry tom</t>
  </si>
  <si>
    <t>2.650</t>
  </si>
  <si>
    <t>2400</t>
  </si>
  <si>
    <t>105.11999999999999</t>
  </si>
  <si>
    <t>$0.56</t>
  </si>
  <si>
    <t>97.188</t>
  </si>
  <si>
    <t>TecnoVickz</t>
  </si>
  <si>
    <t>（delay）1.24 follow up</t>
  </si>
  <si>
    <t>tecnovickz@gmail.com</t>
  </si>
  <si>
    <t>Rene$650 IG</t>
  </si>
  <si>
    <t xml:space="preserve">1.13 2-3 pm gmt+1 </t>
  </si>
  <si>
    <t>3087.8999999999996</t>
  </si>
  <si>
    <t>135.25001999999998</t>
  </si>
  <si>
    <t>$6.43</t>
  </si>
  <si>
    <t>67.857</t>
  </si>
  <si>
    <t>29.359</t>
  </si>
  <si>
    <t>1.22 ready to go paypal account is yoma240@gmail.com</t>
  </si>
  <si>
    <t>需要先付款</t>
  </si>
  <si>
    <t>4.562</t>
  </si>
  <si>
    <t>9170</t>
  </si>
  <si>
    <t>401.646</t>
  </si>
  <si>
    <t>$1.09</t>
  </si>
  <si>
    <t>72.737</t>
  </si>
  <si>
    <t>1.16 draft反馈</t>
  </si>
  <si>
    <t>57.81</t>
  </si>
  <si>
    <t>47.087</t>
  </si>
  <si>
    <t>92.667</t>
  </si>
  <si>
    <t>78.667</t>
  </si>
  <si>
    <t>89.733</t>
  </si>
  <si>
    <t>10.667</t>
  </si>
  <si>
    <t>50.714</t>
  </si>
  <si>
    <t>92.750</t>
  </si>
  <si>
    <t>2038.5</t>
  </si>
  <si>
    <t>89.2863</t>
  </si>
  <si>
    <t>$5.30</t>
  </si>
  <si>
    <t>73.510</t>
  </si>
  <si>
    <t>10.658</t>
  </si>
  <si>
    <t>2.10 等待收 English transcript, draft已发</t>
  </si>
  <si>
    <t>2688</t>
  </si>
  <si>
    <t>117.7344</t>
  </si>
  <si>
    <t>$3.31</t>
  </si>
  <si>
    <t>28.219</t>
  </si>
  <si>
    <t>Mayra notes</t>
  </si>
  <si>
    <t>(may delay)1.22 已催 未回</t>
  </si>
  <si>
    <t>mayranotes@hotmail.com</t>
  </si>
  <si>
    <t>Hasan Toor</t>
  </si>
  <si>
    <t>已发single推</t>
  </si>
  <si>
    <t>35.300</t>
  </si>
  <si>
    <t>$8.00</t>
  </si>
  <si>
    <t>Rajas$800 IG</t>
  </si>
  <si>
    <t>1.22 draft 审核</t>
  </si>
  <si>
    <t>10.500</t>
  </si>
  <si>
    <t>2668</t>
  </si>
  <si>
    <t>116.8584</t>
  </si>
  <si>
    <t>$3.33</t>
  </si>
  <si>
    <t>27.806</t>
  </si>
  <si>
    <t xml:space="preserve">ItsAmineAzizi </t>
  </si>
  <si>
    <t>要付款</t>
  </si>
  <si>
    <t>itsamineazizi@gmail.com</t>
  </si>
  <si>
    <t>33.951</t>
  </si>
  <si>
    <t>Infotricks</t>
  </si>
  <si>
    <t>1.17 付款完 已催发布</t>
  </si>
  <si>
    <t>17.000</t>
  </si>
  <si>
    <t>9440</t>
  </si>
  <si>
    <t>413.472</t>
  </si>
  <si>
    <t>$0.94</t>
  </si>
  <si>
    <t>76.460</t>
  </si>
  <si>
    <t>Business|Tecnology|AI ( $400 Carousel)</t>
  </si>
  <si>
    <t>2.13 已付款 待发布</t>
  </si>
  <si>
    <t>70.867</t>
  </si>
  <si>
    <t>21402</t>
  </si>
  <si>
    <t>937.4076</t>
  </si>
  <si>
    <t>$0.42</t>
  </si>
  <si>
    <t>89.617</t>
  </si>
  <si>
    <t>nicolas$650 TT IG</t>
  </si>
  <si>
    <t>Ana Vianna</t>
  </si>
  <si>
    <t>1.14 确定合作</t>
  </si>
  <si>
    <t>anaviannaoficial@gmail.com</t>
  </si>
  <si>
    <t>52.866</t>
  </si>
  <si>
    <t>12985</t>
  </si>
  <si>
    <t>568.7429999999999</t>
  </si>
  <si>
    <t>$1.14</t>
  </si>
  <si>
    <t>94.286</t>
  </si>
  <si>
    <t>82.886</t>
  </si>
  <si>
    <t>weareallengineers</t>
  </si>
  <si>
    <t>2.10 ready to go follow up</t>
  </si>
  <si>
    <t>hanaeeanthony@gmail.com</t>
  </si>
  <si>
    <t>24.375</t>
  </si>
  <si>
    <t>4425</t>
  </si>
  <si>
    <t>193.815</t>
  </si>
  <si>
    <t>49.854</t>
  </si>
  <si>
    <t>Rodo $399 tk</t>
  </si>
  <si>
    <t>1.16 Draf待审核</t>
  </si>
  <si>
    <t>rodolfo.vazquezmoreno@viep.com.mx</t>
  </si>
  <si>
    <t>6000</t>
  </si>
  <si>
    <t>262.8</t>
  </si>
  <si>
    <t>$0.67</t>
  </si>
  <si>
    <t>96.675</t>
  </si>
  <si>
    <t>$1.48</t>
  </si>
  <si>
    <t>63.056</t>
  </si>
  <si>
    <t xml:space="preserve"> Pagutiles€395 TT IG</t>
  </si>
  <si>
    <t>1.23发布ready to go</t>
  </si>
  <si>
    <t>pagutilescontacto@gmail.com</t>
  </si>
  <si>
    <t>https://www.tiktok.com/@pagutiles/video/7463208506997361942?_r=1&amp;u_code=e1kdcfgc48iebd&amp;preview_pb=0&amp;sharer_language=en&amp;_d=ef3lclcahh2e2c&amp;share_item_id=7463208506997361942&amp;source=h5_m&amp;timestamp=1737743487&amp;utm_source=copy&amp;tt_from=copy&amp;enable_checksum=1&amp;utm_medium=ios&amp;share_link_id=BA952BFD-9F05-42C3-AFB0-C34C90FF25FC&amp;user_id=7098041276125185029&amp;sec_user_id=MS4wLjABAAAAnIyB81a1nmzHEXk0Is8s81YO5-1IWKKgrPV-oQjx1kxyJ89x4dt1r4vlEV70Cphg&amp;social_share_type=0&amp;ug_btm=b8727,b2878&amp;utm_campaign=client_share&amp;link_reflow_popup_iteration_sharer=%7B%22follow_to_play_duration%22:-1,%22click_empty_to_play%22:1,%22dynamic_cover%22:1,%22profile_clickable%22:1%7D&amp;share_app_id=1233</t>
  </si>
  <si>
    <t>51.029</t>
  </si>
  <si>
    <t>2242</t>
  </si>
  <si>
    <t>98.1996</t>
  </si>
  <si>
    <t>$10.39</t>
  </si>
  <si>
    <t>48.026</t>
  </si>
  <si>
    <t>$3.92</t>
  </si>
  <si>
    <t>18.081</t>
  </si>
  <si>
    <t xml:space="preserve">Studybee$400 IG </t>
  </si>
  <si>
    <t>beestudy32@gmail.com</t>
  </si>
  <si>
    <t>3597</t>
  </si>
  <si>
    <t>157.5486</t>
  </si>
  <si>
    <t>72.500</t>
  </si>
  <si>
    <t>$2.38</t>
  </si>
  <si>
    <t>43.691</t>
  </si>
  <si>
    <t>Frostech$350 TT</t>
  </si>
  <si>
    <t>1.21 ready to go</t>
  </si>
  <si>
    <t>frostechgmz@outlook.com</t>
  </si>
  <si>
    <t>8.175</t>
  </si>
  <si>
    <t>2640</t>
  </si>
  <si>
    <t>115.63199999999999</t>
  </si>
  <si>
    <t>70.833</t>
  </si>
  <si>
    <t>$2.95</t>
  </si>
  <si>
    <t>34.231</t>
  </si>
  <si>
    <t>Bishal Nandi</t>
  </si>
  <si>
    <t>1.088</t>
  </si>
  <si>
    <t>29.321</t>
  </si>
  <si>
    <t>Madni Aghadi</t>
  </si>
  <si>
    <t>0.875</t>
  </si>
  <si>
    <t>2100</t>
  </si>
  <si>
    <t>91.98</t>
  </si>
  <si>
    <t>21.605</t>
  </si>
  <si>
    <t>1.20 发送</t>
  </si>
  <si>
    <t>uxedward@gmail.com</t>
  </si>
  <si>
    <t>3531</t>
  </si>
  <si>
    <t>154.6578</t>
  </si>
  <si>
    <t>$12.82</t>
  </si>
  <si>
    <t>35.897</t>
  </si>
  <si>
    <t>$1.89</t>
  </si>
  <si>
    <t>52.799</t>
  </si>
  <si>
    <t>kristel.teech@gmail.com</t>
  </si>
  <si>
    <t>2491.74</t>
  </si>
  <si>
    <t>109.13821199999998</t>
  </si>
  <si>
    <t>$2.68</t>
  </si>
  <si>
    <t>38.742</t>
  </si>
  <si>
    <t>danicasimic.ai@gmail.com</t>
  </si>
  <si>
    <t>Instagram Reel, Tiktok Video, Twitter Thread</t>
  </si>
  <si>
    <t>4923</t>
  </si>
  <si>
    <t>215.6274</t>
  </si>
  <si>
    <t>$1.35</t>
  </si>
  <si>
    <t>66.145</t>
  </si>
  <si>
    <t>✨Toque De Retoque✨</t>
  </si>
  <si>
    <t>colaboracionestoquederetoque@gmail.com</t>
  </si>
  <si>
    <t>1750.0000000000002</t>
  </si>
  <si>
    <t>76.65</t>
  </si>
  <si>
    <t>$3.81</t>
  </si>
  <si>
    <t>19.841</t>
  </si>
  <si>
    <t>Miguel</t>
  </si>
  <si>
    <t>24.325</t>
  </si>
  <si>
    <t>2000</t>
  </si>
  <si>
    <t>87.6</t>
  </si>
  <si>
    <t>$3.00</t>
  </si>
  <si>
    <t>85.000</t>
  </si>
  <si>
    <t>27.778</t>
  </si>
  <si>
    <t>1.15 今日给draft</t>
  </si>
  <si>
    <t>3082.8</t>
  </si>
  <si>
    <t>135.02664000000001</t>
  </si>
  <si>
    <t>$2.16</t>
  </si>
  <si>
    <t>47.291</t>
  </si>
  <si>
    <t>Geekformante $350 Tt Ig</t>
  </si>
  <si>
    <t>1.20 今天发</t>
  </si>
  <si>
    <t>确认最后报价中</t>
  </si>
  <si>
    <t>luismunoz@geekformante.com</t>
  </si>
  <si>
    <t>$2.08</t>
  </si>
  <si>
    <t>48.611</t>
  </si>
  <si>
    <t>1.22 确定会议 @范子逸https://us06web.zoom.us/j/82758743038</t>
  </si>
  <si>
    <t>char@blanksgalore.com</t>
  </si>
  <si>
    <t>nawful tt/ig/fb/yt</t>
  </si>
  <si>
    <t>Ready to go</t>
  </si>
  <si>
    <t>1900</t>
  </si>
  <si>
    <t>83.22</t>
  </si>
  <si>
    <t>$3.51</t>
  </si>
  <si>
    <t>24.854</t>
  </si>
  <si>
    <t xml:space="preserve">Tarek Adel- Tech &amp; iPhone Tips </t>
  </si>
  <si>
    <t>info@tarekadel.com</t>
  </si>
  <si>
    <t>1.29 ready to go</t>
  </si>
  <si>
    <t>1974</t>
  </si>
  <si>
    <t>86.46119999999999</t>
  </si>
  <si>
    <t>$6.82</t>
  </si>
  <si>
    <t>65.909</t>
  </si>
  <si>
    <t>$3.38</t>
  </si>
  <si>
    <t>27.046</t>
  </si>
  <si>
    <t xml:space="preserve">Wegic Rohit Gupta </t>
  </si>
  <si>
    <t>2566</t>
  </si>
  <si>
    <t>112.3908</t>
  </si>
  <si>
    <t>$2.59</t>
  </si>
  <si>
    <t>40.176</t>
  </si>
  <si>
    <t>Robin Delta</t>
  </si>
  <si>
    <t>未发single推</t>
  </si>
  <si>
    <t>Discord</t>
  </si>
  <si>
    <t>Jeremy Mura $297 IG</t>
  </si>
  <si>
    <t>annalisaabell@justannalisa.com</t>
  </si>
  <si>
    <t>0.250</t>
  </si>
  <si>
    <t>2142</t>
  </si>
  <si>
    <t>93.8196</t>
  </si>
  <si>
    <t>$5.98</t>
  </si>
  <si>
    <t>70.121</t>
  </si>
  <si>
    <t>$3.08</t>
  </si>
  <si>
    <t>31.979</t>
  </si>
  <si>
    <t>1.17 ready to go</t>
  </si>
  <si>
    <t>1674.8</t>
  </si>
  <si>
    <t>73.35624</t>
  </si>
  <si>
    <t>$8.54</t>
  </si>
  <si>
    <t>57.278</t>
  </si>
  <si>
    <t>$3.58</t>
  </si>
  <si>
    <t>23.625</t>
  </si>
  <si>
    <t>AI | Technology ( $500 2 Carousels) TAF</t>
  </si>
  <si>
    <t>drafting, sending a thumbnail tonight</t>
  </si>
  <si>
    <t>2450.37</t>
  </si>
  <si>
    <t>107.32620599999998</t>
  </si>
  <si>
    <t>$2.27</t>
  </si>
  <si>
    <t>45.546</t>
  </si>
  <si>
    <t>Alice $500 IG TT</t>
  </si>
  <si>
    <t>1. 20 TikTok 下载后发布</t>
  </si>
  <si>
    <t>ailiceun.work@gmail.com</t>
  </si>
  <si>
    <t>Eriikk $250TT</t>
  </si>
  <si>
    <t>1.16 待发布</t>
  </si>
  <si>
    <t>contactobyerik@gmail.com</t>
  </si>
  <si>
    <t>11.512</t>
  </si>
  <si>
    <t>18780</t>
  </si>
  <si>
    <t>822.564</t>
  </si>
  <si>
    <t>97.917</t>
  </si>
  <si>
    <t>$0.30</t>
  </si>
  <si>
    <t>92.604</t>
  </si>
  <si>
    <t>已发Brief+材料, Script通过</t>
  </si>
  <si>
    <t>nlombardo.business@gmail.com</t>
  </si>
  <si>
    <t>1669.5</t>
  </si>
  <si>
    <t>73.1241</t>
  </si>
  <si>
    <t>27.872</t>
  </si>
  <si>
    <t>和revishaan一个公司的，打包谈的价格 ；待确认联系方式</t>
  </si>
  <si>
    <t>Alex Ciriaco(euros)</t>
  </si>
  <si>
    <t>Ready to post</t>
  </si>
  <si>
    <t>tiktokalexciriaco@gmail.com</t>
  </si>
  <si>
    <t>1830</t>
  </si>
  <si>
    <t>80.154</t>
  </si>
  <si>
    <t>$3.04</t>
  </si>
  <si>
    <t>32.736</t>
  </si>
  <si>
    <t>Shelly $250 IG</t>
  </si>
  <si>
    <t>1.16 付钱完 待发</t>
  </si>
  <si>
    <t>hola@brandycreativa.com</t>
  </si>
  <si>
    <t>2479.5</t>
  </si>
  <si>
    <t>108.6021</t>
  </si>
  <si>
    <t>$8.93</t>
  </si>
  <si>
    <t>55.357</t>
  </si>
  <si>
    <t>45.990</t>
  </si>
  <si>
    <t>Daniel | Tech &amp; Data</t>
  </si>
  <si>
    <t>2.13 draft修改中</t>
  </si>
  <si>
    <t>partnership@daniel-dan.biz</t>
  </si>
  <si>
    <t>1579.5</t>
  </si>
  <si>
    <t>69.18209999999999</t>
  </si>
  <si>
    <t>64.387</t>
  </si>
  <si>
    <t>$3.52</t>
  </si>
  <si>
    <t>24.712</t>
  </si>
  <si>
    <t>D Design Hub</t>
  </si>
  <si>
    <t>内容全部我们提供，发出之前付款</t>
  </si>
  <si>
    <t>contact@ddesignhub.com</t>
  </si>
  <si>
    <t>C1evergirl $250 Ig</t>
  </si>
  <si>
    <t>2.10 follow up</t>
  </si>
  <si>
    <t>Cori Arnold</t>
  </si>
  <si>
    <t>Telegram</t>
  </si>
  <si>
    <t>13.875</t>
  </si>
  <si>
    <t>1800</t>
  </si>
  <si>
    <t>78.84</t>
  </si>
  <si>
    <t>$3.09</t>
  </si>
  <si>
    <t>31.893</t>
  </si>
  <si>
    <t>Martin Cash$250 Ytb</t>
  </si>
  <si>
    <t xml:space="preserve">1.16 考虑停止合作 draft 反馈修改 </t>
  </si>
  <si>
    <t>966</t>
  </si>
  <si>
    <t>42.3108</t>
  </si>
  <si>
    <t>$7.76</t>
  </si>
  <si>
    <t>61.180</t>
  </si>
  <si>
    <t>$5.75</t>
  </si>
  <si>
    <t>Anthony Hanaee</t>
  </si>
  <si>
    <t>2.8 follow up</t>
  </si>
  <si>
    <t>1768.8000000000002</t>
  </si>
  <si>
    <t>77.47344000000001</t>
  </si>
  <si>
    <t>$9.33</t>
  </si>
  <si>
    <t>53.358</t>
  </si>
  <si>
    <t>$3.14</t>
  </si>
  <si>
    <t>30.986</t>
  </si>
  <si>
    <t>Santitech $250 Tt Ig</t>
  </si>
  <si>
    <t>1.21 发布 ready to go</t>
  </si>
  <si>
    <t>omaarsantiago@gmail.com</t>
  </si>
  <si>
    <t>7.637</t>
  </si>
  <si>
    <t>1610</t>
  </si>
  <si>
    <t>70.518</t>
  </si>
  <si>
    <t>25.822</t>
  </si>
  <si>
    <t>Cripto FC</t>
  </si>
  <si>
    <t>1.31 follow up</t>
  </si>
  <si>
    <t>11.387</t>
  </si>
  <si>
    <t>1485</t>
  </si>
  <si>
    <t>65.04299999999999</t>
  </si>
  <si>
    <t>20.981</t>
  </si>
  <si>
    <t>Motivazione $240 IG Carousel Nardi</t>
  </si>
  <si>
    <t>draft done 待发布</t>
  </si>
  <si>
    <t>NamikaeTech $230 IG</t>
  </si>
  <si>
    <t>namikazetech@gmail.com</t>
  </si>
  <si>
    <t>ubermensch $230 Tw</t>
  </si>
  <si>
    <t>$4.60</t>
  </si>
  <si>
    <t>77.000</t>
  </si>
  <si>
    <t>$2.56</t>
  </si>
  <si>
    <t>40.741</t>
  </si>
  <si>
    <t>lucas | tech(pounds)</t>
  </si>
  <si>
    <t>1.25发布</t>
  </si>
  <si>
    <t>lucastechq@gmail.com</t>
  </si>
  <si>
    <t>28.025</t>
  </si>
  <si>
    <t>76.035</t>
  </si>
  <si>
    <t xml:space="preserve">1.29 follow up </t>
  </si>
  <si>
    <t>7.500</t>
  </si>
  <si>
    <t>5120</t>
  </si>
  <si>
    <t>224.256</t>
  </si>
  <si>
    <t>$20.60</t>
  </si>
  <si>
    <t>$0.89</t>
  </si>
  <si>
    <t>77.648</t>
  </si>
  <si>
    <t>Ericanthonytv TT $200</t>
  </si>
  <si>
    <t>pending 等他WA回复</t>
  </si>
  <si>
    <t>暂停</t>
  </si>
  <si>
    <t>11051.18</t>
  </si>
  <si>
    <t>484.041684</t>
  </si>
  <si>
    <t>87.775</t>
  </si>
  <si>
    <t>$0.40</t>
  </si>
  <si>
    <t>89.946</t>
  </si>
  <si>
    <t>1.23 发送修改draft</t>
  </si>
  <si>
    <t>已推荐加WhatsApp , 有delay 风险</t>
  </si>
  <si>
    <t>sheffieldg.business@gmail.com</t>
  </si>
  <si>
    <t>Sandra Shape</t>
  </si>
  <si>
    <t>已完成等待发布</t>
  </si>
  <si>
    <t>san.shapes@gmail.com</t>
  </si>
  <si>
    <t>1170</t>
  </si>
  <si>
    <t>51.245999999999995</t>
  </si>
  <si>
    <t>$3.80</t>
  </si>
  <si>
    <t>20.022</t>
  </si>
  <si>
    <t>1400</t>
  </si>
  <si>
    <t>61.32</t>
  </si>
  <si>
    <t>$3.17</t>
  </si>
  <si>
    <t>30.423</t>
  </si>
  <si>
    <t>Mixil6 €200 Tt Ytb</t>
  </si>
  <si>
    <t>等待发布</t>
  </si>
  <si>
    <t>contactmixil6@gmail.com</t>
  </si>
  <si>
    <t>16.713</t>
  </si>
  <si>
    <t>1365</t>
  </si>
  <si>
    <t>59.787</t>
  </si>
  <si>
    <t>$4.00</t>
  </si>
  <si>
    <t>80.000</t>
  </si>
  <si>
    <t>$3.26</t>
  </si>
  <si>
    <t>29.067</t>
  </si>
  <si>
    <t>Ihtesham Haider</t>
  </si>
  <si>
    <t>6.863</t>
  </si>
  <si>
    <t>1200</t>
  </si>
  <si>
    <t>52.559999999999995</t>
  </si>
  <si>
    <t>Neel Shah</t>
  </si>
  <si>
    <t>Ichi_OG</t>
  </si>
  <si>
    <t>2.24 ready to go</t>
  </si>
  <si>
    <t>已推荐加WhatsApp , 确认最后报价中</t>
  </si>
  <si>
    <t>ichiro.ogawas@gmail.com</t>
  </si>
  <si>
    <t>Ben | Solopreneur</t>
  </si>
  <si>
    <t>未发single推，已提醒</t>
  </si>
  <si>
    <t>1.175</t>
  </si>
  <si>
    <t>$5.13</t>
  </si>
  <si>
    <t>74.359</t>
  </si>
  <si>
    <t>Rene$650 TW</t>
  </si>
  <si>
    <t>\</t>
  </si>
  <si>
    <t>待发材料</t>
  </si>
  <si>
    <t>Twitter Thread, Facebook post, Linkedin Post</t>
  </si>
  <si>
    <t>1890</t>
  </si>
  <si>
    <t>82.782</t>
  </si>
  <si>
    <t>$2.35</t>
  </si>
  <si>
    <t>44.141</t>
  </si>
  <si>
    <t>1212.68</t>
  </si>
  <si>
    <t>53.115384</t>
  </si>
  <si>
    <t>$3.66</t>
  </si>
  <si>
    <t>22.250</t>
  </si>
  <si>
    <t>Factpoints $300 IG Twitter</t>
  </si>
  <si>
    <t>factsgalaxy@gmail.com</t>
  </si>
  <si>
    <t>21.125</t>
  </si>
  <si>
    <t>7801</t>
  </si>
  <si>
    <t>341.68379999999996</t>
  </si>
  <si>
    <t>$0.57</t>
  </si>
  <si>
    <t>85.757</t>
  </si>
  <si>
    <t>El Robert oppen</t>
  </si>
  <si>
    <t>1.16 draft 等待审核</t>
  </si>
  <si>
    <t>ellucasxdcontato@gmail.com</t>
  </si>
  <si>
    <t>52.628</t>
  </si>
  <si>
    <t>1372.28</t>
  </si>
  <si>
    <t>60.105864</t>
  </si>
  <si>
    <t>72.527</t>
  </si>
  <si>
    <t>29.354</t>
  </si>
  <si>
    <t>Prada5x</t>
  </si>
  <si>
    <t>1.13 follow up</t>
  </si>
  <si>
    <t>pradawitmee@gmail.com</t>
  </si>
  <si>
    <t>T1 - Canada</t>
  </si>
  <si>
    <t>1956</t>
  </si>
  <si>
    <t>85.6728</t>
  </si>
  <si>
    <t>45.463</t>
  </si>
  <si>
    <t>Annalisa Abell | Virtual Assistant Coach</t>
  </si>
  <si>
    <t>1.26 collab 邮箱已催</t>
  </si>
  <si>
    <t>确认最后报价中, 有delay 风险</t>
  </si>
  <si>
    <t>MindwisdomMOney(Maxwell)</t>
  </si>
  <si>
    <t>33.087</t>
  </si>
  <si>
    <t>1600</t>
  </si>
  <si>
    <t>70.08</t>
  </si>
  <si>
    <t>$2.78</t>
  </si>
  <si>
    <t>37.037</t>
  </si>
  <si>
    <t>Dinero | Mentalidad</t>
  </si>
  <si>
    <t>luigi 800 euros TT</t>
  </si>
  <si>
    <t>12.150</t>
  </si>
  <si>
    <t>1008</t>
  </si>
  <si>
    <t>44.1504</t>
  </si>
  <si>
    <t>9.847</t>
  </si>
  <si>
    <t>romanlohace</t>
  </si>
  <si>
    <t>2.19 加积分制作视频</t>
  </si>
  <si>
    <t>romanlohace@gmail.com</t>
  </si>
  <si>
    <t>2/13 已催发布</t>
  </si>
  <si>
    <t>10.375</t>
  </si>
  <si>
    <t>2854.7999999999997</t>
  </si>
  <si>
    <t>125.04023999999998</t>
  </si>
  <si>
    <t>61.079</t>
  </si>
  <si>
    <t>Pierpaolo $200 IG</t>
  </si>
  <si>
    <t>1.22 ready to go</t>
  </si>
  <si>
    <t>ilmastro85@gmail.com 原本邮箱为mkting pro</t>
  </si>
  <si>
    <t>1320</t>
  </si>
  <si>
    <t>57.815999999999995</t>
  </si>
  <si>
    <t>$6.17</t>
  </si>
  <si>
    <t>69.167</t>
  </si>
  <si>
    <t>$3.11</t>
  </si>
  <si>
    <t>31.425</t>
  </si>
  <si>
    <t>IAenLinea</t>
  </si>
  <si>
    <t>22.663</t>
  </si>
  <si>
    <t>1116.5</t>
  </si>
  <si>
    <t>48.902699999999996</t>
  </si>
  <si>
    <t>$5.14</t>
  </si>
  <si>
    <t>74.286</t>
  </si>
  <si>
    <t>23.623</t>
  </si>
  <si>
    <t>SucceededMind</t>
  </si>
  <si>
    <t>24.450</t>
  </si>
  <si>
    <t>$5.67</t>
  </si>
  <si>
    <t>71.667</t>
  </si>
  <si>
    <t>$3.15</t>
  </si>
  <si>
    <t>30.864</t>
  </si>
  <si>
    <t>1.20待发，若没发下午跟进</t>
  </si>
  <si>
    <t>已全付, 已发送draft</t>
  </si>
  <si>
    <t>942</t>
  </si>
  <si>
    <t>41.2596</t>
  </si>
  <si>
    <t>$4.78</t>
  </si>
  <si>
    <t>76.115</t>
  </si>
  <si>
    <t>$3.54</t>
  </si>
  <si>
    <t>24.357</t>
  </si>
  <si>
    <t>Anderson $150 TT</t>
  </si>
  <si>
    <t>1.15 draft通过待发布</t>
  </si>
  <si>
    <t>43.238</t>
  </si>
  <si>
    <t>OXYDOXYTV(Daniel ) tt</t>
  </si>
  <si>
    <t>通过待付款发布</t>
  </si>
  <si>
    <t>@范子逸微信联系</t>
  </si>
  <si>
    <t>1.250</t>
  </si>
  <si>
    <t>NacionTech$150 TT</t>
  </si>
  <si>
    <t xml:space="preserve">1.17 跟进 </t>
  </si>
  <si>
    <t>naciontechcollab@gmail.com</t>
  </si>
  <si>
    <t>1000</t>
  </si>
  <si>
    <t>43.8</t>
  </si>
  <si>
    <t>Alessio Mattarese(euros)</t>
  </si>
  <si>
    <t>(may delay)1.23 follow up</t>
  </si>
  <si>
    <t>info@alessiomattarese.com</t>
  </si>
  <si>
    <t>Joel Vasquez $150 Tt IG</t>
  </si>
  <si>
    <t>(may delay) 1.30 follow up</t>
  </si>
  <si>
    <t>joelvas478@gmail.com</t>
  </si>
  <si>
    <t>Orzatech$150 TT</t>
  </si>
  <si>
    <t>1013.43</t>
  </si>
  <si>
    <t>44.388234</t>
  </si>
  <si>
    <t>69.880</t>
  </si>
  <si>
    <t>$3.29</t>
  </si>
  <si>
    <t>28.514</t>
  </si>
  <si>
    <t>TechnoLife $150 tt</t>
  </si>
  <si>
    <t>1.8 ready to go</t>
  </si>
  <si>
    <t>draft done待审核</t>
  </si>
  <si>
    <t>infortxchicken@gmail.com</t>
  </si>
  <si>
    <t>KireDroid</t>
  </si>
  <si>
    <t>待发材料, 已全付</t>
  </si>
  <si>
    <t>kire.droid@gmail.com</t>
  </si>
  <si>
    <t>1527.5</t>
  </si>
  <si>
    <t>66.9045</t>
  </si>
  <si>
    <t>$2.18</t>
  </si>
  <si>
    <t>46.963</t>
  </si>
  <si>
    <t>1.28 确认信息 ready to go</t>
  </si>
  <si>
    <t>spgmarks@gmail.com</t>
  </si>
  <si>
    <t>2268</t>
  </si>
  <si>
    <t>99.3384</t>
  </si>
  <si>
    <t>$10.56</t>
  </si>
  <si>
    <t>47.183</t>
  </si>
  <si>
    <t>63.257</t>
  </si>
  <si>
    <t>code.eka$150 IG</t>
  </si>
  <si>
    <t>done</t>
  </si>
  <si>
    <t>2110</t>
  </si>
  <si>
    <t>92.41799999999999</t>
  </si>
  <si>
    <t>$1.58</t>
  </si>
  <si>
    <t>60.506</t>
  </si>
  <si>
    <t>Global Faction</t>
  </si>
  <si>
    <t>【delay】2.13 已提醒</t>
  </si>
  <si>
    <t>info@globalfaction.com</t>
  </si>
  <si>
    <t>Tech_Updt (Moses Nturubika)</t>
  </si>
  <si>
    <t>1.14 发布视频</t>
  </si>
  <si>
    <t>tech_updt@outlook.com</t>
  </si>
  <si>
    <t>Zeynep Woman Engineer</t>
  </si>
  <si>
    <t>3.375</t>
  </si>
  <si>
    <t>2413</t>
  </si>
  <si>
    <t>105.68939999999999</t>
  </si>
  <si>
    <t>$4.67</t>
  </si>
  <si>
    <t>76.667</t>
  </si>
  <si>
    <t>$1.29</t>
  </si>
  <si>
    <t>67.767</t>
  </si>
  <si>
    <t>1.15 待发送video</t>
  </si>
  <si>
    <t>the_raptors_</t>
  </si>
  <si>
    <t xml:space="preserve">（delay)  1.26 collab 邮箱follow up </t>
  </si>
  <si>
    <t>spikytheraptor@gmail.com</t>
  </si>
  <si>
    <t>729</t>
  </si>
  <si>
    <t>31.9302</t>
  </si>
  <si>
    <t>22.367</t>
  </si>
  <si>
    <t>Melissa $120 tt</t>
  </si>
  <si>
    <t>7号即将发布</t>
  </si>
  <si>
    <t>mr2621095@gmail.com</t>
  </si>
  <si>
    <t>51.843</t>
  </si>
  <si>
    <t>$1.11</t>
  </si>
  <si>
    <t>Chunksmedia $120 IG</t>
  </si>
  <si>
    <t>2.6 已催促安排在这两天发布</t>
  </si>
  <si>
    <t>contact@chunksmedia.com</t>
  </si>
  <si>
    <t>Instagram Carousel, Instagram Story, Instagram Reel</t>
  </si>
  <si>
    <t>2280</t>
  </si>
  <si>
    <t>99.86399999999999</t>
  </si>
  <si>
    <t>$1.17</t>
  </si>
  <si>
    <t>MercyTech $120 Tt</t>
  </si>
  <si>
    <t>1.13 draft通过 待发布</t>
  </si>
  <si>
    <t>mercytechsinfo@gmail.com</t>
  </si>
  <si>
    <t>960</t>
  </si>
  <si>
    <t>42.048</t>
  </si>
  <si>
    <t>Alex González$120 TT</t>
  </si>
  <si>
    <t>732</t>
  </si>
  <si>
    <t>32.0616</t>
  </si>
  <si>
    <t>$3.64</t>
  </si>
  <si>
    <t>22.617</t>
  </si>
  <si>
    <t>Miraya Tech</t>
  </si>
  <si>
    <t>1.22 发布</t>
  </si>
  <si>
    <t>1564.14</t>
  </si>
  <si>
    <t>68.509332</t>
  </si>
  <si>
    <t>$4.21</t>
  </si>
  <si>
    <t>78.947</t>
  </si>
  <si>
    <t>$1.70</t>
  </si>
  <si>
    <t>57.378</t>
  </si>
  <si>
    <t>Python4dev$110 IG</t>
  </si>
  <si>
    <t>+91 86430 80667</t>
  </si>
  <si>
    <t>30.788</t>
  </si>
  <si>
    <t>1870.0200000000002</t>
  </si>
  <si>
    <t>81.90687600000001</t>
  </si>
  <si>
    <t>87.640</t>
  </si>
  <si>
    <t>$1.31</t>
  </si>
  <si>
    <t>67.321</t>
  </si>
  <si>
    <t>TecnoForce</t>
  </si>
  <si>
    <t>tecnoforcem@gmail.com</t>
  </si>
  <si>
    <t>Techow (TT $200)</t>
  </si>
  <si>
    <t>1.28 最后一次follow up</t>
  </si>
  <si>
    <t>techhowx@gmail.com</t>
  </si>
  <si>
    <t>2902.5</t>
  </si>
  <si>
    <t>127.1295</t>
  </si>
  <si>
    <t>$1.33</t>
  </si>
  <si>
    <t>93.333</t>
  </si>
  <si>
    <t>$0.77</t>
  </si>
  <si>
    <t>80.859</t>
  </si>
  <si>
    <t>需要先付款, 已发Brief,  材料待发</t>
  </si>
  <si>
    <t>Simone $100 TT</t>
  </si>
  <si>
    <t>12.29之后一直没回过</t>
  </si>
  <si>
    <t>simonemattavelli@yahoo.com</t>
  </si>
  <si>
    <t>Pixeel $100TT</t>
  </si>
  <si>
    <t>1.9 ready to go</t>
  </si>
  <si>
    <t>picsgoart@gmail.com</t>
  </si>
  <si>
    <t>800</t>
  </si>
  <si>
    <t>35.04</t>
  </si>
  <si>
    <t>Eloiljf</t>
  </si>
  <si>
    <t>1.6已催促</t>
  </si>
  <si>
    <t>83.333</t>
  </si>
  <si>
    <t>$3.05</t>
  </si>
  <si>
    <t>32.528</t>
  </si>
  <si>
    <t>Inversos Unidos $100 Tk</t>
  </si>
  <si>
    <t>done 待发布</t>
  </si>
  <si>
    <t>52.252</t>
  </si>
  <si>
    <t>Bestdreamsetup</t>
  </si>
  <si>
    <t>11.250</t>
  </si>
  <si>
    <t>1634</t>
  </si>
  <si>
    <t>71.5692</t>
  </si>
  <si>
    <t>$1.36</t>
  </si>
  <si>
    <t>66.000</t>
  </si>
  <si>
    <t>Void Tech$100 TT</t>
  </si>
  <si>
    <t>1.7 发布</t>
  </si>
  <si>
    <t>751.1999999999999</t>
  </si>
  <si>
    <t>32.902559999999994</t>
  </si>
  <si>
    <t>34.030</t>
  </si>
  <si>
    <t>Alex Craviotto $100 TT</t>
  </si>
  <si>
    <t xml:space="preserve">1.16  draft完成 ready to go </t>
  </si>
  <si>
    <t>alexcraviotto@protonmail.com</t>
  </si>
  <si>
    <t>586</t>
  </si>
  <si>
    <t>25.6668</t>
  </si>
  <si>
    <t>$3.79</t>
  </si>
  <si>
    <t>20.130</t>
  </si>
  <si>
    <t>closertech$100 IG</t>
  </si>
  <si>
    <t>1.17  待付款 待发布</t>
  </si>
  <si>
    <t>4901.1</t>
  </si>
  <si>
    <t>214.66818</t>
  </si>
  <si>
    <t>80.695</t>
  </si>
  <si>
    <t>88.665</t>
  </si>
  <si>
    <t>Felon Entrepreneur</t>
  </si>
  <si>
    <t>（delay）1.28 follow up</t>
  </si>
  <si>
    <t>felonentrepreneur@gmail.com</t>
  </si>
  <si>
    <t xml:space="preserve">traselveloreal </t>
  </si>
  <si>
    <t>El Lusho D</t>
  </si>
  <si>
    <t>1.20 付款中 draft done</t>
  </si>
  <si>
    <t>736</t>
  </si>
  <si>
    <t>32.2368</t>
  </si>
  <si>
    <t>$3.02</t>
  </si>
  <si>
    <t>33.011</t>
  </si>
  <si>
    <t>Gabzer Tiktok</t>
  </si>
  <si>
    <t>50.053</t>
  </si>
  <si>
    <t>944</t>
  </si>
  <si>
    <t>41.3472</t>
  </si>
  <si>
    <t>44.099</t>
  </si>
  <si>
    <t>Gabzer FB</t>
  </si>
  <si>
    <t>Facebook Video</t>
  </si>
  <si>
    <t>Carlos LV $99 TT</t>
  </si>
  <si>
    <t>1.15 draft done 待发布</t>
  </si>
  <si>
    <t>$3.30</t>
  </si>
  <si>
    <t>83.500</t>
  </si>
  <si>
    <t>$1.83</t>
  </si>
  <si>
    <t>54.167</t>
  </si>
  <si>
    <t>Plzzma Tech</t>
  </si>
  <si>
    <t>1.12 开始制作</t>
  </si>
  <si>
    <t>+61 428 876 252</t>
  </si>
  <si>
    <t>740</t>
  </si>
  <si>
    <t>32.412</t>
  </si>
  <si>
    <t>$4.50</t>
  </si>
  <si>
    <t>77.500</t>
  </si>
  <si>
    <t>$2.70</t>
  </si>
  <si>
    <t>38.288</t>
  </si>
  <si>
    <t>Aniya Ross</t>
  </si>
  <si>
    <t>两条视频$175
12月合作未付钱 1月合作Pending</t>
  </si>
  <si>
    <t>67.57</t>
  </si>
  <si>
    <t>2.863</t>
  </si>
  <si>
    <t>49.500</t>
  </si>
  <si>
    <t>Low</t>
  </si>
  <si>
    <t>92.167</t>
  </si>
  <si>
    <t>97.500</t>
  </si>
  <si>
    <t>12597.25</t>
  </si>
  <si>
    <t>551.75955</t>
  </si>
  <si>
    <t>$4.19</t>
  </si>
  <si>
    <t>79.067</t>
  </si>
  <si>
    <t>$0.15</t>
  </si>
  <si>
    <t>96.141</t>
  </si>
  <si>
    <t>G4bby$80 TT</t>
  </si>
  <si>
    <t>(may delay)1.30 follow up，注意邮箱跟进</t>
  </si>
  <si>
    <t>已加WA，待发Brief+材料</t>
  </si>
  <si>
    <t>g4bbyfortnite@gmail.com</t>
  </si>
  <si>
    <t>Rubén $80 TT</t>
  </si>
  <si>
    <t>5.188</t>
  </si>
  <si>
    <t>889.2</t>
  </si>
  <si>
    <t>38.946960000000004</t>
  </si>
  <si>
    <t>50.017</t>
  </si>
  <si>
    <t xml:space="preserve">Jocaec </t>
  </si>
  <si>
    <t>1.7 已催</t>
  </si>
  <si>
    <t>18.100</t>
  </si>
  <si>
    <t>$0.59</t>
  </si>
  <si>
    <t>85.185</t>
  </si>
  <si>
    <t>Alex Vlogs $80 Tt</t>
  </si>
  <si>
    <t>（delay）2.10 follow up</t>
  </si>
  <si>
    <t>contacto@yourwebspace.com.mx</t>
  </si>
  <si>
    <t>JoseMiguel</t>
  </si>
  <si>
    <t>（may delay）1.22 跟进</t>
  </si>
  <si>
    <t>josemiguel30nvr@gmail.com</t>
  </si>
  <si>
    <t>Lavoro Digitale - Content Creator</t>
  </si>
  <si>
    <t>lavorodigitale.collab@gmail.com</t>
  </si>
  <si>
    <t>elpakkun $80 TT</t>
  </si>
  <si>
    <t>frito68@outlook.com</t>
  </si>
  <si>
    <t>41.950</t>
  </si>
  <si>
    <t>4288</t>
  </si>
  <si>
    <t>187.8144</t>
  </si>
  <si>
    <t>$1.00</t>
  </si>
  <si>
    <t>95.000</t>
  </si>
  <si>
    <t>$0.41</t>
  </si>
  <si>
    <t>89.635</t>
  </si>
  <si>
    <t>Parul Gautam</t>
  </si>
  <si>
    <t>480</t>
  </si>
  <si>
    <t>21.024</t>
  </si>
  <si>
    <t>Studygram_german $80 TT</t>
  </si>
  <si>
    <t>studygramgerman@gmail.com</t>
  </si>
  <si>
    <t>500</t>
  </si>
  <si>
    <t>21.9</t>
  </si>
  <si>
    <t>24.074</t>
  </si>
  <si>
    <t>Technolife</t>
  </si>
  <si>
    <t>1.17 付款中</t>
  </si>
  <si>
    <t>501.5</t>
  </si>
  <si>
    <t>21.9657</t>
  </si>
  <si>
    <t>55.882</t>
  </si>
  <si>
    <t>$3.32</t>
  </si>
  <si>
    <t>27.944</t>
  </si>
  <si>
    <t>Sneyder $72 Tt</t>
  </si>
  <si>
    <t>2.1 遇到问题 快完成了</t>
  </si>
  <si>
    <t>https://vt.tiktok.com/ZS6TusnqD/</t>
  </si>
  <si>
    <t>680</t>
  </si>
  <si>
    <t>29.784</t>
  </si>
  <si>
    <t>82.000</t>
  </si>
  <si>
    <t>44.118</t>
  </si>
  <si>
    <t>Bestminimalsetup</t>
  </si>
  <si>
    <t>cleandeskspace</t>
  </si>
  <si>
    <t>ourdesksetup</t>
  </si>
  <si>
    <t>setupatic</t>
  </si>
  <si>
    <t>thelitesetup</t>
  </si>
  <si>
    <t>elitesetup</t>
  </si>
  <si>
    <t>Harveyrenn $70 TT Schneider
Rensy Schneider</t>
  </si>
  <si>
    <t>Florurdaneta87@gmail.com</t>
  </si>
  <si>
    <t>已发送draft, 已全付</t>
  </si>
  <si>
    <t>1161</t>
  </si>
  <si>
    <t>50.8518</t>
  </si>
  <si>
    <t>$1.34</t>
  </si>
  <si>
    <t>66.504</t>
  </si>
  <si>
    <t>Mr. De2 $70 TT</t>
  </si>
  <si>
    <t>1. 14 follow up</t>
  </si>
  <si>
    <t>contactomrde2@gmail.com</t>
  </si>
  <si>
    <t>630.0000000000001</t>
  </si>
  <si>
    <t>27.594000000000005</t>
  </si>
  <si>
    <t>61.111</t>
  </si>
  <si>
    <t>Xervia $70 TT</t>
  </si>
  <si>
    <t>1.13 发布</t>
  </si>
  <si>
    <t>holatodytutos10@gmail.com</t>
  </si>
  <si>
    <t>0.863</t>
  </si>
  <si>
    <t>1650</t>
  </si>
  <si>
    <t>72.27</t>
  </si>
  <si>
    <t>10Ivan $70 Tk</t>
  </si>
  <si>
    <t>(may delay)1.7已催 未回</t>
  </si>
  <si>
    <t>Tiago Empire Growth (3 Carousels)</t>
  </si>
  <si>
    <t>1.16 draft修改中</t>
  </si>
  <si>
    <t>63.46</t>
  </si>
  <si>
    <t>empiregrowthon@gmail.com</t>
  </si>
  <si>
    <t>52.000</t>
  </si>
  <si>
    <t>22.500</t>
  </si>
  <si>
    <t>27.000</t>
  </si>
  <si>
    <t>22.040</t>
  </si>
  <si>
    <t>61.750</t>
  </si>
  <si>
    <t>65.714</t>
  </si>
  <si>
    <t>71.525</t>
  </si>
  <si>
    <t>1496</t>
  </si>
  <si>
    <t>65.5248</t>
  </si>
  <si>
    <t>96.136</t>
  </si>
  <si>
    <t>76.493</t>
  </si>
  <si>
    <t>Osotech</t>
  </si>
  <si>
    <t>1.17 draft 反馈</t>
  </si>
  <si>
    <t>osotechmx@gmail.com</t>
  </si>
  <si>
    <t>$2.92</t>
  </si>
  <si>
    <t>34.600</t>
  </si>
  <si>
    <t>RamsesChet $60 TT</t>
  </si>
  <si>
    <t>1.16 已发draft</t>
  </si>
  <si>
    <t>contactoramflas@gmail.com</t>
  </si>
  <si>
    <t>350</t>
  </si>
  <si>
    <t>15.33</t>
  </si>
  <si>
    <t>$8.57</t>
  </si>
  <si>
    <t>57.143</t>
  </si>
  <si>
    <t>Merr MS $60 TT</t>
  </si>
  <si>
    <t>2.6 follow up</t>
  </si>
  <si>
    <t>merarimaysosa@gmail.com</t>
  </si>
  <si>
    <t>cpstest_</t>
  </si>
  <si>
    <t>1.17 待发</t>
  </si>
  <si>
    <t>paolorobaldini@gmail.com</t>
  </si>
  <si>
    <t>Omar Cid $60 Tt</t>
  </si>
  <si>
    <t>1.20 已催开始制作</t>
  </si>
  <si>
    <t>croonosmx@gmail.com</t>
  </si>
  <si>
    <t>1308</t>
  </si>
  <si>
    <t>57.2904</t>
  </si>
  <si>
    <t>$1.02</t>
  </si>
  <si>
    <t>74.516</t>
  </si>
  <si>
    <t>JOCIM</t>
  </si>
  <si>
    <t>2.6 ready to go</t>
  </si>
  <si>
    <t>jocimcontact@gmail.com</t>
  </si>
  <si>
    <t>340</t>
  </si>
  <si>
    <t>14.892</t>
  </si>
  <si>
    <t>$7.06</t>
  </si>
  <si>
    <t>64.706</t>
  </si>
  <si>
    <t>17.974</t>
  </si>
  <si>
    <t>Bacillando Ciencia</t>
  </si>
  <si>
    <t>bacillandociencia@gmail.com</t>
  </si>
  <si>
    <t>450</t>
  </si>
  <si>
    <t>19.71</t>
  </si>
  <si>
    <t>Ale Sánchez $55 TT</t>
  </si>
  <si>
    <t>1.8询问进度 预计1.10发布</t>
  </si>
  <si>
    <t>alesancas.collabs@gmail.com</t>
  </si>
  <si>
    <t>469</t>
  </si>
  <si>
    <t>20.5422</t>
  </si>
  <si>
    <t>$7.86</t>
  </si>
  <si>
    <t>60.714</t>
  </si>
  <si>
    <t>39.900</t>
  </si>
  <si>
    <t>January 7, 2025, at 9:00 AM (New York Time)</t>
  </si>
  <si>
    <t>Tech Tabloid x Wegic AI （群组）</t>
  </si>
  <si>
    <t>1.24 follow up</t>
  </si>
  <si>
    <t>23.07</t>
  </si>
  <si>
    <t>已发Brief+材料, 暂停</t>
  </si>
  <si>
    <t>Could be improved</t>
  </si>
  <si>
    <t>20</t>
  </si>
  <si>
    <t>1704</t>
  </si>
  <si>
    <t>74.6352</t>
  </si>
  <si>
    <t>$0.65</t>
  </si>
  <si>
    <t>83.698</t>
  </si>
  <si>
    <t>Ana Malibu(euros)</t>
  </si>
  <si>
    <t>【待看】</t>
  </si>
  <si>
    <t>anaparmera.ac@gmail.com</t>
  </si>
  <si>
    <t>330</t>
  </si>
  <si>
    <t>14.453999999999999</t>
  </si>
  <si>
    <t>27.217</t>
  </si>
  <si>
    <t>Mozy | Tech</t>
  </si>
  <si>
    <t>(may delay)1.15 已催促 未回复</t>
  </si>
  <si>
    <t>Alfonso Álvarez $50 Tt</t>
  </si>
  <si>
    <t xml:space="preserve">1.16 draft done </t>
  </si>
  <si>
    <t>https://vm.tiktok.com/ZGdScYenR/</t>
  </si>
  <si>
    <t>300</t>
  </si>
  <si>
    <t>13.139999999999999</t>
  </si>
  <si>
    <t>1.3已询问 很久未回复</t>
  </si>
  <si>
    <t>RENIUXD</t>
  </si>
  <si>
    <t>1.15 修改版draft</t>
  </si>
  <si>
    <t>reniuxdofficial@gmail.com</t>
  </si>
  <si>
    <t>52.024</t>
  </si>
  <si>
    <t>AprilSim</t>
  </si>
  <si>
    <t>1月3日follow up， 达人正在度假 3号回归</t>
  </si>
  <si>
    <t>hi@aprilsim.com</t>
  </si>
  <si>
    <t>Filtros Tiktok y Tips AI</t>
  </si>
  <si>
    <t>Cifuuen@gmail.com</t>
  </si>
  <si>
    <t>Jorge Horacio Herrera 🤙🏻</t>
  </si>
  <si>
    <t>（delay风险大）1.23 已催</t>
  </si>
  <si>
    <t>jorgehotherrera@hotmail.com</t>
  </si>
  <si>
    <t>Legend54ytft $50 TT</t>
  </si>
  <si>
    <t>18.025</t>
  </si>
  <si>
    <t>432</t>
  </si>
  <si>
    <t>18.921599999999998</t>
  </si>
  <si>
    <t>$2.57</t>
  </si>
  <si>
    <t>40.466</t>
  </si>
  <si>
    <t>markovichi_</t>
  </si>
  <si>
    <t>1.16 待付款 ready to go</t>
  </si>
  <si>
    <t>660</t>
  </si>
  <si>
    <t>28.907999999999998</t>
  </si>
  <si>
    <t>$1.68</t>
  </si>
  <si>
    <t>57.912</t>
  </si>
  <si>
    <t>2.1 follow up on modifications</t>
  </si>
  <si>
    <t>contatopedroveroneze@gmail.com</t>
  </si>
  <si>
    <t>465.50000000000006</t>
  </si>
  <si>
    <t>20.388900000000003</t>
  </si>
  <si>
    <t>$2.39</t>
  </si>
  <si>
    <t>43.551</t>
  </si>
  <si>
    <t>Luchiano $40 tt</t>
  </si>
  <si>
    <t>1.7 draft done正在修改</t>
  </si>
  <si>
    <t>340.48</t>
  </si>
  <si>
    <t>14.913024</t>
  </si>
  <si>
    <t>39.822</t>
  </si>
  <si>
    <t>Andresnotes $40TT</t>
  </si>
  <si>
    <t>1.15 draft 反馈 已跟进发布</t>
  </si>
  <si>
    <t>andresfsabogal08@gmail.com</t>
  </si>
  <si>
    <t>4.113</t>
  </si>
  <si>
    <t>400</t>
  </si>
  <si>
    <t>17.52</t>
  </si>
  <si>
    <t xml:space="preserve">nahimtoowavy </t>
  </si>
  <si>
    <t>1.26 付款信息</t>
  </si>
  <si>
    <t>1.28 ready to go</t>
  </si>
  <si>
    <t>Dastudiess $35</t>
  </si>
  <si>
    <t>420</t>
  </si>
  <si>
    <t>18.396</t>
  </si>
  <si>
    <t>Sebssgg €35TT</t>
  </si>
  <si>
    <t>（delay）1.26 email follow up</t>
  </si>
  <si>
    <t>sebssvg@gmail.com</t>
  </si>
  <si>
    <t>Val $35 TT</t>
  </si>
  <si>
    <t xml:space="preserve">1.14 follow up </t>
  </si>
  <si>
    <t>Itzel Anguiano $30 Tt</t>
  </si>
  <si>
    <t>（may delay）1.17 已催促 draft审核反馈未回复</t>
  </si>
  <si>
    <t>$13.27</t>
  </si>
  <si>
    <t>33.628</t>
  </si>
  <si>
    <t>Sonnic Tech$30 TT</t>
  </si>
  <si>
    <t>sonnictech@gmail.com</t>
  </si>
  <si>
    <t>$0.74</t>
  </si>
  <si>
    <t>81.481</t>
  </si>
  <si>
    <t>Cristian Guzmán €30 Tt</t>
  </si>
  <si>
    <t>1.7post</t>
  </si>
  <si>
    <t>274</t>
  </si>
  <si>
    <t>12.001199999999999</t>
  </si>
  <si>
    <t>$2.43</t>
  </si>
  <si>
    <t>42.782</t>
  </si>
  <si>
    <t>ElDripp_$30 TT</t>
  </si>
  <si>
    <t>1.22 follow up</t>
  </si>
  <si>
    <t xml:space="preserve"> Tecnologías BG</t>
  </si>
  <si>
    <t>1.3已询问 之前很久未回复</t>
  </si>
  <si>
    <t>tecnologiasbg28@gmail.com</t>
  </si>
  <si>
    <t>☁️Set up I Unboxing I Study ☁️</t>
  </si>
  <si>
    <t>2.5 follow up  待发布</t>
  </si>
  <si>
    <t>studygram.digoficial@gmail.com</t>
  </si>
  <si>
    <t>$1.50</t>
  </si>
  <si>
    <t>92.500</t>
  </si>
  <si>
    <t>Alvaroo</t>
  </si>
  <si>
    <t>alvarogonzlez30@gmail.com</t>
  </si>
  <si>
    <t>210.00000000000003</t>
  </si>
  <si>
    <t>9.198</t>
  </si>
  <si>
    <t>Dannstudy $30 Tt</t>
  </si>
  <si>
    <t>1.8 Ready to go</t>
  </si>
  <si>
    <t>dannstudyy@gmail.com</t>
  </si>
  <si>
    <t>200</t>
  </si>
  <si>
    <t>8.76</t>
  </si>
  <si>
    <t>Mattsmedia</t>
  </si>
  <si>
    <t>已经发布 未修改</t>
  </si>
  <si>
    <t>mattsmphotos@gmail.com</t>
  </si>
  <si>
    <t>Eldoblex</t>
  </si>
  <si>
    <t>eldobleuucontacto@gmail.com</t>
  </si>
  <si>
    <t>tech4u 30pounds TT</t>
  </si>
  <si>
    <t>tech4u.buisnesss@gmail.com</t>
  </si>
  <si>
    <t>270.6</t>
  </si>
  <si>
    <t>11.85228</t>
  </si>
  <si>
    <t>42.272</t>
  </si>
  <si>
    <t>Brodz Tech</t>
  </si>
  <si>
    <t>已经发布，付款中</t>
  </si>
  <si>
    <t>brodztech@gmail.com</t>
  </si>
  <si>
    <t>250</t>
  </si>
  <si>
    <t>10.95</t>
  </si>
  <si>
    <t xml:space="preserve">Jeylini </t>
  </si>
  <si>
    <t>2.5 follow up</t>
  </si>
  <si>
    <t>ivanlopezp21@hotmail.com</t>
  </si>
  <si>
    <t>cozywith_m $50 TTIG</t>
  </si>
  <si>
    <t>7 PM PST</t>
  </si>
  <si>
    <t>560</t>
  </si>
  <si>
    <t>24.528</t>
  </si>
  <si>
    <t>75.198</t>
  </si>
  <si>
    <t xml:space="preserve">Victor DLX $25 </t>
  </si>
  <si>
    <t>victordlx300@gmail.com</t>
  </si>
  <si>
    <t>cozywith_m</t>
  </si>
  <si>
    <t>cozywith_m IG carousel</t>
  </si>
  <si>
    <t>cozywith_m TT carousel</t>
  </si>
  <si>
    <t>Tiktok carousel</t>
  </si>
  <si>
    <t>Kanna $20 TT</t>
  </si>
  <si>
    <t>1.14 需要推迟</t>
  </si>
  <si>
    <t>Fancy_nails $20 TT</t>
  </si>
  <si>
    <t>(may delay)1.17 已催 未回</t>
  </si>
  <si>
    <t>fancy.colab@gmail.com</t>
  </si>
  <si>
    <t>Technofacil $20 TT</t>
  </si>
  <si>
    <t>(may delay)1.24 follow up</t>
  </si>
  <si>
    <t>jordanj11727@gmail.com</t>
  </si>
  <si>
    <t>Mau(euros)</t>
  </si>
  <si>
    <t>businessmautt@gmail.com</t>
  </si>
  <si>
    <t>OfficialZat $20 TT</t>
  </si>
  <si>
    <t>Jummar$20 TT</t>
  </si>
  <si>
    <t>jummarcollabs@gmail.com</t>
  </si>
  <si>
    <t>150</t>
  </si>
  <si>
    <t>6.569999999999999</t>
  </si>
  <si>
    <t>NewGod $20 TT</t>
  </si>
  <si>
    <t>(may delay)1.21 已催 未回</t>
  </si>
  <si>
    <t>newgods898@gmail.com</t>
  </si>
  <si>
    <t>Studybee$400 TT</t>
  </si>
  <si>
    <t>已全付</t>
  </si>
  <si>
    <t>40.433</t>
  </si>
  <si>
    <t>Mariana Pérez (mxn 300)</t>
  </si>
  <si>
    <t>1.3已询问 未回复</t>
  </si>
  <si>
    <t>Isaí 200MXN Tt</t>
  </si>
  <si>
    <t>1.15 draft修改过</t>
  </si>
  <si>
    <t>80</t>
  </si>
  <si>
    <t>3.504</t>
  </si>
  <si>
    <t>$9.80</t>
  </si>
  <si>
    <t>51.000</t>
  </si>
  <si>
    <t>$2.72</t>
  </si>
  <si>
    <t>37.963</t>
  </si>
  <si>
    <t>Riccardo Scrocca VIDEOCOACH ™</t>
  </si>
  <si>
    <t>1.23 ready to go</t>
  </si>
  <si>
    <t>Threads</t>
  </si>
  <si>
    <t>签过合同</t>
  </si>
  <si>
    <t>Snapchat</t>
  </si>
  <si>
    <t>Snapchat Spotlight</t>
  </si>
  <si>
    <t>2.5 催发布ig</t>
  </si>
  <si>
    <t>Elproyectocreativo</t>
  </si>
  <si>
    <t>Ell.nikola</t>
  </si>
  <si>
    <t xml:space="preserve">chunksgaming </t>
  </si>
  <si>
    <t>OverTips (euros) IG</t>
  </si>
  <si>
    <t>OverTips (euros) YT</t>
  </si>
  <si>
    <t>Adnan Hashmi Discussing tt</t>
  </si>
  <si>
    <t>Adnan Hashmi Discussing YT</t>
  </si>
  <si>
    <t>Adnan Hashmi Discussing LK</t>
  </si>
  <si>
    <t>Linkedin</t>
  </si>
  <si>
    <t>Linkedin Video</t>
  </si>
  <si>
    <t>Adnan Hashmi Discussing FB</t>
  </si>
  <si>
    <t>Facebook post</t>
  </si>
  <si>
    <t>Adnan Hashmi Discussing TW</t>
  </si>
  <si>
    <t>Pixeel $100 IG</t>
  </si>
  <si>
    <t>Pixeel $100 YT</t>
  </si>
  <si>
    <t>InfoDigitaeFR (Informatique) YT</t>
  </si>
  <si>
    <t>KireDroid IG</t>
  </si>
  <si>
    <t>Leo Deep tt</t>
  </si>
  <si>
    <t>Leo Deep ytb</t>
  </si>
  <si>
    <t>NowisTech ig</t>
  </si>
  <si>
    <t>NowisTech fb</t>
  </si>
  <si>
    <t>NowisTech ytb</t>
  </si>
  <si>
    <t>forgoodcode</t>
  </si>
  <si>
    <t>65.600</t>
  </si>
  <si>
    <t>DisizYyov tt</t>
  </si>
  <si>
    <t>Andresnotes $40 IG</t>
  </si>
  <si>
    <t>Anderson $150 IG</t>
  </si>
  <si>
    <t xml:space="preserve">Harun Sağaltıcı </t>
  </si>
  <si>
    <t>Video Link</t>
  </si>
  <si>
    <t>link</t>
  </si>
  <si>
    <t>记录日期</t>
  </si>
  <si>
    <t>Follower</t>
  </si>
  <si>
    <t>Views</t>
  </si>
  <si>
    <t>Likes</t>
  </si>
  <si>
    <t>Comments</t>
  </si>
  <si>
    <t>Collect</t>
  </si>
  <si>
    <t>Shares</t>
  </si>
  <si>
    <t>Engagement Rate</t>
  </si>
  <si>
    <t>价格</t>
  </si>
  <si>
    <t>Record Update Time</t>
  </si>
  <si>
    <t>互动量</t>
  </si>
  <si>
    <t>达人量级</t>
  </si>
  <si>
    <t>发布形式</t>
  </si>
  <si>
    <t>70.00</t>
  </si>
  <si>
    <t>0.0</t>
  </si>
  <si>
    <t>2025/01/16</t>
  </si>
  <si>
    <t>2025/01/17</t>
  </si>
  <si>
    <t>2025/01/20</t>
  </si>
  <si>
    <t>https://www.instagram.com/reel/DEho54jSsrX/?igsh=eGRveXc1Mml3N291</t>
  </si>
  <si>
    <t>0%</t>
  </si>
  <si>
    <t>500.00</t>
  </si>
  <si>
    <t>292.0</t>
  </si>
  <si>
    <t>339.0</t>
  </si>
  <si>
    <t>448.0</t>
  </si>
  <si>
    <t>456.0</t>
  </si>
  <si>
    <t>459.0</t>
  </si>
  <si>
    <t>463.0</t>
  </si>
  <si>
    <t>468.0</t>
  </si>
  <si>
    <t>476.0</t>
  </si>
  <si>
    <t>477.0</t>
  </si>
  <si>
    <t>480.0</t>
  </si>
  <si>
    <t>482.0</t>
  </si>
  <si>
    <t>486.0</t>
  </si>
  <si>
    <t>Mega/Celebrity</t>
  </si>
  <si>
    <t>https://www.instagram.com/reel/DEkXSSqp_Gt/?utm_source=ig_web_copy_link&amp;igsh=MzRlODBiNWFlZA==</t>
  </si>
  <si>
    <t>1500.00</t>
  </si>
  <si>
    <t>1672.0</t>
  </si>
  <si>
    <t>1695.0</t>
  </si>
  <si>
    <t>1711.0</t>
  </si>
  <si>
    <t>1727.0</t>
  </si>
  <si>
    <t>1743.0</t>
  </si>
  <si>
    <t>1783.0</t>
  </si>
  <si>
    <t>1798.0</t>
  </si>
  <si>
    <t>1816.0</t>
  </si>
  <si>
    <t>1825.0</t>
  </si>
  <si>
    <t>1857.0</t>
  </si>
  <si>
    <t>1866.0</t>
  </si>
  <si>
    <t>1869.0</t>
  </si>
  <si>
    <t>1881.0</t>
  </si>
  <si>
    <t>1882.0</t>
  </si>
  <si>
    <t>Macro</t>
  </si>
  <si>
    <t>1883.0</t>
  </si>
  <si>
    <t>https://www.linkedin.com/posts/inspiredanalyst_aidesigner-wegicai-aitech-activity-7282768668445310976-lM4P?utm_source=share&amp;utm_medium=member_ios</t>
  </si>
  <si>
    <t>https://x.com/inspirdanalyst/status/1877003328367768008?s=46</t>
  </si>
  <si>
    <t>47.0</t>
  </si>
  <si>
    <t>48.0</t>
  </si>
  <si>
    <t>46.0</t>
  </si>
  <si>
    <t>50.0</t>
  </si>
  <si>
    <t>49.0</t>
  </si>
  <si>
    <t>51.0</t>
  </si>
  <si>
    <t>52.0</t>
  </si>
  <si>
    <t>Micro</t>
  </si>
  <si>
    <t>https://youtube.com/shorts/rB1SeedwMwk</t>
  </si>
  <si>
    <t>147.0</t>
  </si>
  <si>
    <t>171.0</t>
  </si>
  <si>
    <t>182.0</t>
  </si>
  <si>
    <t>185.0</t>
  </si>
  <si>
    <t>190.0</t>
  </si>
  <si>
    <t>197.0</t>
  </si>
  <si>
    <t>201.0</t>
  </si>
  <si>
    <t>207.0</t>
  </si>
  <si>
    <t>212.0</t>
  </si>
  <si>
    <t>234.0</t>
  </si>
  <si>
    <t>239.0</t>
  </si>
  <si>
    <t>241.0</t>
  </si>
  <si>
    <t>https://www.tiktok.com/@inspiredanalyst/video/7457556665387322654?is_from_webapp=1&amp;sender_device=pc&amp;web_id=7421277035094771208</t>
  </si>
  <si>
    <t>5%</t>
  </si>
  <si>
    <t>1033.0</t>
  </si>
  <si>
    <t>1059.0</t>
  </si>
  <si>
    <t>1068.0</t>
  </si>
  <si>
    <t>1095.0</t>
  </si>
  <si>
    <t>1114.0</t>
  </si>
  <si>
    <t>1143.0</t>
  </si>
  <si>
    <t>1177.0</t>
  </si>
  <si>
    <t>1209.0</t>
  </si>
  <si>
    <t>1224.0</t>
  </si>
  <si>
    <t>1240.0</t>
  </si>
  <si>
    <t>1257.0</t>
  </si>
  <si>
    <t>1270.0</t>
  </si>
  <si>
    <t>4%</t>
  </si>
  <si>
    <t>1306.0</t>
  </si>
  <si>
    <t>1311.0</t>
  </si>
  <si>
    <t xml:space="preserve"> Adrian Markovac</t>
  </si>
  <si>
    <t>https://vm.tiktok.com/ZMk5edmus/</t>
  </si>
  <si>
    <t>16%</t>
  </si>
  <si>
    <t>55.00</t>
  </si>
  <si>
    <t>180.0</t>
  </si>
  <si>
    <t>183.0</t>
  </si>
  <si>
    <t>186.0</t>
  </si>
  <si>
    <t>187.0</t>
  </si>
  <si>
    <t>194.0</t>
  </si>
  <si>
    <t>15%</t>
  </si>
  <si>
    <t>203.0</t>
  </si>
  <si>
    <t>206.0</t>
  </si>
  <si>
    <t>209.0</t>
  </si>
  <si>
    <t>208.0</t>
  </si>
  <si>
    <t>150.00</t>
  </si>
  <si>
    <t>https://vm.tiktok.com/ZNeK2snny/</t>
  </si>
  <si>
    <t>13%</t>
  </si>
  <si>
    <t>250.00</t>
  </si>
  <si>
    <t>711.0</t>
  </si>
  <si>
    <t>9%</t>
  </si>
  <si>
    <t>6525.0</t>
  </si>
  <si>
    <t>6600.0</t>
  </si>
  <si>
    <t>6647.0</t>
  </si>
  <si>
    <t>6705.0</t>
  </si>
  <si>
    <t>6729.0</t>
  </si>
  <si>
    <t>6906.0</t>
  </si>
  <si>
    <t>6999.0</t>
  </si>
  <si>
    <t>7264.0</t>
  </si>
  <si>
    <t>7444.0</t>
  </si>
  <si>
    <t>7635.0</t>
  </si>
  <si>
    <t>8064.0</t>
  </si>
  <si>
    <t>8386.0</t>
  </si>
  <si>
    <t>10057.0</t>
  </si>
  <si>
    <t>10107.0</t>
  </si>
  <si>
    <t>Mid-tier</t>
  </si>
  <si>
    <t>10165.0</t>
  </si>
  <si>
    <t>https://www.tiktok.com/@alexcraviotto/video/7460503803901562144?_r=1&amp;_t=ZG-8t7BPppeMIS</t>
  </si>
  <si>
    <t>7%</t>
  </si>
  <si>
    <t>100.00</t>
  </si>
  <si>
    <t>115.0</t>
  </si>
  <si>
    <t>121.0</t>
  </si>
  <si>
    <t>125.0</t>
  </si>
  <si>
    <t>126.0</t>
  </si>
  <si>
    <t>127.0</t>
  </si>
  <si>
    <t>136.0</t>
  </si>
  <si>
    <t>141.0</t>
  </si>
  <si>
    <t>178.0</t>
  </si>
  <si>
    <t>6%</t>
  </si>
  <si>
    <t>https://vm.tiktok.com/ZMkfecCur/</t>
  </si>
  <si>
    <t>10%</t>
  </si>
  <si>
    <t>120.00</t>
  </si>
  <si>
    <t>1524.0</t>
  </si>
  <si>
    <t>1525.0</t>
  </si>
  <si>
    <t>1526.0</t>
  </si>
  <si>
    <t>1527.0</t>
  </si>
  <si>
    <t>1528.0</t>
  </si>
  <si>
    <t>1533.0</t>
  </si>
  <si>
    <t>Alexvlogs</t>
  </si>
  <si>
    <t>https://www.tiktok.com/@alfvarezm/video/7460584430847986976</t>
  </si>
  <si>
    <t>50.00</t>
  </si>
  <si>
    <t>53.0</t>
  </si>
  <si>
    <t>54.0</t>
  </si>
  <si>
    <t>56.0</t>
  </si>
  <si>
    <t>Instagram,Tiktok</t>
  </si>
  <si>
    <t>https://www.instagram.com/reel/DE7nIPeu-iO/
https://www.tiktok.com/@ailiceun/video/7462261985250446635</t>
  </si>
  <si>
    <t>250.00,250.00</t>
  </si>
  <si>
    <t>Posted,Posted</t>
  </si>
  <si>
    <t>Instagram Reel,Tiktok Video</t>
  </si>
  <si>
    <t>T1 - United States,T1 - United States</t>
  </si>
  <si>
    <t>https://www.tiktok.com/@amerufficiale/video/7459338576321383702</t>
  </si>
  <si>
    <t>2%</t>
  </si>
  <si>
    <t>1300.00</t>
  </si>
  <si>
    <t>41.0</t>
  </si>
  <si>
    <t>3%</t>
  </si>
  <si>
    <t>325.0</t>
  </si>
  <si>
    <t>406.0</t>
  </si>
  <si>
    <t>481.0</t>
  </si>
  <si>
    <t>548.0</t>
  </si>
  <si>
    <t>588.0</t>
  </si>
  <si>
    <t>619.0</t>
  </si>
  <si>
    <t>633.0</t>
  </si>
  <si>
    <t>651.0</t>
  </si>
  <si>
    <t>680.0</t>
  </si>
  <si>
    <t>697.0</t>
  </si>
  <si>
    <t>773.0</t>
  </si>
  <si>
    <t>775.0</t>
  </si>
  <si>
    <t>https://www.tiktok.com/@anamalibuu/video/7460926313520581921</t>
  </si>
  <si>
    <t>11%</t>
  </si>
  <si>
    <t>58.0</t>
  </si>
  <si>
    <t>62.0</t>
  </si>
  <si>
    <t>Nano</t>
  </si>
  <si>
    <t>https://www.instagram.com/reel/DE3PyYsSsPd/?igsh=cWI2ZGduaGZzNTkx</t>
  </si>
  <si>
    <t>139.0</t>
  </si>
  <si>
    <t>229.0</t>
  </si>
  <si>
    <t>281.0</t>
  </si>
  <si>
    <t>293.0</t>
  </si>
  <si>
    <t>299.0</t>
  </si>
  <si>
    <t>303.0</t>
  </si>
  <si>
    <t>306.0</t>
  </si>
  <si>
    <t>317.0</t>
  </si>
  <si>
    <t>320.0</t>
  </si>
  <si>
    <t>345.0</t>
  </si>
  <si>
    <t>347.0</t>
  </si>
  <si>
    <t>https://www.tiktok.com/@andersonac02/video/7460275698104831238</t>
  </si>
  <si>
    <t>123.0</t>
  </si>
  <si>
    <t>156.0</t>
  </si>
  <si>
    <t>8%</t>
  </si>
  <si>
    <t>188.0</t>
  </si>
  <si>
    <t>204.0</t>
  </si>
  <si>
    <t>216.0</t>
  </si>
  <si>
    <t>225.0</t>
  </si>
  <si>
    <t>228.0</t>
  </si>
  <si>
    <t>253.0</t>
  </si>
  <si>
    <t>255.0</t>
  </si>
  <si>
    <t>263.0</t>
  </si>
  <si>
    <t>267.0</t>
  </si>
  <si>
    <t>https://www.instagram.com/reel/DE3DtvsS7ly/?igsh=QkJwbkN2bkxIRw%3D%3D</t>
  </si>
  <si>
    <t>87.0</t>
  </si>
  <si>
    <t>168.0</t>
  </si>
  <si>
    <t>205.0</t>
  </si>
  <si>
    <t>1%</t>
  </si>
  <si>
    <t>215.0</t>
  </si>
  <si>
    <t>218.0</t>
  </si>
  <si>
    <t>222.0</t>
  </si>
  <si>
    <t>226.0</t>
  </si>
  <si>
    <t>232.0</t>
  </si>
  <si>
    <t>240.0</t>
  </si>
  <si>
    <t>https://www.tiktok.com/@andresnotes_/video/7460248640443993350?_r=1&amp;_t=ZS-8t6CVsxlyao</t>
  </si>
  <si>
    <t>40.00</t>
  </si>
  <si>
    <t>92.0</t>
  </si>
  <si>
    <t>837.0</t>
  </si>
  <si>
    <t>851.0</t>
  </si>
  <si>
    <t>859.0</t>
  </si>
  <si>
    <t>866.0</t>
  </si>
  <si>
    <t>886.0</t>
  </si>
  <si>
    <t>892.0</t>
  </si>
  <si>
    <t>948.0</t>
  </si>
  <si>
    <t>949.0</t>
  </si>
  <si>
    <t>950.0</t>
  </si>
  <si>
    <t>952.0</t>
  </si>
  <si>
    <t>https://x.com/AngryTomtweets/status/1876568904824476137</t>
  </si>
  <si>
    <t>450.00</t>
  </si>
  <si>
    <t>1447.0</t>
  </si>
  <si>
    <t>1721.0</t>
  </si>
  <si>
    <t>1736.0</t>
  </si>
  <si>
    <t>1737.0</t>
  </si>
  <si>
    <t>1735.0</t>
  </si>
  <si>
    <t>1732.0</t>
  </si>
  <si>
    <t>1734.0</t>
  </si>
  <si>
    <t>1731.0</t>
  </si>
  <si>
    <t>1733.0</t>
  </si>
  <si>
    <t>https://www.tiktok.com/@tiktok_astro_11/video/7460575861566229793</t>
  </si>
  <si>
    <t>75.00</t>
  </si>
  <si>
    <t>107.0</t>
  </si>
  <si>
    <t>111.0</t>
  </si>
  <si>
    <t>114.0</t>
  </si>
  <si>
    <t>118.0</t>
  </si>
  <si>
    <t>131.0</t>
  </si>
  <si>
    <t>135.0</t>
  </si>
  <si>
    <t>154.0</t>
  </si>
  <si>
    <t>155.0</t>
  </si>
  <si>
    <t>165.0</t>
  </si>
  <si>
    <t>https://www.tiktok.com/@atomicdragonoy/video/7467994234365168902</t>
  </si>
  <si>
    <t>918.0</t>
  </si>
  <si>
    <t>1367.0</t>
  </si>
  <si>
    <t>1458.0</t>
  </si>
  <si>
    <t>https://x.com/Ben_escrito/status/1876670583229890921</t>
  </si>
  <si>
    <t>200.00</t>
  </si>
  <si>
    <t>410.0</t>
  </si>
  <si>
    <t>569.0</t>
  </si>
  <si>
    <t>897.0</t>
  </si>
  <si>
    <t>898.0</t>
  </si>
  <si>
    <t>899.0</t>
  </si>
  <si>
    <t>896.0</t>
  </si>
  <si>
    <t>895.0</t>
  </si>
  <si>
    <t>894.0</t>
  </si>
  <si>
    <t>891.0</t>
  </si>
  <si>
    <t>https://www.instagram.com/p/DEkaZDKo-U5/</t>
  </si>
  <si>
    <t>105.0</t>
  </si>
  <si>
    <t>113.0</t>
  </si>
  <si>
    <t>116.0</t>
  </si>
  <si>
    <t>https://www.instagram.com/reel/DEnN0KbIoJC/</t>
  </si>
  <si>
    <t>71.50</t>
  </si>
  <si>
    <t>55.0</t>
  </si>
  <si>
    <t>57.0</t>
  </si>
  <si>
    <t>60.0</t>
  </si>
  <si>
    <t>63.0</t>
  </si>
  <si>
    <t>67.0</t>
  </si>
  <si>
    <t>https://x.com/LearnWithBishal/status/1876583112194531573</t>
  </si>
  <si>
    <t>350.00</t>
  </si>
  <si>
    <t>227.0</t>
  </si>
  <si>
    <t>237.0</t>
  </si>
  <si>
    <t>235.0</t>
  </si>
  <si>
    <t>236.0</t>
  </si>
  <si>
    <t>233.0</t>
  </si>
  <si>
    <t>231.0</t>
  </si>
  <si>
    <t>Bishal Nandi109,400
46,200
40
22
93
81</t>
  </si>
  <si>
    <t>https://www.instagram.com/p/DEhtiPXP8br/?img_index=1</t>
  </si>
  <si>
    <t>142.0</t>
  </si>
  <si>
    <t>219.0</t>
  </si>
  <si>
    <t>223.0</t>
  </si>
  <si>
    <t>224.0</t>
  </si>
  <si>
    <t>https://www.instagram.com/reel/DE91VvKipiV/</t>
  </si>
  <si>
    <t>1000.00</t>
  </si>
  <si>
    <t>3053.0</t>
  </si>
  <si>
    <t>3137.0</t>
  </si>
  <si>
    <t>3241.0</t>
  </si>
  <si>
    <t>3291.0</t>
  </si>
  <si>
    <t>3348.0</t>
  </si>
  <si>
    <t>3433.0</t>
  </si>
  <si>
    <t>3457.0</t>
  </si>
  <si>
    <t>3539.0</t>
  </si>
  <si>
    <t>3540.0</t>
  </si>
  <si>
    <t>3546.0</t>
  </si>
  <si>
    <t>3551.0</t>
  </si>
  <si>
    <t>https://www.tiktok.com/@carloslvlv/video/7460311219656838405</t>
  </si>
  <si>
    <t>99.00</t>
  </si>
  <si>
    <t>101.0</t>
  </si>
  <si>
    <t>144.0</t>
  </si>
  <si>
    <t>251.0</t>
  </si>
  <si>
    <t>261.0</t>
  </si>
  <si>
    <t>274.0</t>
  </si>
  <si>
    <t>304.0</t>
  </si>
  <si>
    <t>399.0</t>
  </si>
  <si>
    <t>622.0</t>
  </si>
  <si>
    <t>623.0</t>
  </si>
  <si>
    <t>625.0</t>
  </si>
  <si>
    <t>https://www.instagram.com/p/DEuYlr2ATV8/?img_index=1</t>
  </si>
  <si>
    <t>2000.00</t>
  </si>
  <si>
    <t>18126.0</t>
  </si>
  <si>
    <t>20434.0</t>
  </si>
  <si>
    <t>65159.0</t>
  </si>
  <si>
    <t>65499.0</t>
  </si>
  <si>
    <t>65924.0</t>
  </si>
  <si>
    <t>66331.0</t>
  </si>
  <si>
    <t>66396.0</t>
  </si>
  <si>
    <t>66772.0</t>
  </si>
  <si>
    <t>67064.0</t>
  </si>
  <si>
    <t>67322.0</t>
  </si>
  <si>
    <t>69811.0</t>
  </si>
  <si>
    <t>69925.0</t>
  </si>
  <si>
    <t>74537.0</t>
  </si>
  <si>
    <t>75144.0</t>
  </si>
  <si>
    <t>75247.0</t>
  </si>
  <si>
    <t>https://vm.tiktok.com/ZNeKUNeme/</t>
  </si>
  <si>
    <t>166.0</t>
  </si>
  <si>
    <t>173.0</t>
  </si>
  <si>
    <t>214.0</t>
  </si>
  <si>
    <t>243.0</t>
  </si>
  <si>
    <t>245.0</t>
  </si>
  <si>
    <t>249.0</t>
  </si>
  <si>
    <t>254.0</t>
  </si>
  <si>
    <t>264.0</t>
  </si>
  <si>
    <t>266.0</t>
  </si>
  <si>
    <t>Chunksmedia</t>
  </si>
  <si>
    <t>https://www.tiktok.com/@conectado._/video/7460686666353609989?_r=1&amp;_t=ZM-8t8BgGFbotZ</t>
  </si>
  <si>
    <t>1468.0</t>
  </si>
  <si>
    <t>3461.0</t>
  </si>
  <si>
    <t>5570.0</t>
  </si>
  <si>
    <t>7185.0</t>
  </si>
  <si>
    <t>8162.0</t>
  </si>
  <si>
    <t>9087.0</t>
  </si>
  <si>
    <t>9369.0</t>
  </si>
  <si>
    <t>12205.0</t>
  </si>
  <si>
    <t>12453.0</t>
  </si>
  <si>
    <t>12935.0</t>
  </si>
  <si>
    <t>https://x.com/iamcoriarnold/status/1876609858507526201</t>
  </si>
  <si>
    <t>346.0</t>
  </si>
  <si>
    <t>370.0</t>
  </si>
  <si>
    <t>372.0</t>
  </si>
  <si>
    <t>371.0</t>
  </si>
  <si>
    <t>373.0</t>
  </si>
  <si>
    <t>368.0</t>
  </si>
  <si>
    <t>https://vm.tiktok.com/ZGdBpmC8Y/</t>
  </si>
  <si>
    <t>30.00</t>
  </si>
  <si>
    <t>14.0</t>
  </si>
  <si>
    <t>15.0</t>
  </si>
  <si>
    <t>16.0</t>
  </si>
  <si>
    <t>Instagram,Instagram</t>
  </si>
  <si>
    <t>取消合作,取消合作</t>
  </si>
  <si>
    <t>Instagram Carousel,Instagram Reel</t>
  </si>
  <si>
    <t>https://www.instagram.com/reel/DE22qPfStDj/?igsh=MzRlODBiNWFlZA==</t>
  </si>
  <si>
    <t>300.00</t>
  </si>
  <si>
    <t>Instagram Reel,Tiktok Video,Twitter Thread</t>
  </si>
  <si>
    <t>248.0</t>
  </si>
  <si>
    <t>283.0</t>
  </si>
  <si>
    <t>287.0</t>
  </si>
  <si>
    <t>298.0</t>
  </si>
  <si>
    <t>301.0</t>
  </si>
  <si>
    <t>309.0</t>
  </si>
  <si>
    <t>312.0</t>
  </si>
  <si>
    <t>318.0</t>
  </si>
  <si>
    <t>https://www.tiktok.com/@dannstudyy/video/7457600554458418438</t>
  </si>
  <si>
    <t>36.0</t>
  </si>
  <si>
    <t>37.0</t>
  </si>
  <si>
    <t>38.0</t>
  </si>
  <si>
    <t>44.0</t>
  </si>
  <si>
    <t>45.0</t>
  </si>
  <si>
    <t>https://vm.tiktok.com/ZMkCVE7xQ/</t>
  </si>
  <si>
    <t>21%</t>
  </si>
  <si>
    <t>35.00</t>
  </si>
  <si>
    <t>108.0</t>
  </si>
  <si>
    <t>18%</t>
  </si>
  <si>
    <t>211.0</t>
  </si>
  <si>
    <t>https://x.com/MisfenBlackHat/status/1876739193067475442</t>
  </si>
  <si>
    <t>43.0</t>
  </si>
  <si>
    <t>95.0</t>
  </si>
  <si>
    <t>96.0</t>
  </si>
  <si>
    <t>94.0</t>
  </si>
  <si>
    <t>DisizYyov</t>
  </si>
  <si>
    <t>https://www.instagram.com/reel/DFI_Dy5I_wR/</t>
  </si>
  <si>
    <t>800.00</t>
  </si>
  <si>
    <t>93.0</t>
  </si>
  <si>
    <t>153.0</t>
  </si>
  <si>
    <t>175.0</t>
  </si>
  <si>
    <t>210.0</t>
  </si>
  <si>
    <t>https://www.instagram.com/reel/DFFWPXZT0JI/</t>
  </si>
  <si>
    <t>242.0</t>
  </si>
  <si>
    <t>244.0</t>
  </si>
  <si>
    <t>Tiktok,Instagram,Facebook</t>
  </si>
  <si>
    <t>https://www.tiktok.com/@edu.tec/video/7461026722381630725
https://www.instagram.com/reel/DE8c8WqPVKA/
https://www.facebook.com/share/r/1BLJMup7Td/</t>
  </si>
  <si>
    <t>500.00,200.00,50.00</t>
  </si>
  <si>
    <t>Posted,Posted,Posted</t>
  </si>
  <si>
    <t>Tiktok Video,Instagram Reel,Facebook Video</t>
  </si>
  <si>
    <t>其他国家,其他国家,其他国家</t>
  </si>
  <si>
    <t>https://vm.tiktok.com/ZMk9UD643/</t>
  </si>
  <si>
    <t>881.0</t>
  </si>
  <si>
    <t>994.0</t>
  </si>
  <si>
    <t>1063.0</t>
  </si>
  <si>
    <t>1106.0</t>
  </si>
  <si>
    <t>1150.0</t>
  </si>
  <si>
    <t>1244.0</t>
  </si>
  <si>
    <t>1310.0</t>
  </si>
  <si>
    <t>1781.0</t>
  </si>
  <si>
    <t>1815.0</t>
  </si>
  <si>
    <t>1872.0</t>
  </si>
  <si>
    <t>1893.0</t>
  </si>
  <si>
    <t>https://www.tiktok.com/@elrobertoppen/video/7460711636127599878</t>
  </si>
  <si>
    <t>90.0</t>
  </si>
  <si>
    <t>250.0</t>
  </si>
  <si>
    <t>257.0</t>
  </si>
  <si>
    <t>262.0</t>
  </si>
  <si>
    <t>278.0</t>
  </si>
  <si>
    <t>280.0</t>
  </si>
  <si>
    <t>282.0</t>
  </si>
  <si>
    <t>https://www.tiktok.com/@ell.nikola</t>
  </si>
  <si>
    <t>25.0</t>
  </si>
  <si>
    <t>68.0</t>
  </si>
  <si>
    <t>81.0</t>
  </si>
  <si>
    <t>99.0</t>
  </si>
  <si>
    <t>103.0</t>
  </si>
  <si>
    <t>159.0</t>
  </si>
  <si>
    <t>163.0</t>
  </si>
  <si>
    <t>Tiktok,Instagram</t>
  </si>
  <si>
    <t>https://www.tiktok.com/@ellygmr/video/7459928614449024262
https://www.instagram.com/reel/DE0AyLaRHDP/</t>
  </si>
  <si>
    <t>1000.00,500.00</t>
  </si>
  <si>
    <t>Tiktok Video,Instagram Reel</t>
  </si>
  <si>
    <t>T2 - Mexico,T2 - Mexico</t>
  </si>
  <si>
    <t>5398.0</t>
  </si>
  <si>
    <t>https://www.instagram.com/reel/DEhynMFsJtn/</t>
  </si>
  <si>
    <t>539.0</t>
  </si>
  <si>
    <t>26%</t>
  </si>
  <si>
    <t>8030.0</t>
  </si>
  <si>
    <t>8097.0</t>
  </si>
  <si>
    <t>28%</t>
  </si>
  <si>
    <t>8517.0</t>
  </si>
  <si>
    <t>29%</t>
  </si>
  <si>
    <t>8914.0</t>
  </si>
  <si>
    <t>9273.0</t>
  </si>
  <si>
    <t>32%</t>
  </si>
  <si>
    <t>10440.0</t>
  </si>
  <si>
    <t>10841.0</t>
  </si>
  <si>
    <t>33%</t>
  </si>
  <si>
    <t>11349.0</t>
  </si>
  <si>
    <t>34%</t>
  </si>
  <si>
    <t>11551.0</t>
  </si>
  <si>
    <t>11651.0</t>
  </si>
  <si>
    <t>11960.0</t>
  </si>
  <si>
    <t>12161.0</t>
  </si>
  <si>
    <t>12167.0</t>
  </si>
  <si>
    <t>35%</t>
  </si>
  <si>
    <t>12867.0</t>
  </si>
  <si>
    <t>https://vm.tiktok.com/ZNeK6svNm/</t>
  </si>
  <si>
    <t>650.00</t>
  </si>
  <si>
    <t>12315.0</t>
  </si>
  <si>
    <t>12469.0</t>
  </si>
  <si>
    <t>53051.0</t>
  </si>
  <si>
    <t>56053.0</t>
  </si>
  <si>
    <t>57948.0</t>
  </si>
  <si>
    <t>59399.0</t>
  </si>
  <si>
    <t>60400.0</t>
  </si>
  <si>
    <t>64346.0</t>
  </si>
  <si>
    <t>66635.0</t>
  </si>
  <si>
    <t>69485.0</t>
  </si>
  <si>
    <t>71790.0</t>
  </si>
  <si>
    <t>72864.0</t>
  </si>
  <si>
    <t>74997.0</t>
  </si>
  <si>
    <t>78382.0</t>
  </si>
  <si>
    <t>91282.0</t>
  </si>
  <si>
    <t>92168.0</t>
  </si>
  <si>
    <t>https://www.tiktok.com/@elproyectocreativo/video/7460709309622586629</t>
  </si>
  <si>
    <t>12%</t>
  </si>
  <si>
    <t>908.0</t>
  </si>
  <si>
    <t>3775.0</t>
  </si>
  <si>
    <t>4344.0</t>
  </si>
  <si>
    <t>4669.0</t>
  </si>
  <si>
    <t>4933.0</t>
  </si>
  <si>
    <t>5253.0</t>
  </si>
  <si>
    <t>5729.0</t>
  </si>
  <si>
    <t>5906.0</t>
  </si>
  <si>
    <t>6711.0</t>
  </si>
  <si>
    <t>6765.0</t>
  </si>
  <si>
    <t>6802.0</t>
  </si>
  <si>
    <t>6830.0</t>
  </si>
  <si>
    <t>https://www.tiktok.com/@elvi5belvi5/video/7463216722351344918</t>
  </si>
  <si>
    <t>1250.00</t>
  </si>
  <si>
    <t>T2 - Italy,T2 - Italy</t>
  </si>
  <si>
    <t>https://www.tiktok.com/@byerikk033/video/7460961447095405857?_r=1&amp;_t=ZG-8tDXXXvlZK4</t>
  </si>
  <si>
    <t>14929.0</t>
  </si>
  <si>
    <t>16674.0</t>
  </si>
  <si>
    <t>17790.0</t>
  </si>
  <si>
    <t>18618.0</t>
  </si>
  <si>
    <t>19260.0</t>
  </si>
  <si>
    <t>19708.0</t>
  </si>
  <si>
    <t>20002.0</t>
  </si>
  <si>
    <t>24327.0</t>
  </si>
  <si>
    <t>25295.0</t>
  </si>
  <si>
    <t>26098.0</t>
  </si>
  <si>
    <t>26608.0</t>
  </si>
  <si>
    <t>https://www.instagram.com/p/DEiRhY_gk87/?img_index=1</t>
  </si>
  <si>
    <t>7200.00</t>
  </si>
  <si>
    <t>28349.0</t>
  </si>
  <si>
    <t>40033.0</t>
  </si>
  <si>
    <t>41135.0</t>
  </si>
  <si>
    <t>42983.0</t>
  </si>
  <si>
    <t>46272.0</t>
  </si>
  <si>
    <t>47388.0</t>
  </si>
  <si>
    <t>50847.0</t>
  </si>
  <si>
    <t>51953.0</t>
  </si>
  <si>
    <t>54798.0</t>
  </si>
  <si>
    <t>58822.0</t>
  </si>
  <si>
    <t>60116.0</t>
  </si>
  <si>
    <t>66395.0</t>
  </si>
  <si>
    <t>69509.0</t>
  </si>
  <si>
    <t>76000.0</t>
  </si>
  <si>
    <t>77200.0</t>
  </si>
  <si>
    <t>77251.0</t>
  </si>
  <si>
    <t>Instagram,Twitter</t>
  </si>
  <si>
    <t>https://www.instagram.com/p/DFfhTlnT9h5/?igsh=MnMwb3AzdDZueGV1
https://x.com/FactPoint/status/1885328788046643487?t=eNapbIbfbCvC-raEr7EwEQ&amp;s=09</t>
  </si>
  <si>
    <t>200.00,100.00</t>
  </si>
  <si>
    <t>Instagram Carousel,Twitter Thread</t>
  </si>
  <si>
    <t>20.00</t>
  </si>
  <si>
    <t>https://vm.tiktok.com/ZGdShpC6r/</t>
  </si>
  <si>
    <t>6.0</t>
  </si>
  <si>
    <t>9.0</t>
  </si>
  <si>
    <t>80.00</t>
  </si>
  <si>
    <t>https://www.instagram.com/p/DEkkASSO-gS/</t>
  </si>
  <si>
    <t>600.00</t>
  </si>
  <si>
    <t>816.0</t>
  </si>
  <si>
    <t>838.0</t>
  </si>
  <si>
    <t>858.0</t>
  </si>
  <si>
    <t>872.0</t>
  </si>
  <si>
    <t>884.0</t>
  </si>
  <si>
    <t>909.0</t>
  </si>
  <si>
    <t>913.0</t>
  </si>
  <si>
    <t>919.0</t>
  </si>
  <si>
    <t>922.0</t>
  </si>
  <si>
    <t>927.0</t>
  </si>
  <si>
    <t>935.0</t>
  </si>
  <si>
    <t>939.0</t>
  </si>
  <si>
    <t>954.0</t>
  </si>
  <si>
    <t>955.0</t>
  </si>
  <si>
    <t>https://www.tiktok.com/@gabzer.mp4/video/7457582169980996897</t>
  </si>
  <si>
    <t>573.0</t>
  </si>
  <si>
    <t>596.0</t>
  </si>
  <si>
    <t>615.0</t>
  </si>
  <si>
    <t>642.0</t>
  </si>
  <si>
    <t>666.0</t>
  </si>
  <si>
    <t>752.0</t>
  </si>
  <si>
    <t>778.0</t>
  </si>
  <si>
    <t>789.0</t>
  </si>
  <si>
    <t>794.0</t>
  </si>
  <si>
    <t>798.0</t>
  </si>
  <si>
    <t>806.0</t>
  </si>
  <si>
    <t>812.0</t>
  </si>
  <si>
    <t>879.0</t>
  </si>
  <si>
    <t>https://www.youtube.com/shorts/Om0aBES8C_U</t>
  </si>
  <si>
    <t>26.0</t>
  </si>
  <si>
    <t>27.0</t>
  </si>
  <si>
    <t>https://www.instagram.com/reel/DFDrQmgP2BB/?igsh=MXAzMWNsbmt1aWFnbA%3D%3D</t>
  </si>
  <si>
    <t>284.0</t>
  </si>
  <si>
    <t>381.0</t>
  </si>
  <si>
    <t>386.0</t>
  </si>
  <si>
    <t>395.0</t>
  </si>
  <si>
    <t>https://vm.tiktok.com/ZMkfBjVWS/</t>
  </si>
  <si>
    <t>1625.0</t>
  </si>
  <si>
    <t>1793.0</t>
  </si>
  <si>
    <t>1808.0</t>
  </si>
  <si>
    <t>1827.0</t>
  </si>
  <si>
    <t>1838.0</t>
  </si>
  <si>
    <t>1861.0</t>
  </si>
  <si>
    <t>1875.0</t>
  </si>
  <si>
    <t>1891.0</t>
  </si>
  <si>
    <t>1906.0</t>
  </si>
  <si>
    <t>1914.0</t>
  </si>
  <si>
    <t>1935.0</t>
  </si>
  <si>
    <t>1937.0</t>
  </si>
  <si>
    <t>https://x.com/hasantoxr/status/1876563049286668431?s=46</t>
  </si>
  <si>
    <t>400.00</t>
  </si>
  <si>
    <t>529.0</t>
  </si>
  <si>
    <t>610.0</t>
  </si>
  <si>
    <t>664.0</t>
  </si>
  <si>
    <t>663.0</t>
  </si>
  <si>
    <t>665.0</t>
  </si>
  <si>
    <t>657.0</t>
  </si>
  <si>
    <t>658.0</t>
  </si>
  <si>
    <t>https://x.com/hrrcnes/status/1876660325979980255</t>
  </si>
  <si>
    <t>2067.0</t>
  </si>
  <si>
    <t>2281.0</t>
  </si>
  <si>
    <t>2614.0</t>
  </si>
  <si>
    <t>2723.0</t>
  </si>
  <si>
    <t>2732.0</t>
  </si>
  <si>
    <t>2734.0</t>
  </si>
  <si>
    <t>2735.0</t>
  </si>
  <si>
    <t>2738.0</t>
  </si>
  <si>
    <t>2739.0</t>
  </si>
  <si>
    <t>2736.0</t>
  </si>
  <si>
    <t>2740.0</t>
  </si>
  <si>
    <t>2737.0</t>
  </si>
  <si>
    <t>https://www.tiktok.com/@iaenlinea/video/7459762556207435040</t>
  </si>
  <si>
    <t>180.00</t>
  </si>
  <si>
    <t>453.0</t>
  </si>
  <si>
    <t>514.0</t>
  </si>
  <si>
    <t>540.0</t>
  </si>
  <si>
    <t>713.0</t>
  </si>
  <si>
    <t>726.0</t>
  </si>
  <si>
    <t>746.0</t>
  </si>
  <si>
    <t>756.0</t>
  </si>
  <si>
    <t>https://www.instagram.com/p/DE5XPoXNKfv/</t>
  </si>
  <si>
    <t>1762.0</t>
  </si>
  <si>
    <t>1904.0</t>
  </si>
  <si>
    <t>2022.0</t>
  </si>
  <si>
    <t>2097.0</t>
  </si>
  <si>
    <t>2180.0</t>
  </si>
  <si>
    <t>2342.0</t>
  </si>
  <si>
    <t>2399.0</t>
  </si>
  <si>
    <t>3258.0</t>
  </si>
  <si>
    <t>3371.0</t>
  </si>
  <si>
    <t>3691.0</t>
  </si>
  <si>
    <t>https://x.com/ihteshamit/status/1876563678432293039</t>
  </si>
  <si>
    <t>184.0</t>
  </si>
  <si>
    <t>200.0</t>
  </si>
  <si>
    <t>199.0</t>
  </si>
  <si>
    <t>198.0</t>
  </si>
  <si>
    <t>196.0</t>
  </si>
  <si>
    <t>https://www.instagram.com/p/DE-xSCvT-Ku/</t>
  </si>
  <si>
    <t>73.0</t>
  </si>
  <si>
    <t>77.0</t>
  </si>
  <si>
    <t>82.0</t>
  </si>
  <si>
    <t>83.0</t>
  </si>
  <si>
    <t>84.0</t>
  </si>
  <si>
    <t>91.0</t>
  </si>
  <si>
    <t>100.0</t>
  </si>
  <si>
    <t>https://vm.tiktok.com/ZNeKkL1YQ/</t>
  </si>
  <si>
    <t>65.0</t>
  </si>
  <si>
    <t>https://youtube.com/shorts/krWvQ75GWuY?feature=share</t>
  </si>
  <si>
    <t>24.0</t>
  </si>
  <si>
    <t>https://www.instagram.com/p/DE7jsypNf2V/</t>
  </si>
  <si>
    <t>256.0</t>
  </si>
  <si>
    <t>259.0</t>
  </si>
  <si>
    <t>260.0</t>
  </si>
  <si>
    <t>265.0</t>
  </si>
  <si>
    <t>275.0</t>
  </si>
  <si>
    <t>Infotricks236,000</t>
  </si>
  <si>
    <t>https://vm.tiktok.com/ZNeKmVapt/</t>
  </si>
  <si>
    <t>21.0</t>
  </si>
  <si>
    <t>23.0</t>
  </si>
  <si>
    <t>31.0</t>
  </si>
  <si>
    <t>33.0</t>
  </si>
  <si>
    <t>59.0</t>
  </si>
  <si>
    <t>64.0</t>
  </si>
  <si>
    <t>66.0</t>
  </si>
  <si>
    <t>https://vm.tiktok.com/ZMkmtPCRc/</t>
  </si>
  <si>
    <t>9.80</t>
  </si>
  <si>
    <t>69.0</t>
  </si>
  <si>
    <t>70.0</t>
  </si>
  <si>
    <t>71.0</t>
  </si>
  <si>
    <t>72.0</t>
  </si>
  <si>
    <t>https://www.tiktok.com/@itsamineazizi/video/7459123740182351109?_r=1&amp;_t=ZM-8t0sgQkBtp7</t>
  </si>
  <si>
    <t>388.0</t>
  </si>
  <si>
    <t>729.0</t>
  </si>
  <si>
    <t>730.0</t>
  </si>
  <si>
    <t>2030.0</t>
  </si>
  <si>
    <t>2065.0</t>
  </si>
  <si>
    <t>2066.0</t>
  </si>
  <si>
    <t>Youtube,Tiktok</t>
  </si>
  <si>
    <t>https://www.youtube.com/shorts/7wfFkTFW2pI</t>
  </si>
  <si>
    <t>60.00</t>
  </si>
  <si>
    <t>Youtube Shorts,Tiktok Video</t>
  </si>
  <si>
    <t>https://www.instagram.com/reel/DEz2vJptnT3/?igsh=MWdwMGxuMzVqanp4Ng%3D%3D</t>
  </si>
  <si>
    <t>750.00</t>
  </si>
  <si>
    <t>1062.0</t>
  </si>
  <si>
    <t>1178.0</t>
  </si>
  <si>
    <t>1317.0</t>
  </si>
  <si>
    <t>1351.0</t>
  </si>
  <si>
    <t>1368.0</t>
  </si>
  <si>
    <t>1381.0</t>
  </si>
  <si>
    <t>1393.0</t>
  </si>
  <si>
    <t>1427.0</t>
  </si>
  <si>
    <t>1440.0</t>
  </si>
  <si>
    <t>1507.0</t>
  </si>
  <si>
    <t>1513.0</t>
  </si>
  <si>
    <t>1517.0</t>
  </si>
  <si>
    <t>https://www.instagram.com/p/DE4I6R7zs67/?img_index=1</t>
  </si>
  <si>
    <t>297.00</t>
  </si>
  <si>
    <t>Jeylini</t>
  </si>
  <si>
    <t>https://www.tiktok.com/@medicenjoca/video/7458072838348623109?_r=1&amp;_t=ZM-8sxa99VmHPa</t>
  </si>
  <si>
    <t>39516.0</t>
  </si>
  <si>
    <t>41768.0</t>
  </si>
  <si>
    <t>42780.0</t>
  </si>
  <si>
    <t>14%</t>
  </si>
  <si>
    <t>44232.0</t>
  </si>
  <si>
    <t>44954.0</t>
  </si>
  <si>
    <t>46400.0</t>
  </si>
  <si>
    <t>47353.0</t>
  </si>
  <si>
    <t>47969.0</t>
  </si>
  <si>
    <t>48707.0</t>
  </si>
  <si>
    <t>49187.0</t>
  </si>
  <si>
    <t>51059.0</t>
  </si>
  <si>
    <t>51771.0</t>
  </si>
  <si>
    <t>57984.0</t>
  </si>
  <si>
    <t>58381.0</t>
  </si>
  <si>
    <t>https://vm.tiktok.com/ZMkfBUDBw/</t>
  </si>
  <si>
    <t>32.0</t>
  </si>
  <si>
    <t>https://www.instagram.com/reel/DE8dVEPy9Fi/?igsh=MXE0YnQ2anBzNXptOQ==</t>
  </si>
  <si>
    <t>26078.0</t>
  </si>
  <si>
    <t>30289.0</t>
  </si>
  <si>
    <t>33257.0</t>
  </si>
  <si>
    <t>35459.0</t>
  </si>
  <si>
    <t>37570.0</t>
  </si>
  <si>
    <t>41185.0</t>
  </si>
  <si>
    <t>43190.0</t>
  </si>
  <si>
    <t>54236.0</t>
  </si>
  <si>
    <t>54636.0</t>
  </si>
  <si>
    <t>55136.0</t>
  </si>
  <si>
    <t>55539.0</t>
  </si>
  <si>
    <t>https://www.tiktok.com/@kiredroid_yt/video/7457228284212890913</t>
  </si>
  <si>
    <t>13.0</t>
  </si>
  <si>
    <t>12.0</t>
  </si>
  <si>
    <t>17.0</t>
  </si>
  <si>
    <t>https://www.instagram.com/p/DEiHkmkgXz2/</t>
  </si>
  <si>
    <t>20%</t>
  </si>
  <si>
    <t>https://www.instagram.com/reel/DE7Vb2LN1Tw/?igsh=MTQ5MHFhMmdwMG96dw==
https://vm.tiktok.com/ZMkutcaQ1/</t>
  </si>
  <si>
    <t>300.00,50.00</t>
  </si>
  <si>
    <t>https://www.instagram.com/reel/DE4-5u1x5JH/</t>
  </si>
  <si>
    <t>1684.0</t>
  </si>
  <si>
    <t>1723.0</t>
  </si>
  <si>
    <t>1770.0</t>
  </si>
  <si>
    <t>1790.0</t>
  </si>
  <si>
    <t>1810.0</t>
  </si>
  <si>
    <t>1854.0</t>
  </si>
  <si>
    <t>1874.0</t>
  </si>
  <si>
    <t>1932.0</t>
  </si>
  <si>
    <t>1936.0</t>
  </si>
  <si>
    <t>https://www.tiktok.com/@legend54ytft/video/7457314482839129349?_r=1&amp;_t=ZM-8ssqPUX36Yv</t>
  </si>
  <si>
    <t>18.0</t>
  </si>
  <si>
    <t>19.0</t>
  </si>
  <si>
    <t>20.0</t>
  </si>
  <si>
    <t>https://www.instagram.com/reel/DEpvfB0tqMZ/?utm_source=ig_web_copy_link&amp;igsh=MzRlODBiNWFlZA==</t>
  </si>
  <si>
    <t>950.00</t>
  </si>
  <si>
    <t>991.0</t>
  </si>
  <si>
    <t>1081.0</t>
  </si>
  <si>
    <t>1218.0</t>
  </si>
  <si>
    <t>1299.0</t>
  </si>
  <si>
    <t>1553.0</t>
  </si>
  <si>
    <t>1643.0</t>
  </si>
  <si>
    <t>1768.0</t>
  </si>
  <si>
    <t>1823.0</t>
  </si>
  <si>
    <t>1918.0</t>
  </si>
  <si>
    <t>2178.0</t>
  </si>
  <si>
    <t>2296.0</t>
  </si>
  <si>
    <t>2918.0</t>
  </si>
  <si>
    <t>2969.0</t>
  </si>
  <si>
    <t>3045.0</t>
  </si>
  <si>
    <t>En 3 clics t’as un site personnalisé… 😵‍💫 Jte montre comment faire u... | Site de streaming | TikTok</t>
  </si>
  <si>
    <t>19155.0</t>
  </si>
  <si>
    <t>21638.0</t>
  </si>
  <si>
    <t>23033.0</t>
  </si>
  <si>
    <t>24325.0</t>
  </si>
  <si>
    <t>25031.0</t>
  </si>
  <si>
    <t>26156.0</t>
  </si>
  <si>
    <t>26617.0</t>
  </si>
  <si>
    <t>27069.0</t>
  </si>
  <si>
    <t>27296.0</t>
  </si>
  <si>
    <t>27638.0</t>
  </si>
  <si>
    <t>28101.0</t>
  </si>
  <si>
    <t>28327.0</t>
  </si>
  <si>
    <t>31487.0</t>
  </si>
  <si>
    <t>31742.0</t>
  </si>
  <si>
    <t>https://youtube.com/shorts/uPBSOgnxnQk?si=HjyGOTEJOKEB9OmY</t>
  </si>
  <si>
    <t>https://www.tiktok.com/@logiaweb/video/7462346938575228182
https://www.instagram.com/reel/DFFnsmTSzYs/</t>
  </si>
  <si>
    <t>https://vm.tiktok.com/ZMk594Jjt/</t>
  </si>
  <si>
    <t>434.0</t>
  </si>
  <si>
    <t>437.0</t>
  </si>
  <si>
    <t>438.0</t>
  </si>
  <si>
    <t>439.0</t>
  </si>
  <si>
    <t>442.0</t>
  </si>
  <si>
    <t>443.0</t>
  </si>
  <si>
    <t>444.0</t>
  </si>
  <si>
    <t>451.0</t>
  </si>
  <si>
    <t>452.0</t>
  </si>
  <si>
    <t>https://x.com/hey_madni/status/1876625861451063357</t>
  </si>
  <si>
    <t>145.0</t>
  </si>
  <si>
    <t>150.0</t>
  </si>
  <si>
    <t>164.0</t>
  </si>
  <si>
    <t>162.0</t>
  </si>
  <si>
    <t>14.93</t>
  </si>
  <si>
    <t>https://www.tiktok.com/@mattsmedia_/video/7457917705211874593</t>
  </si>
  <si>
    <t>https://vm.tiktok.com/ZMkfejXYc/</t>
  </si>
  <si>
    <t>151.0</t>
  </si>
  <si>
    <t>160.0</t>
  </si>
  <si>
    <t>167.0</t>
  </si>
  <si>
    <t>172.0</t>
  </si>
  <si>
    <t>191.0</t>
  </si>
  <si>
    <t>195.0</t>
  </si>
  <si>
    <t>340.0</t>
  </si>
  <si>
    <t>344.0</t>
  </si>
  <si>
    <t>https://www.tiktok.com/t/ZP8Fa9daX/</t>
  </si>
  <si>
    <t>34.0</t>
  </si>
  <si>
    <t>35.0</t>
  </si>
  <si>
    <t>39.0</t>
  </si>
  <si>
    <t>Merr Ms</t>
  </si>
  <si>
    <t>https://x.com/MiguelMaestroIA/status/1876894468940403019</t>
  </si>
  <si>
    <t>774.0</t>
  </si>
  <si>
    <t>10.0</t>
  </si>
  <si>
    <t>https://x.com/MindWisdomMoney/status/1876596283609149812</t>
  </si>
  <si>
    <t>https://www.instagram.com/reel/DFKz4yVA0Ik/?igsh=ejl5bHAxcHBzY2pz</t>
  </si>
  <si>
    <t>323.0</t>
  </si>
  <si>
    <t>506.0</t>
  </si>
  <si>
    <t>616.0</t>
  </si>
  <si>
    <t>636.0</t>
  </si>
  <si>
    <t>641.0</t>
  </si>
  <si>
    <t>https://www.tiktok.com/@mixilgamer6/video/7457261021250587926?_r=1&amp;_t=ZN-8ssLAgPBuY2</t>
  </si>
  <si>
    <t>79.0</t>
  </si>
  <si>
    <t>https://www.instagram.com/p/DEsCV74CFGH/?igsh=YTFyaHk4enN3dGVm</t>
  </si>
  <si>
    <t>240.00</t>
  </si>
  <si>
    <t>4120.0</t>
  </si>
  <si>
    <t>7988.0</t>
  </si>
  <si>
    <t>8004.0</t>
  </si>
  <si>
    <t>8036.0</t>
  </si>
  <si>
    <t>8038.0</t>
  </si>
  <si>
    <t>8042.0</t>
  </si>
  <si>
    <t>8044.0</t>
  </si>
  <si>
    <t>8048.0</t>
  </si>
  <si>
    <t>8049.0</t>
  </si>
  <si>
    <t>8055.0</t>
  </si>
  <si>
    <t>8056.0</t>
  </si>
  <si>
    <t>https://www.tiktok.com/@mr_de2/video/7459916747353771270?_t=ZS-8t4nv2pyQaY&amp;_r=1</t>
  </si>
  <si>
    <t>22.0</t>
  </si>
  <si>
    <t>https://youtu.be/FMMA8SEmp0g</t>
  </si>
  <si>
    <t>5.0</t>
  </si>
  <si>
    <t>https://www.instagram.com/reel/DExCCq_o7NU/?igsh=c2ppZHY4cmloN3g5</t>
  </si>
  <si>
    <t>230.00</t>
  </si>
  <si>
    <t>230.0</t>
  </si>
  <si>
    <t>271.0</t>
  </si>
  <si>
    <t>277.0</t>
  </si>
  <si>
    <t>294.0</t>
  </si>
  <si>
    <t>305.0</t>
  </si>
  <si>
    <t>307.0</t>
  </si>
  <si>
    <t>310.0</t>
  </si>
  <si>
    <t>NamikaeTech $230 TT</t>
  </si>
  <si>
    <t>https://vt.tiktok.com/ZSMdfFXXB/</t>
  </si>
  <si>
    <t>https://x.com/codedailyML/status/1876552233120317490</t>
  </si>
  <si>
    <t>217.0</t>
  </si>
  <si>
    <t xml:space="preserve">https://www.instagram.com/reel/DEp8uIforBN/?igsh=MTB3cWdlcW83NmdkNg== </t>
  </si>
  <si>
    <t>29.0</t>
  </si>
  <si>
    <t>30.0</t>
  </si>
  <si>
    <t>https://vm.tiktok.com/ZNeKyAC44/</t>
  </si>
  <si>
    <t>2789.0</t>
  </si>
  <si>
    <t>3526.0</t>
  </si>
  <si>
    <t>3587.0</t>
  </si>
  <si>
    <t>3639.0</t>
  </si>
  <si>
    <t>3669.0</t>
  </si>
  <si>
    <t>3788.0</t>
  </si>
  <si>
    <t>3822.0</t>
  </si>
  <si>
    <t>3850.0</t>
  </si>
  <si>
    <t>3873.0</t>
  </si>
  <si>
    <t>3892.0</t>
  </si>
  <si>
    <t>3931.0</t>
  </si>
  <si>
    <t>3958.0</t>
  </si>
  <si>
    <t>4133.0</t>
  </si>
  <si>
    <t>4149.0</t>
  </si>
  <si>
    <t>https://youtube.com/shorts/QNCkKcslojE?feature=share</t>
  </si>
  <si>
    <t>https://www.instagram.com/reel/DEkkjmoKQyy/?igsh=MWw3cTAxbnF2ZWpibw==</t>
  </si>
  <si>
    <t>900.00</t>
  </si>
  <si>
    <t>336.0</t>
  </si>
  <si>
    <t>357.0</t>
  </si>
  <si>
    <t>363.0</t>
  </si>
  <si>
    <t>369.0</t>
  </si>
  <si>
    <t>379.0</t>
  </si>
  <si>
    <t>405.0</t>
  </si>
  <si>
    <t>416.0</t>
  </si>
  <si>
    <t>420.0</t>
  </si>
  <si>
    <t>425.0</t>
  </si>
  <si>
    <t>432.0</t>
  </si>
  <si>
    <t>446.0</t>
  </si>
  <si>
    <t>471.0</t>
  </si>
  <si>
    <t>474.0</t>
  </si>
  <si>
    <t>https://vm.tiktok.com/ZNeKMKCvg/</t>
  </si>
  <si>
    <t>130.0</t>
  </si>
  <si>
    <t>134.0</t>
  </si>
  <si>
    <t>138.0</t>
  </si>
  <si>
    <t>152.0</t>
  </si>
  <si>
    <t>157.0</t>
  </si>
  <si>
    <t>192.0</t>
  </si>
  <si>
    <t>193.0</t>
  </si>
  <si>
    <t>https://vm.tiktok.com/ZNeKpTeWS/</t>
  </si>
  <si>
    <t>17%</t>
  </si>
  <si>
    <t>98.0</t>
  </si>
  <si>
    <t>110.0</t>
  </si>
  <si>
    <t>https://www.tiktok.com/@omarcidfilm/video/7462209005075647749?_r=1&amp;_t=ZM-8tF03bdybRt</t>
  </si>
  <si>
    <t>42.0</t>
  </si>
  <si>
    <t>https://www.tiktok.com/@orzatech/video/7457198360777297157</t>
  </si>
  <si>
    <t>495.0</t>
  </si>
  <si>
    <t>518.0</t>
  </si>
  <si>
    <t>533.0</t>
  </si>
  <si>
    <t>554.0</t>
  </si>
  <si>
    <t>586.0</t>
  </si>
  <si>
    <t>661.0</t>
  </si>
  <si>
    <t>685.0</t>
  </si>
  <si>
    <t>706.0</t>
  </si>
  <si>
    <t>722.0</t>
  </si>
  <si>
    <t>732.0</t>
  </si>
  <si>
    <t>736.0</t>
  </si>
  <si>
    <t>739.0</t>
  </si>
  <si>
    <t>https://vm.tiktok.com/ZMkH8b6rc/</t>
  </si>
  <si>
    <t>https://vm.tiktok.com/ZGdB4Fj6w/</t>
  </si>
  <si>
    <t>890.00</t>
  </si>
  <si>
    <t>326.0</t>
  </si>
  <si>
    <t>374.0</t>
  </si>
  <si>
    <t>380.0</t>
  </si>
  <si>
    <t>387.0</t>
  </si>
  <si>
    <t>441.0</t>
  </si>
  <si>
    <t>455.0</t>
  </si>
  <si>
    <t>524.0</t>
  </si>
  <si>
    <t>530.0</t>
  </si>
  <si>
    <t>https://www.instagram.com/reel/DEiGYp8NoXk/?igsh=MTBtaW9kZXR6ODFnYg==</t>
  </si>
  <si>
    <t>268.0</t>
  </si>
  <si>
    <t>272.0</t>
  </si>
  <si>
    <t>273.0</t>
  </si>
  <si>
    <t>279.0</t>
  </si>
  <si>
    <t>https://youtube.com/shorts/7pPSrvE4JP0?si=N0JZjH_8mbsu9GS3</t>
  </si>
  <si>
    <t>247.0</t>
  </si>
  <si>
    <t>288.0</t>
  </si>
  <si>
    <t>396.0</t>
  </si>
  <si>
    <t>422.0</t>
  </si>
  <si>
    <t>Tiktok,Instagram,Facebook,Youtube</t>
  </si>
  <si>
    <t>https://www.tiktok.com/@pagutiles/video/7463208506997361942?_r=1&amp;u_code=e1kdcfgc48iebd&amp;preview_pb=0&amp;sharer_language=en&amp;_d=ef3lclcahh2e2c&amp;share_item_id=7463208506997361942&amp;source=h5_m&amp;timestamp=1737743487&amp;utm_source=copy&amp;tt_from=copy&amp;enable_checksum=1&amp;utm_medium=ios&amp;share_link_id=BA952BFD-9F05-42C3-AFB0-C34C90FF25FC&amp;user_id=7098041276125185029&amp;sec_user_id=MS4wLjABAAAAnIyB81a1nmzHEXk0Is8s81YO5-1IWKKgrPV-oQjx1kxyJ89x4dt1r4vlEV70Cphg&amp;social_share_type=0&amp;ug_btm=b8727,b2878&amp;utm_campaign=client_share&amp;link_reflow_popup_iteration_sharer=%7B%22follow_to_play_duration%22:-1,%22click_empty_to_play%22:1,%22dynamic_cover%22:1,%22profile_clickable%22:1%7D&amp;share_app_id=1233
https://www.instagram.com/reel/DFLlg_vxwct/?igsh=eHZwdnhxbWw5N25i
https://www.facebook.com/share/r/1BaHvAGZkH/?mibextid=wwXIfr
https://youtube.com/shorts/P0l8po2Dua8?si=NF229ILVwy-byVS6</t>
  </si>
  <si>
    <t>395.00</t>
  </si>
  <si>
    <t>Posted,Posted,Posted,Posted</t>
  </si>
  <si>
    <t>Tiktok Video,Instagram Reel,Facebook Video,Youtube Shorts</t>
  </si>
  <si>
    <t>T2 - Italy,T2 - Italy,T2 - Italy,T2 - Italy</t>
  </si>
  <si>
    <t>https://vt.tiktok.com/ZS6Xvt8UB/</t>
  </si>
  <si>
    <t>25288.0</t>
  </si>
  <si>
    <t>76222.0</t>
  </si>
  <si>
    <t>78674.0</t>
  </si>
  <si>
    <t>80611.0</t>
  </si>
  <si>
    <t>82231.0</t>
  </si>
  <si>
    <t>83859.0</t>
  </si>
  <si>
    <t>86390.0</t>
  </si>
  <si>
    <t>87345.0</t>
  </si>
  <si>
    <t>100863.0</t>
  </si>
  <si>
    <t>101702.0</t>
  </si>
  <si>
    <t>102874.0</t>
  </si>
  <si>
    <t>103402.0</t>
  </si>
  <si>
    <t>https://x.com/Parul_Gautam7/status/1876545057068896762</t>
  </si>
  <si>
    <t>300.0</t>
  </si>
  <si>
    <t>311.0</t>
  </si>
  <si>
    <t>https://www.instagram.com/reel/DE2XdZCuIsO/?igsh=OXMybnYyNWgwM2xz
https://www.tiktok.com/@penlar/video/7460142641448111406</t>
  </si>
  <si>
    <t>680.00,120.00</t>
  </si>
  <si>
    <t>https://www.tiktok.com/@ilmastro85/video/7463147957739670806
https://www.instagram.com/reel/DFLMLZkMiq9/</t>
  </si>
  <si>
    <t>185.00,15.00</t>
  </si>
  <si>
    <t>https://www.instagram.com/reel/DEp0fyRpW3v/?igsh=OXAyYWlnaHc1MWFz</t>
  </si>
  <si>
    <t>7.0</t>
  </si>
  <si>
    <t>8.0</t>
  </si>
  <si>
    <t>https://youtube.com/shorts/S7lyFb3rZMk?feature=share</t>
  </si>
  <si>
    <t>28.0</t>
  </si>
  <si>
    <t>https://vm.tiktok.com/ZMkPWHpCf/</t>
  </si>
  <si>
    <t>https://www.tiktok.com/@plzzma/video/7459648982919154952?_r=1&amp;_t=ZS-8t3Hez2rjnU</t>
  </si>
  <si>
    <t>90.00</t>
  </si>
  <si>
    <t>89.0</t>
  </si>
  <si>
    <t>206.00</t>
  </si>
  <si>
    <t>177.0</t>
  </si>
  <si>
    <t>https://www.tiktok.com/@prada5x/video/7458324949300776198</t>
  </si>
  <si>
    <t>https://www.instagram.com/p/DEhFVeNNWWw/?img_index=3</t>
  </si>
  <si>
    <t>110.00</t>
  </si>
  <si>
    <t>930.0</t>
  </si>
  <si>
    <t>940.0</t>
  </si>
  <si>
    <t>941.0</t>
  </si>
  <si>
    <t>942.0</t>
  </si>
  <si>
    <t>945.0</t>
  </si>
  <si>
    <t>951.0</t>
  </si>
  <si>
    <t>https://www.tiktok.com/@reniuxd/video/7460348548731702534?is_from_webapp=1&amp;web_id=7058821991600506373</t>
  </si>
  <si>
    <t>644.0</t>
  </si>
  <si>
    <t>1083.0</t>
  </si>
  <si>
    <t>1125.0</t>
  </si>
  <si>
    <t>1138.0</t>
  </si>
  <si>
    <t>1167.0</t>
  </si>
  <si>
    <t>1182.0</t>
  </si>
  <si>
    <t>1387.0</t>
  </si>
  <si>
    <t>1395.0</t>
  </si>
  <si>
    <t>1412.0</t>
  </si>
  <si>
    <t>1414.0</t>
  </si>
  <si>
    <t>https://www.instagram.com/p/DFK31KRi9RK/?igsh=MWFnaHRibXJmNjJkcg==</t>
  </si>
  <si>
    <t>290.0</t>
  </si>
  <si>
    <t>302.0</t>
  </si>
  <si>
    <t>322.0</t>
  </si>
  <si>
    <t>https://www.tiktok.com/@ramseschet/video/7460721813128006917?_t=ZM-8t8FAV33NYs&amp;_r=1</t>
  </si>
  <si>
    <t>https://www.instagram.com/p/DExKcc9NEYZ/?igsh=ZW8wdnNqcWVidXl2</t>
  </si>
  <si>
    <t>572.0</t>
  </si>
  <si>
    <t>653.0</t>
  </si>
  <si>
    <t>659.0</t>
  </si>
  <si>
    <t>662.0</t>
  </si>
  <si>
    <t>674.0</t>
  </si>
  <si>
    <t>687.0</t>
  </si>
  <si>
    <t>688.0</t>
  </si>
  <si>
    <t>Rene$650 TT TW</t>
  </si>
  <si>
    <t>https://x.com/AiContentRebel/status/1876609758314254577</t>
  </si>
  <si>
    <t>Twitter Thread,Facebook post,Linkedin Post</t>
  </si>
  <si>
    <t>270.0</t>
  </si>
  <si>
    <t>269.0</t>
  </si>
  <si>
    <t>https://vm.tiktok.com/ZNeEDapMW/</t>
  </si>
  <si>
    <t>7.80</t>
  </si>
  <si>
    <t>https://vt.tiktok.com/ZS6xh7Sfe/</t>
  </si>
  <si>
    <t>2930.0</t>
  </si>
  <si>
    <t>3379.0</t>
  </si>
  <si>
    <t>3640.0</t>
  </si>
  <si>
    <t>4354.0</t>
  </si>
  <si>
    <t>4527.0</t>
  </si>
  <si>
    <t>4624.0</t>
  </si>
  <si>
    <t>4694.0</t>
  </si>
  <si>
    <t>4808.0</t>
  </si>
  <si>
    <t>5041.0</t>
  </si>
  <si>
    <t>5155.0</t>
  </si>
  <si>
    <t>7425.0</t>
  </si>
  <si>
    <t>7490.0</t>
  </si>
  <si>
    <t>https://x.com/heyrobinai/status/1876565625788932210</t>
  </si>
  <si>
    <t>299.00</t>
  </si>
  <si>
    <t>830.0</t>
  </si>
  <si>
    <t>1037.0</t>
  </si>
  <si>
    <t>1080.0</t>
  </si>
  <si>
    <t>1084.0</t>
  </si>
  <si>
    <t>1079.0</t>
  </si>
  <si>
    <t>1078.0</t>
  </si>
  <si>
    <t>1077.0</t>
  </si>
  <si>
    <t>1072.0</t>
  </si>
  <si>
    <t>1071.0</t>
  </si>
  <si>
    <t>https://vm.tiktok.com/ZMkfR33FW/</t>
  </si>
  <si>
    <t>399.00</t>
  </si>
  <si>
    <t>19%</t>
  </si>
  <si>
    <t>7089.0</t>
  </si>
  <si>
    <t>7091.0</t>
  </si>
  <si>
    <t>7096.0</t>
  </si>
  <si>
    <t>7098.0</t>
  </si>
  <si>
    <t>7099.0</t>
  </si>
  <si>
    <t>7110.0</t>
  </si>
  <si>
    <t>7111.0</t>
  </si>
  <si>
    <t>Romalohace</t>
  </si>
  <si>
    <t>https://www.tiktok.com/@ruben_poveda_/video/7457157393202318625</t>
  </si>
  <si>
    <t>170.0</t>
  </si>
  <si>
    <t>https://www.instagram.com/reel/DFcu75aJuL3/</t>
  </si>
  <si>
    <t>https://www.instagram.com/reel/DE26e9fRUwq/?igsh=dHUzMjlheWFrdzln</t>
  </si>
  <si>
    <t>285.0</t>
  </si>
  <si>
    <t>313.0</t>
  </si>
  <si>
    <t>316.0</t>
  </si>
  <si>
    <t>329.0</t>
  </si>
  <si>
    <t>330.0</t>
  </si>
  <si>
    <t>https://vm.tiktok.com/ZGdBXejpE/</t>
  </si>
  <si>
    <t>1012.0</t>
  </si>
  <si>
    <t>1014.0</t>
  </si>
  <si>
    <t>1015.0</t>
  </si>
  <si>
    <t>1018.0</t>
  </si>
  <si>
    <t>1025.0</t>
  </si>
  <si>
    <t>1028.0</t>
  </si>
  <si>
    <t>1030.0</t>
  </si>
  <si>
    <t>1031.0</t>
  </si>
  <si>
    <t>1034.0</t>
  </si>
  <si>
    <t>1055.0</t>
  </si>
  <si>
    <t>1056.0</t>
  </si>
  <si>
    <t>https://www.tiktok.com/@santitechoficial/video/7462009823375166726</t>
  </si>
  <si>
    <t>https://www.tiktok.com/@setups_ai/video/7457538228036422943</t>
  </si>
  <si>
    <t>5482.0</t>
  </si>
  <si>
    <t>5847.0</t>
  </si>
  <si>
    <t>6077.0</t>
  </si>
  <si>
    <t>6262.0</t>
  </si>
  <si>
    <t>6489.0</t>
  </si>
  <si>
    <t>6973.0</t>
  </si>
  <si>
    <t>7150.0</t>
  </si>
  <si>
    <t>7370.0</t>
  </si>
  <si>
    <t>7516.0</t>
  </si>
  <si>
    <t>7655.0</t>
  </si>
  <si>
    <t>7876.0</t>
  </si>
  <si>
    <t>7995.0</t>
  </si>
  <si>
    <t>9334.0</t>
  </si>
  <si>
    <t>9455.0</t>
  </si>
  <si>
    <t>https://www.tiktok.com/@sheffield.g/video/7463193065180761377</t>
  </si>
  <si>
    <t>475.0</t>
  </si>
  <si>
    <t>493.0</t>
  </si>
  <si>
    <t>648.0</t>
  </si>
  <si>
    <t>655.0</t>
  </si>
  <si>
    <t>667.0</t>
  </si>
  <si>
    <t>https://www.instagram.com/p/DE508hjRWd_/</t>
  </si>
  <si>
    <t>412.0</t>
  </si>
  <si>
    <t>750.0</t>
  </si>
  <si>
    <t>791.0</t>
  </si>
  <si>
    <t>820.0</t>
  </si>
  <si>
    <t>836.0</t>
  </si>
  <si>
    <t>863.0</t>
  </si>
  <si>
    <t>893.0</t>
  </si>
  <si>
    <t>901.0</t>
  </si>
  <si>
    <t>969.0</t>
  </si>
  <si>
    <t>976.0</t>
  </si>
  <si>
    <t>978.0</t>
  </si>
  <si>
    <t>980.0</t>
  </si>
  <si>
    <t>https://www.tiktok.com/@skawatv/video/7459773841905061142</t>
  </si>
  <si>
    <t>2683.0</t>
  </si>
  <si>
    <t>2952.0</t>
  </si>
  <si>
    <t>2985.0</t>
  </si>
  <si>
    <t>3036.0</t>
  </si>
  <si>
    <t>3067.0</t>
  </si>
  <si>
    <t>3095.0</t>
  </si>
  <si>
    <t>3118.0</t>
  </si>
  <si>
    <t>3143.0</t>
  </si>
  <si>
    <t>3197.0</t>
  </si>
  <si>
    <t>3214.0</t>
  </si>
  <si>
    <t>3553.0</t>
  </si>
  <si>
    <t>3572.0</t>
  </si>
  <si>
    <t>3599.0</t>
  </si>
  <si>
    <t>https://www.tiktok.com/@sonnictech/video/7458742693624139014</t>
  </si>
  <si>
    <t>681.0</t>
  </si>
  <si>
    <t>686.0</t>
  </si>
  <si>
    <t>695.0</t>
  </si>
  <si>
    <t>707.0</t>
  </si>
  <si>
    <t>717.0</t>
  </si>
  <si>
    <t>727.0</t>
  </si>
  <si>
    <t>728.0</t>
  </si>
  <si>
    <t>737.0</t>
  </si>
  <si>
    <t>https://www.instagram.com/reel/DEsMxEqoe_r/?igsh=MXhlN3NjMzJ5YTBnOA==</t>
  </si>
  <si>
    <t>385.00</t>
  </si>
  <si>
    <t>624.0</t>
  </si>
  <si>
    <t>694.0</t>
  </si>
  <si>
    <t>772.0</t>
  </si>
  <si>
    <t>702.0</t>
  </si>
  <si>
    <t>865.0</t>
  </si>
  <si>
    <t>946.0</t>
  </si>
  <si>
    <t>970.0</t>
  </si>
  <si>
    <t>1000.0</t>
  </si>
  <si>
    <t>1002.0</t>
  </si>
  <si>
    <t>https://www.tiktok.com/@s.studybee/video/7458690469023763743?_r=1&amp;_t=ZP-8sytJhu9m5G</t>
  </si>
  <si>
    <t>15.00</t>
  </si>
  <si>
    <t>120.0</t>
  </si>
  <si>
    <t>128.0</t>
  </si>
  <si>
    <t>129.0</t>
  </si>
  <si>
    <t>https://vm.tiktok.com/ZMkmrYXvT/</t>
  </si>
  <si>
    <t>258.0</t>
  </si>
  <si>
    <t>716.0</t>
  </si>
  <si>
    <t>https://x.com/SucceededMind/status/1876600931623854360</t>
  </si>
  <si>
    <t>170.00</t>
  </si>
  <si>
    <t>390.0</t>
  </si>
  <si>
    <t>465.0</t>
  </si>
  <si>
    <t>464.0</t>
  </si>
  <si>
    <t>462.0</t>
  </si>
  <si>
    <t>461.0</t>
  </si>
  <si>
    <t>458.0</t>
  </si>
  <si>
    <t>457.0</t>
  </si>
  <si>
    <t>https://www.tiktok.com/@techtrickzz/video/7460112645157293320</t>
  </si>
  <si>
    <t>332.0</t>
  </si>
  <si>
    <t>348.0</t>
  </si>
  <si>
    <t>376.0</t>
  </si>
  <si>
    <t>429.0</t>
  </si>
  <si>
    <t>515.0</t>
  </si>
  <si>
    <t>517.0</t>
  </si>
  <si>
    <t>523.0</t>
  </si>
  <si>
    <t>https://www.instagram.com/p/DFLWnnDzMbp/</t>
  </si>
  <si>
    <t>https://www.tiktok.com/@tech_updt/video/7459663542363360520</t>
  </si>
  <si>
    <t>140.00</t>
  </si>
  <si>
    <t>40.0</t>
  </si>
  <si>
    <t>61.0</t>
  </si>
  <si>
    <t>https://vm.tiktok.com/ZNeESFfwN/</t>
  </si>
  <si>
    <t>https://vm.tiktok.com/ZNeK67DRY/</t>
  </si>
  <si>
    <t>1009.0</t>
  </si>
  <si>
    <t>1026.0</t>
  </si>
  <si>
    <t>1032.0</t>
  </si>
  <si>
    <t>1058.0</t>
  </si>
  <si>
    <t>1086.0</t>
  </si>
  <si>
    <t>1119.0</t>
  </si>
  <si>
    <t>1136.0</t>
  </si>
  <si>
    <t>1164.0</t>
  </si>
  <si>
    <t>1195.0</t>
  </si>
  <si>
    <t>1226.0</t>
  </si>
  <si>
    <t>1307.0</t>
  </si>
  <si>
    <t>1315.0</t>
  </si>
  <si>
    <t>https://www.instagram.com/reel/DEj7QAGqh8H/?igsh=czB4OHdmNDBwMzJi</t>
  </si>
  <si>
    <t>632.0</t>
  </si>
  <si>
    <t>671.0</t>
  </si>
  <si>
    <t>678.0</t>
  </si>
  <si>
    <t>684.0</t>
  </si>
  <si>
    <t>712.0</t>
  </si>
  <si>
    <t>719.0</t>
  </si>
  <si>
    <t>733.0</t>
  </si>
  <si>
    <t>751.0</t>
  </si>
  <si>
    <t>755.0</t>
  </si>
  <si>
    <t>762.0</t>
  </si>
  <si>
    <t>780.0</t>
  </si>
  <si>
    <t>784.0</t>
  </si>
  <si>
    <t>https://vm.tiktok.com/ZNeoK7mHn/</t>
  </si>
  <si>
    <t>https://x.com/TheAIColony/status/1876928183540318463</t>
  </si>
  <si>
    <t>499.00</t>
  </si>
  <si>
    <t>The_raptors</t>
  </si>
  <si>
    <t>https://www.instagram.com/p/DE5D8_mN0P4/?img_index=1</t>
  </si>
  <si>
    <t>63.30</t>
  </si>
  <si>
    <t>485.0</t>
  </si>
  <si>
    <t>https://www.instagram.com/reel/DFiFEuwJg9R/?hl=es</t>
  </si>
  <si>
    <t>3000.00</t>
  </si>
  <si>
    <t>906.0</t>
  </si>
  <si>
    <t>912.0</t>
  </si>
  <si>
    <t>923.0</t>
  </si>
  <si>
    <t>926.0</t>
  </si>
  <si>
    <t xml:space="preserve"> Val</t>
  </si>
  <si>
    <t>https://www.instagram.com/p/DFO6WKkiClW/</t>
  </si>
  <si>
    <t>643.0</t>
  </si>
  <si>
    <t>753.0</t>
  </si>
  <si>
    <t>917.0</t>
  </si>
  <si>
    <t>936.0</t>
  </si>
  <si>
    <t>https://www.tiktok.com/@vanyblue_/video/7462446862612614405
https://www.instagram.com/p/DFEAUhPKYlb/</t>
  </si>
  <si>
    <t>T1 - Spain,T1 - Spain</t>
  </si>
  <si>
    <t>Victor DLX</t>
  </si>
  <si>
    <t>https://vt.tiktok.com/ZS65pqdCW/</t>
  </si>
  <si>
    <t>140.0</t>
  </si>
  <si>
    <t>143.0</t>
  </si>
  <si>
    <t>146.0</t>
  </si>
  <si>
    <t>https://www.instagram.com/p/DE7QobGR2tF/?igsh=MWt0dXZwenB2cW9zZQ==</t>
  </si>
  <si>
    <t>2666.00</t>
  </si>
  <si>
    <t>81531.0</t>
  </si>
  <si>
    <t>82276.0</t>
  </si>
  <si>
    <t>82927.0</t>
  </si>
  <si>
    <t>83349.0</t>
  </si>
  <si>
    <t>83573.0</t>
  </si>
  <si>
    <t>83978.0</t>
  </si>
  <si>
    <t>84179.0</t>
  </si>
  <si>
    <t>84281.0</t>
  </si>
  <si>
    <t>https://www.instagram.com/p/DEj45EtTpFe/?img_index=1</t>
  </si>
  <si>
    <t>1386.0</t>
  </si>
  <si>
    <t>1437.0</t>
  </si>
  <si>
    <t>1471.0</t>
  </si>
  <si>
    <t>1494.0</t>
  </si>
  <si>
    <t>1523.0</t>
  </si>
  <si>
    <t>1575.0</t>
  </si>
  <si>
    <t>1589.0</t>
  </si>
  <si>
    <t>1610.0</t>
  </si>
  <si>
    <t>1619.0</t>
  </si>
  <si>
    <t>1630.0</t>
  </si>
  <si>
    <t>1658.0</t>
  </si>
  <si>
    <t>1668.0</t>
  </si>
  <si>
    <t>1968.0</t>
  </si>
  <si>
    <t>https://www.tiktok.com/@minute/video/7457582663252118815</t>
  </si>
  <si>
    <t>550.00</t>
  </si>
  <si>
    <t>392.0</t>
  </si>
  <si>
    <t>428.0</t>
  </si>
  <si>
    <t>470.0</t>
  </si>
  <si>
    <t>473.0</t>
  </si>
  <si>
    <t>494.0</t>
  </si>
  <si>
    <t>557.0</t>
  </si>
  <si>
    <t>559.0</t>
  </si>
  <si>
    <t>561.0</t>
  </si>
  <si>
    <t>562.0</t>
  </si>
  <si>
    <t>Instagram,Tiktok,Facebook,Snapchat</t>
  </si>
  <si>
    <t>https://www.instagram.com/p/DE5vdi9o3jU/</t>
  </si>
  <si>
    <t>500.00,400.00</t>
  </si>
  <si>
    <t>Instagram Reel,Tiktok Video,Facebook Video,Snapchat Spotlight</t>
  </si>
  <si>
    <t>T1 - United States,T1 - United States,T1 - United States,T1 - United States</t>
  </si>
  <si>
    <t>https://www.tiktok.com/@xerviatv/video/7459108024041409797?is_from_webapp=1&amp;web_id=7446609952652690990</t>
  </si>
  <si>
    <t>2325.0</t>
  </si>
  <si>
    <t>3232.0</t>
  </si>
  <si>
    <t>3233.0</t>
  </si>
  <si>
    <t>3235.0</t>
  </si>
  <si>
    <t>3237.0</t>
  </si>
  <si>
    <t>3238.0</t>
  </si>
  <si>
    <t>3239.0</t>
  </si>
  <si>
    <t>3242.0</t>
  </si>
  <si>
    <t>Tiktok,Instagram,Youtube</t>
  </si>
  <si>
    <t>取消合作,取消合作,取消合作</t>
  </si>
  <si>
    <t>Tiktok Video,Tiktok Video,Tiktok Video</t>
  </si>
  <si>
    <t>Youtube,Instagram,Tiktok</t>
  </si>
  <si>
    <t>Building a website has never been this easy! Use AI to create a stunning site in minutes. 💻✨ #ai
https://www.instagram.com/p/DFLGmkYxWD1/?hl=en
https://www.tiktok.com/@yomajameskukor/video/7463134702094896417</t>
  </si>
  <si>
    <t>Youtube Shorts,Instagram Reel,Tiktok Video</t>
  </si>
  <si>
    <t>T1 - United Kingdom,T1 - United Kingdom,T1 - United Kingdom</t>
  </si>
  <si>
    <t>https://www.instagram.com/p/DEuir1dOowl/?img_index=1</t>
  </si>
  <si>
    <t>852.0</t>
  </si>
  <si>
    <t>1035.0</t>
  </si>
  <si>
    <t>1054.0</t>
  </si>
  <si>
    <t>1099.0</t>
  </si>
  <si>
    <t>1158.0</t>
  </si>
  <si>
    <t>1173.0</t>
  </si>
  <si>
    <t>1187.0</t>
  </si>
  <si>
    <t>1202.0</t>
  </si>
  <si>
    <t>1211.0</t>
  </si>
  <si>
    <t>1221.0</t>
  </si>
  <si>
    <t>1242.0</t>
  </si>
  <si>
    <t>1243.0</t>
  </si>
  <si>
    <t>https://www.instagram.com/p/DEkahU7N7-c/</t>
  </si>
  <si>
    <t>https://www.instagram.com/p/DE7PYE8RmPb/?img_index=1</t>
  </si>
  <si>
    <t>933.0</t>
  </si>
  <si>
    <t>953.0</t>
  </si>
  <si>
    <t>981.0</t>
  </si>
  <si>
    <t>https://www.instagram.com/reel/DEhji-2T2Bk/?igsh=MXU1eWR6YWdzYjJ5aQ==</t>
  </si>
  <si>
    <t>328.0</t>
  </si>
  <si>
    <t>342.0</t>
  </si>
  <si>
    <t>343.0</t>
  </si>
  <si>
    <t>349.0</t>
  </si>
  <si>
    <t>https://www.instagram.com/reel/DEhdkXByZK5/</t>
  </si>
  <si>
    <t>25.00</t>
  </si>
  <si>
    <t>https://www.tiktok.com/@cozywith_m/video/7457116206827621640</t>
  </si>
  <si>
    <t>https://www.instagram.com/p/DEpQSVNSBUw/?igsh=ZG95cDN3ejJlM2c2</t>
  </si>
  <si>
    <t>https://vt.tiktok.com/ZS6u4Txke/</t>
  </si>
  <si>
    <t>https://www.tiktok.com/@cpstest_/video/7460883069554216214</t>
  </si>
  <si>
    <t>104.0</t>
  </si>
  <si>
    <t>112.0</t>
  </si>
  <si>
    <t>https://www.instagram.com/reel/DFvZ9IJJMB7/?igsh=MTBuMHkyNHNzNGdsOA%3D%3D</t>
  </si>
  <si>
    <t>https://www.instagram.com/p/DEkZ8b0tx3B/</t>
  </si>
  <si>
    <t>https://www.tiktok.com/@elpakkun/video/7457701104311078149?_r=1&amp;_t=ZS-8suLlSR72eX</t>
  </si>
  <si>
    <t>1096.0</t>
  </si>
  <si>
    <t>1102.0</t>
  </si>
  <si>
    <t>1104.0</t>
  </si>
  <si>
    <t>1105.0</t>
  </si>
  <si>
    <t>1107.0</t>
  </si>
  <si>
    <t>1108.0</t>
  </si>
  <si>
    <t>https://www.instagram.com/p/DEufebOp0AU/?igsh=MWY3eGwxZGd6ZnY2dw==</t>
  </si>
  <si>
    <t>15561.0</t>
  </si>
  <si>
    <t>16106.0</t>
  </si>
  <si>
    <t>16271.0</t>
  </si>
  <si>
    <t>16340.0</t>
  </si>
  <si>
    <t>16387.0</t>
  </si>
  <si>
    <t>16445.0</t>
  </si>
  <si>
    <t>16459.0</t>
  </si>
  <si>
    <t>16475.0</t>
  </si>
  <si>
    <t>16043.0</t>
  </si>
  <si>
    <t>16506.0</t>
  </si>
  <si>
    <t>16529.0</t>
  </si>
  <si>
    <t>16533.0</t>
  </si>
  <si>
    <t>16560.0</t>
  </si>
  <si>
    <t>16562.0</t>
  </si>
  <si>
    <t>4762.0</t>
  </si>
  <si>
    <t>https://vm.tiktok.com/ZGdAt7vto/</t>
  </si>
  <si>
    <t>220.00</t>
  </si>
  <si>
    <t>4698.0</t>
  </si>
  <si>
    <t>5708.0</t>
  </si>
  <si>
    <t>7249.0</t>
  </si>
  <si>
    <t>7315.0</t>
  </si>
  <si>
    <t>7419.0</t>
  </si>
  <si>
    <t>7492.0</t>
  </si>
  <si>
    <t>https://vm.tiktok.com/ZNeKwTnVC/</t>
  </si>
  <si>
    <t>https://www.instagram.com/reel/DE7pZvPo6Ci/?igsh=MTI4aWc2ZW5mc3J5ag==</t>
  </si>
  <si>
    <t>1.0</t>
  </si>
  <si>
    <t>https://www.instagram.com/reel/DE4tbavN7DT/</t>
  </si>
  <si>
    <t>295.0</t>
  </si>
  <si>
    <t>314.0</t>
  </si>
  <si>
    <t>315.0</t>
  </si>
  <si>
    <t>https://www.instagram.com/reel/DExebtVI_RN/?igsh=MTlieG1jaTJndWVpNQ==</t>
  </si>
  <si>
    <t>1239.0</t>
  </si>
  <si>
    <t>2217.0</t>
  </si>
  <si>
    <t>2365.0</t>
  </si>
  <si>
    <t>2637.0</t>
  </si>
  <si>
    <t>2698.0</t>
  </si>
  <si>
    <t>2731.0</t>
  </si>
  <si>
    <t>2765.0</t>
  </si>
  <si>
    <t>2792.0</t>
  </si>
  <si>
    <t>2834.0</t>
  </si>
  <si>
    <t>2871.0</t>
  </si>
  <si>
    <t>3043.0</t>
  </si>
  <si>
    <t>3056.0</t>
  </si>
  <si>
    <t>3068.0</t>
  </si>
  <si>
    <t>3077.0</t>
  </si>
  <si>
    <t>https://www.instagram.com/p/DEnNbylNQQd/</t>
  </si>
  <si>
    <t>https://www.instagram.com/p/DEkaPmqN8OI/</t>
  </si>
  <si>
    <t>https://www.tiktok.com/@tech4u_/video/7457260201675148576</t>
  </si>
  <si>
    <t>80.0</t>
  </si>
  <si>
    <t>85.0</t>
  </si>
  <si>
    <t>86.0</t>
  </si>
  <si>
    <t>https://www.instagram.com/p/DEnNn-st-ce/</t>
  </si>
  <si>
    <t>1003.0</t>
  </si>
  <si>
    <t>2466.0</t>
  </si>
  <si>
    <t>2486.0</t>
  </si>
  <si>
    <t>2534.0</t>
  </si>
  <si>
    <t>2589.0</t>
  </si>
  <si>
    <t>2604.0</t>
  </si>
  <si>
    <t>2618.0</t>
  </si>
  <si>
    <t>2635.0</t>
  </si>
  <si>
    <t>2642.0</t>
  </si>
  <si>
    <t>2652.0</t>
  </si>
  <si>
    <t>2673.0</t>
  </si>
  <si>
    <t>2106.0</t>
  </si>
  <si>
    <t>https://www.tiktok.com/@ubaldo.info/video/7460881768887946518
https://www.instagram.com/p/DE7dn44oBwQ/</t>
  </si>
  <si>
    <t>270.00</t>
  </si>
  <si>
    <t>https://x.com/Ubermenscchh/status/1876568357274841307</t>
  </si>
  <si>
    <t>https://vm.tiktok.com/ZMkgtoskF/</t>
  </si>
  <si>
    <t>https://www.instagram.com/reel/DFdQtnDIUUv/?igsh=MWY2d2N2dmZyYTRvZg%3D%3D
https://www.tiktok.com/@toquederetoque/video/7466914349450284310?_r=1&amp;_t=ZN-8td9mVAJXza</t>
  </si>
  <si>
    <t>200.00,300.00</t>
  </si>
  <si>
    <t xml:space="preserve">工具王 阿璋 </t>
  </si>
  <si>
    <t>https://www.tiktok.com/@alevelhelp.32/video/7462409288221297953?_r=1&amp;_t=8XmrvnrA3gk</t>
  </si>
  <si>
    <t>Facebook,Tiktok,Tiktok,Tiktok,Instagram,Tiktok,Youtube,Instagram,Tiktok,Instagram,Tiktok,Instagram,Youtube,Instagram,Instagram,Instagram,Tiktok,Tiktok</t>
  </si>
  <si>
    <t>https://www.tiktok.com/@topesdegama/video/7466447623633784096?lang=es
https://www.tiktok.com/@geekformante/video/7462067343154351365?_r=1&amp;_t=ZM-8tELyYegf3u
https://vm.tiktok.com/ZNeKC4fqf/
https://www.instagram.com/share/BADQl8hn-d
https://vm.tiktok.com/ZGdSuuCgm/
https://youtube.com/shorts/rhYmX3K9X5Y?si=CGlLIwEkYShoMuXv
https://www.instagram.com/reel/DE2jMZ4treM/?igsh=MWh5aDZuZjJ0NjRwMw==
https://www.tiktok.com/@infinitetech_/video/7460798963143183634
https://www.instagram.com/reel/DE3xdpbNhld/?utm_source=ig_web_copy_link
https://www.tiktok.com/@incroillable/video/7465637034770615584
https://www.instagram.com/p/DFItf9YsKcW/
https://www.youtube.com/shorts/wdjGWeWMzv8
https://www.instagram.com/reel/DFLQgmLNbIy/?igsh=MXZleTVhdGloMmdhaA==
https://www.instagram.com/reel/DFZlkO3Ohvf/?igsh=MXM5MjIxbHcxODVieg==
https://www.instagram.com/reel/DFV-dWUPNQ1/?igsh=MW1vMHowcWIwbHFvMQ%3D%3D
https://vm.tiktok.com/ZMkbCPKgT/
https://vt.tiktok.com/ZSMdfFXXB/</t>
  </si>
  <si>
    <t>400.00,400.00,100.00,0.00,0.00,600.00,600.00</t>
  </si>
  <si>
    <t>Posted,Posted,Posted,Posted,Posted,Posted,Posted,Posted,Posted,Posted,Posted,Posted,Posted,Posted,Posted,Posted,Posted,Posted</t>
  </si>
  <si>
    <t>Tiktok Video,Tiktok Video,Tiktok Video,Instagram Reel,Tiktok Video,Youtube Shorts,Instagram Reel,Tiktok Video,Instagram Reel,Tiktok Video,Instagram Reel,Youtube Shorts,Instagram Reel,Instagram Reel,Instagram Reel,Tiktok Video</t>
  </si>
  <si>
    <t>T1 - Spain,T2 - Mexico,T2 - Italy,T1 - United States,T1 - Australia,T1 - France,T1 - France,T1 - Australia,T2 - Mexico,T1 - Spain,T1 - France,T1 - France,T2 - Germany,T2 - Mexico,T1 - Spain,T1 - Spain</t>
  </si>
  <si>
    <t>日期</t>
  </si>
  <si>
    <t>注册数</t>
  </si>
  <si>
    <t>注册</t>
  </si>
  <si>
    <t>Creator Name</t>
  </si>
  <si>
    <t>文本 2</t>
  </si>
  <si>
    <t>发布日期</t>
  </si>
  <si>
    <t>Hype Link</t>
  </si>
  <si>
    <t>67.778</t>
  </si>
  <si>
    <t>31.875</t>
  </si>
  <si>
    <t>13.975</t>
  </si>
  <si>
    <t>51.841</t>
  </si>
  <si>
    <t>4.675</t>
  </si>
  <si>
    <t>6.850</t>
  </si>
  <si>
    <t>34.812</t>
  </si>
  <si>
    <t>3.225</t>
  </si>
  <si>
    <t>Rene$650TT TW</t>
  </si>
  <si>
    <t>13.900</t>
  </si>
  <si>
    <t>0.888</t>
  </si>
  <si>
    <t>8.113</t>
  </si>
  <si>
    <t>20.737</t>
  </si>
  <si>
    <t>14.963</t>
  </si>
  <si>
    <t>4.600</t>
  </si>
  <si>
    <t>14.000</t>
  </si>
  <si>
    <t>1</t>
  </si>
  <si>
    <t>3.238</t>
  </si>
  <si>
    <t>34.900</t>
  </si>
  <si>
    <t>7.163</t>
  </si>
  <si>
    <t>33.100</t>
  </si>
  <si>
    <t>24.337</t>
  </si>
  <si>
    <t>https://www.facebook.com/reel/1082778110260092</t>
  </si>
  <si>
    <t>Studybee$400 IG</t>
  </si>
  <si>
    <t>3.312</t>
  </si>
  <si>
    <t>1.275</t>
  </si>
  <si>
    <t>6.900</t>
  </si>
  <si>
    <t>7.450</t>
  </si>
  <si>
    <t>https://www.instagram.com/p/DEpre6StZ-Y/?img_index=1</t>
  </si>
  <si>
    <t>Studybee$400 IG TT</t>
  </si>
  <si>
    <t xml:space="preserve">https://www.facebook.com/share/r/1HEmSdmg8L/?mibextid=wwXIfr </t>
  </si>
  <si>
    <t>OXYDOXYTV(Daniel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</si>
</sst>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2" fillId="0" borderId="0" xfId="0" applyFon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67"/>
  <sheetViews>
    <sheetView tabSelected="1" workbookViewId="0">
      <selection activeCell="P1" sqref="P$1:P$1048576"/>
    </sheetView>
  </sheetViews>
  <sheetFormatPr defaultColWidth="9.64285714285714" defaultRowHeight="16.8"/>
  <cols>
    <col min="1" max="1" width="19" customWidth="1"/>
    <col min="2" max="2" width="9.64285714285714" customWidth="1"/>
    <col min="3" max="3" width="19" customWidth="1"/>
    <col min="4" max="4" width="9.64285714285714" customWidth="1"/>
    <col min="5" max="6" width="19" customWidth="1"/>
    <col min="7" max="7" width="9.64285714285714" customWidth="1"/>
    <col min="8" max="9" width="19" customWidth="1"/>
    <col min="10" max="10" width="9.64285714285714" customWidth="1"/>
    <col min="11" max="11" width="19" customWidth="1"/>
    <col min="12" max="12" width="9.64285714285714" hidden="1" customWidth="1"/>
    <col min="13" max="13" width="19" customWidth="1"/>
    <col min="14" max="36" width="9.64285714285714" customWidth="1"/>
    <col min="37" max="38" width="19" customWidth="1"/>
    <col min="39" max="39" width="9.64285714285714" customWidth="1"/>
    <col min="40" max="42" width="19" customWidth="1"/>
    <col min="43" max="43" width="9.64285714285714" hidden="1" customWidth="1"/>
    <col min="44" max="44" width="19" customWidth="1"/>
    <col min="45" max="47" width="9.64285714285714" customWidth="1"/>
    <col min="48" max="50" width="19" customWidth="1"/>
  </cols>
  <sheetData>
    <row r="1" ht="13" customHeigh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25.5" customHeight="1" spans="1:41">
      <c r="A2" t="s">
        <v>50</v>
      </c>
      <c r="C2" t="s">
        <v>51</v>
      </c>
      <c r="E2" s="3"/>
      <c r="F2" s="3"/>
      <c r="G2" t="s">
        <v>52</v>
      </c>
      <c r="H2" t="s">
        <v>53</v>
      </c>
      <c r="L2" t="s">
        <v>54</v>
      </c>
      <c r="P2" t="s">
        <v>55</v>
      </c>
      <c r="R2" t="s">
        <v>54</v>
      </c>
      <c r="T2" t="s">
        <v>55</v>
      </c>
      <c r="X2" t="s">
        <v>55</v>
      </c>
      <c r="Z2" t="s">
        <v>54</v>
      </c>
      <c r="AB2" t="s">
        <v>55</v>
      </c>
      <c r="AD2" t="s">
        <v>55</v>
      </c>
      <c r="AF2" t="s">
        <v>55</v>
      </c>
      <c r="AH2" t="s">
        <v>55</v>
      </c>
      <c r="AJ2" t="s">
        <v>54</v>
      </c>
      <c r="AM2" t="s">
        <v>54</v>
      </c>
      <c r="AN2">
        <v>200</v>
      </c>
      <c r="AO2" t="s">
        <v>54</v>
      </c>
    </row>
    <row r="3" ht="25.5" customHeight="1" spans="1:48">
      <c r="A3" t="s">
        <v>50</v>
      </c>
      <c r="C3" t="s">
        <v>51</v>
      </c>
      <c r="E3" s="3" t="str">
        <f>HYPERLINK("https://app.hypeauditor.com/my-network/influencer/10068212/analytics/tiktok/duncanzz","https://app.hypeauditor.com/my-network/influencer/10068212/analytics/tiktok/duncanzz")</f>
        <v>https://app.hypeauditor.com/my-network/influencer/10068212/analytics/tiktok/duncanzz</v>
      </c>
      <c r="F3" s="3" t="str">
        <f>HYPERLINK("https://www.tiktok.com/@duncanzz","https://www.tiktok.com/@duncanzz")</f>
        <v>https://www.tiktok.com/@duncanzz</v>
      </c>
      <c r="G3" t="s">
        <v>52</v>
      </c>
      <c r="H3" t="s">
        <v>53</v>
      </c>
      <c r="I3" t="s">
        <v>56</v>
      </c>
      <c r="J3" t="s">
        <v>57</v>
      </c>
      <c r="K3" t="s">
        <v>58</v>
      </c>
      <c r="L3" t="s">
        <v>59</v>
      </c>
      <c r="M3">
        <v>166100</v>
      </c>
      <c r="N3" t="s">
        <v>60</v>
      </c>
      <c r="P3" t="s">
        <v>55</v>
      </c>
      <c r="R3" t="s">
        <v>54</v>
      </c>
      <c r="T3" t="s">
        <v>55</v>
      </c>
      <c r="X3" t="s">
        <v>55</v>
      </c>
      <c r="Z3" t="s">
        <v>54</v>
      </c>
      <c r="AB3" t="s">
        <v>55</v>
      </c>
      <c r="AD3" t="s">
        <v>55</v>
      </c>
      <c r="AF3" t="s">
        <v>55</v>
      </c>
      <c r="AH3" t="s">
        <v>55</v>
      </c>
      <c r="AJ3" t="s">
        <v>54</v>
      </c>
      <c r="AK3">
        <v>16100</v>
      </c>
      <c r="AL3">
        <v>0.0591</v>
      </c>
      <c r="AM3" t="s">
        <v>61</v>
      </c>
      <c r="AN3">
        <v>600</v>
      </c>
      <c r="AO3" t="s">
        <v>62</v>
      </c>
      <c r="AP3" t="s">
        <v>63</v>
      </c>
      <c r="AQ3" t="s">
        <v>55</v>
      </c>
      <c r="AR3" t="s">
        <v>64</v>
      </c>
      <c r="AS3" t="s">
        <v>55</v>
      </c>
      <c r="AV3" t="s">
        <v>50</v>
      </c>
    </row>
    <row r="4" ht="25.5" customHeight="1" spans="1:48">
      <c r="A4" t="s">
        <v>50</v>
      </c>
      <c r="C4" t="s">
        <v>51</v>
      </c>
      <c r="E4" s="3" t="str">
        <f>HYPERLINK("https://app.hypeauditor.com/my-network/influencer/10068212/analytics/instagram/duncanzz_tech","https://app.hypeauditor.com/my-network/influencer/10068212/analytics/instagram/duncanzz_tech")</f>
        <v>https://app.hypeauditor.com/my-network/influencer/10068212/analytics/instagram/duncanzz_tech</v>
      </c>
      <c r="F4" s="3" t="str">
        <f>HYPERLINK("https://www.instagram.com/duncanzz_tech/reels/","https://www.instagram.com/duncanzz_tech/reels/")</f>
        <v>https://www.instagram.com/duncanzz_tech/reels/</v>
      </c>
      <c r="G4" t="s">
        <v>52</v>
      </c>
      <c r="H4" t="s">
        <v>53</v>
      </c>
      <c r="I4" t="s">
        <v>65</v>
      </c>
      <c r="J4" t="s">
        <v>66</v>
      </c>
      <c r="K4" t="s">
        <v>58</v>
      </c>
      <c r="L4" t="s">
        <v>59</v>
      </c>
      <c r="M4">
        <v>84500</v>
      </c>
      <c r="N4" t="s">
        <v>55</v>
      </c>
      <c r="P4" t="s">
        <v>55</v>
      </c>
      <c r="R4" t="s">
        <v>54</v>
      </c>
      <c r="T4" t="s">
        <v>55</v>
      </c>
      <c r="X4" t="s">
        <v>55</v>
      </c>
      <c r="Z4" t="s">
        <v>54</v>
      </c>
      <c r="AB4" t="s">
        <v>55</v>
      </c>
      <c r="AD4" t="s">
        <v>55</v>
      </c>
      <c r="AF4" t="s">
        <v>55</v>
      </c>
      <c r="AH4" t="s">
        <v>55</v>
      </c>
      <c r="AJ4" t="s">
        <v>54</v>
      </c>
      <c r="AK4">
        <v>2000</v>
      </c>
      <c r="AL4">
        <v>0.0017</v>
      </c>
      <c r="AM4" t="s">
        <v>67</v>
      </c>
      <c r="AN4">
        <v>400</v>
      </c>
      <c r="AO4" t="s">
        <v>68</v>
      </c>
      <c r="AP4" t="s">
        <v>69</v>
      </c>
      <c r="AQ4" t="s">
        <v>55</v>
      </c>
      <c r="AR4" t="s">
        <v>70</v>
      </c>
      <c r="AS4" t="s">
        <v>55</v>
      </c>
      <c r="AV4" t="s">
        <v>50</v>
      </c>
    </row>
    <row r="5" ht="25.5" customHeight="1" spans="1:50">
      <c r="A5" t="s">
        <v>71</v>
      </c>
      <c r="C5" t="s">
        <v>72</v>
      </c>
      <c r="E5" s="3" t="str">
        <f>HYPERLINK("https://app.hypeauditor.com/my-network/influencer/16121420/analytics/tiktok/willlforbes","https://app.hypeauditor.com/my-network/influencer/16121420/analytics/tiktok/willlforbes")</f>
        <v>https://app.hypeauditor.com/my-network/influencer/16121420/analytics/tiktok/willlforbes</v>
      </c>
      <c r="F5" s="3" t="str">
        <f>HYPERLINK("https://www.tiktok.com/@willlforbes","https://www.tiktok.com/@willlforbes")</f>
        <v>https://www.tiktok.com/@willlforbes</v>
      </c>
      <c r="G5" t="s">
        <v>52</v>
      </c>
      <c r="H5" t="s">
        <v>53</v>
      </c>
      <c r="I5" t="s">
        <v>56</v>
      </c>
      <c r="J5" t="s">
        <v>57</v>
      </c>
      <c r="K5" t="s">
        <v>58</v>
      </c>
      <c r="L5" t="s">
        <v>59</v>
      </c>
      <c r="M5">
        <v>555100</v>
      </c>
      <c r="N5" t="s">
        <v>73</v>
      </c>
      <c r="P5" t="s">
        <v>55</v>
      </c>
      <c r="R5" t="s">
        <v>54</v>
      </c>
      <c r="T5" t="s">
        <v>55</v>
      </c>
      <c r="X5" t="s">
        <v>55</v>
      </c>
      <c r="Z5" t="s">
        <v>54</v>
      </c>
      <c r="AB5" t="s">
        <v>55</v>
      </c>
      <c r="AD5" t="s">
        <v>55</v>
      </c>
      <c r="AF5" t="s">
        <v>55</v>
      </c>
      <c r="AH5" t="s">
        <v>55</v>
      </c>
      <c r="AJ5" t="s">
        <v>54</v>
      </c>
      <c r="AK5">
        <v>147100</v>
      </c>
      <c r="AL5">
        <v>0.0604</v>
      </c>
      <c r="AM5" t="s">
        <v>74</v>
      </c>
      <c r="AN5">
        <v>2500</v>
      </c>
      <c r="AO5" t="s">
        <v>75</v>
      </c>
      <c r="AP5" t="s">
        <v>76</v>
      </c>
      <c r="AQ5" t="s">
        <v>77</v>
      </c>
      <c r="AR5" t="s">
        <v>78</v>
      </c>
      <c r="AS5" t="s">
        <v>55</v>
      </c>
      <c r="AW5" t="s">
        <v>71</v>
      </c>
      <c r="AX5" t="s">
        <v>79</v>
      </c>
    </row>
    <row r="6" ht="25.5" customHeight="1" spans="1:41">
      <c r="A6" t="s">
        <v>80</v>
      </c>
      <c r="E6" s="3"/>
      <c r="F6" s="3"/>
      <c r="G6" t="s">
        <v>52</v>
      </c>
      <c r="H6" t="s">
        <v>53</v>
      </c>
      <c r="I6" t="s">
        <v>65</v>
      </c>
      <c r="J6" t="s">
        <v>66</v>
      </c>
      <c r="K6" t="s">
        <v>58</v>
      </c>
      <c r="L6" t="s">
        <v>59</v>
      </c>
      <c r="P6" t="s">
        <v>55</v>
      </c>
      <c r="R6" t="s">
        <v>54</v>
      </c>
      <c r="T6" t="s">
        <v>55</v>
      </c>
      <c r="X6" t="s">
        <v>55</v>
      </c>
      <c r="Z6" t="s">
        <v>54</v>
      </c>
      <c r="AB6" t="s">
        <v>55</v>
      </c>
      <c r="AD6" t="s">
        <v>55</v>
      </c>
      <c r="AF6" t="s">
        <v>55</v>
      </c>
      <c r="AH6" t="s">
        <v>55</v>
      </c>
      <c r="AJ6" t="s">
        <v>54</v>
      </c>
      <c r="AM6" t="s">
        <v>54</v>
      </c>
      <c r="AN6">
        <v>200</v>
      </c>
      <c r="AO6" t="s">
        <v>54</v>
      </c>
    </row>
    <row r="7" ht="25.5" customHeight="1" spans="1:50">
      <c r="A7" t="s">
        <v>81</v>
      </c>
      <c r="C7" t="s">
        <v>82</v>
      </c>
      <c r="E7" s="3" t="str">
        <f>HYPERLINK("https://app.hypeauditor.com/my-network/influencer/5175258/analytics/instagram/ceomindset.official","https://app.hypeauditor.com/my-network/influencer/5175258/analytics/instagram/ceomindset.official")</f>
        <v>https://app.hypeauditor.com/my-network/influencer/5175258/analytics/instagram/ceomindset.official</v>
      </c>
      <c r="F7" s="3" t="str">
        <f>HYPERLINK("https://www.instagram.com/ceomindset.official/","https://www.instagram.com/ceomindset.official/")</f>
        <v>https://www.instagram.com/ceomindset.official/</v>
      </c>
      <c r="G7" t="s">
        <v>52</v>
      </c>
      <c r="H7" t="s">
        <v>53</v>
      </c>
      <c r="I7" t="s">
        <v>65</v>
      </c>
      <c r="J7" t="s">
        <v>66</v>
      </c>
      <c r="K7" t="s">
        <v>58</v>
      </c>
      <c r="L7" t="s">
        <v>59</v>
      </c>
      <c r="M7">
        <v>68700</v>
      </c>
      <c r="N7" t="s">
        <v>55</v>
      </c>
      <c r="P7" t="s">
        <v>55</v>
      </c>
      <c r="R7" t="s">
        <v>54</v>
      </c>
      <c r="T7" t="s">
        <v>55</v>
      </c>
      <c r="X7" t="s">
        <v>55</v>
      </c>
      <c r="Z7" t="s">
        <v>54</v>
      </c>
      <c r="AB7" t="s">
        <v>55</v>
      </c>
      <c r="AD7" t="s">
        <v>55</v>
      </c>
      <c r="AF7" t="s">
        <v>55</v>
      </c>
      <c r="AH7" t="s">
        <v>55</v>
      </c>
      <c r="AJ7" t="s">
        <v>54</v>
      </c>
      <c r="AL7">
        <v>0.0079</v>
      </c>
      <c r="AM7" t="s">
        <v>83</v>
      </c>
      <c r="AN7">
        <v>50</v>
      </c>
      <c r="AO7" t="s">
        <v>84</v>
      </c>
      <c r="AR7" t="s">
        <v>85</v>
      </c>
      <c r="AS7" t="s">
        <v>86</v>
      </c>
      <c r="AW7" t="s">
        <v>81</v>
      </c>
      <c r="AX7" t="s">
        <v>87</v>
      </c>
    </row>
    <row r="8" ht="25.5" customHeight="1" spans="1:45">
      <c r="A8" t="s">
        <v>88</v>
      </c>
      <c r="C8" t="s">
        <v>82</v>
      </c>
      <c r="E8" s="3" t="str">
        <f>HYPERLINK("https://app.hypeauditor.com/my-network/influencer/18232409/analytics/tiktok/ilmastro85","https://app.hypeauditor.com/my-network/influencer/18232409/analytics/tiktok/ilmastro85")</f>
        <v>https://app.hypeauditor.com/my-network/influencer/18232409/analytics/tiktok/ilmastro85</v>
      </c>
      <c r="F8" s="3" t="str">
        <f>HYPERLINK("https://www.tiktok.com/@ilmastro85","https://www.tiktok.com/@ilmastro85")</f>
        <v>https://www.tiktok.com/@ilmastro85</v>
      </c>
      <c r="G8" t="s">
        <v>52</v>
      </c>
      <c r="H8" t="s">
        <v>53</v>
      </c>
      <c r="I8" t="s">
        <v>56</v>
      </c>
      <c r="J8" t="s">
        <v>57</v>
      </c>
      <c r="K8" t="s">
        <v>89</v>
      </c>
      <c r="L8" t="s">
        <v>54</v>
      </c>
      <c r="M8">
        <v>114800</v>
      </c>
      <c r="N8" t="s">
        <v>90</v>
      </c>
      <c r="P8" t="s">
        <v>55</v>
      </c>
      <c r="R8" t="s">
        <v>54</v>
      </c>
      <c r="T8" t="s">
        <v>55</v>
      </c>
      <c r="X8" t="s">
        <v>55</v>
      </c>
      <c r="Z8" t="s">
        <v>54</v>
      </c>
      <c r="AB8" t="s">
        <v>55</v>
      </c>
      <c r="AD8" t="s">
        <v>55</v>
      </c>
      <c r="AF8" t="s">
        <v>55</v>
      </c>
      <c r="AH8" t="s">
        <v>55</v>
      </c>
      <c r="AJ8" t="s">
        <v>54</v>
      </c>
      <c r="AK8">
        <v>16100</v>
      </c>
      <c r="AL8">
        <v>0.0182</v>
      </c>
      <c r="AM8" t="s">
        <v>91</v>
      </c>
      <c r="AN8">
        <v>185</v>
      </c>
      <c r="AO8" t="s">
        <v>92</v>
      </c>
      <c r="AP8" t="s">
        <v>93</v>
      </c>
      <c r="AQ8" t="s">
        <v>94</v>
      </c>
      <c r="AR8" t="s">
        <v>95</v>
      </c>
      <c r="AS8" t="s">
        <v>55</v>
      </c>
    </row>
    <row r="9" ht="25.5" customHeight="1" spans="1:45">
      <c r="A9" t="s">
        <v>96</v>
      </c>
      <c r="E9" s="3"/>
      <c r="F9" s="3"/>
      <c r="G9" t="s">
        <v>52</v>
      </c>
      <c r="H9" t="s">
        <v>53</v>
      </c>
      <c r="I9" t="s">
        <v>56</v>
      </c>
      <c r="J9" t="s">
        <v>57</v>
      </c>
      <c r="K9" t="s">
        <v>97</v>
      </c>
      <c r="L9" t="s">
        <v>54</v>
      </c>
      <c r="M9">
        <v>194700</v>
      </c>
      <c r="N9" t="s">
        <v>98</v>
      </c>
      <c r="P9" t="s">
        <v>55</v>
      </c>
      <c r="R9" t="s">
        <v>54</v>
      </c>
      <c r="T9" t="s">
        <v>55</v>
      </c>
      <c r="X9" t="s">
        <v>55</v>
      </c>
      <c r="Z9" t="s">
        <v>54</v>
      </c>
      <c r="AB9" t="s">
        <v>55</v>
      </c>
      <c r="AD9" t="s">
        <v>55</v>
      </c>
      <c r="AF9" t="s">
        <v>55</v>
      </c>
      <c r="AH9" t="s">
        <v>55</v>
      </c>
      <c r="AJ9" t="s">
        <v>54</v>
      </c>
      <c r="AK9">
        <v>17200</v>
      </c>
      <c r="AL9">
        <v>0.0799</v>
      </c>
      <c r="AM9" t="s">
        <v>99</v>
      </c>
      <c r="AN9">
        <v>100</v>
      </c>
      <c r="AO9" t="s">
        <v>100</v>
      </c>
      <c r="AP9" t="s">
        <v>101</v>
      </c>
      <c r="AQ9" t="s">
        <v>102</v>
      </c>
      <c r="AR9" t="s">
        <v>103</v>
      </c>
      <c r="AS9" t="s">
        <v>104</v>
      </c>
    </row>
    <row r="10" ht="25.5" customHeight="1" spans="1:50">
      <c r="A10" t="s">
        <v>105</v>
      </c>
      <c r="C10" t="s">
        <v>51</v>
      </c>
      <c r="E10" s="3" t="str">
        <f>HYPERLINK("https://app.hypeauditor.com/my-network/influencer/29668351/analytics/tiktok/thedigitalbat","https://app.hypeauditor.com/my-network/influencer/29668351/analytics/tiktok/thedigitalbat")</f>
        <v>https://app.hypeauditor.com/my-network/influencer/29668351/analytics/tiktok/thedigitalbat</v>
      </c>
      <c r="F10" s="3" t="str">
        <f>HYPERLINK("https://www.tiktok.com/@thedigitalbat","https://www.tiktok.com/@thedigitalbat")</f>
        <v>https://www.tiktok.com/@thedigitalbat</v>
      </c>
      <c r="G10" t="s">
        <v>52</v>
      </c>
      <c r="H10" t="s">
        <v>53</v>
      </c>
      <c r="I10" t="s">
        <v>56</v>
      </c>
      <c r="J10" t="s">
        <v>57</v>
      </c>
      <c r="K10" t="s">
        <v>97</v>
      </c>
      <c r="L10" t="s">
        <v>54</v>
      </c>
      <c r="M10">
        <v>88000</v>
      </c>
      <c r="N10" t="s">
        <v>55</v>
      </c>
      <c r="P10" t="s">
        <v>55</v>
      </c>
      <c r="R10" t="s">
        <v>54</v>
      </c>
      <c r="T10" t="s">
        <v>55</v>
      </c>
      <c r="X10" t="s">
        <v>55</v>
      </c>
      <c r="Z10" t="s">
        <v>54</v>
      </c>
      <c r="AB10" t="s">
        <v>55</v>
      </c>
      <c r="AD10" t="s">
        <v>55</v>
      </c>
      <c r="AF10" t="s">
        <v>55</v>
      </c>
      <c r="AH10" t="s">
        <v>55</v>
      </c>
      <c r="AJ10" t="s">
        <v>54</v>
      </c>
      <c r="AK10">
        <v>4600</v>
      </c>
      <c r="AL10">
        <v>0.0188</v>
      </c>
      <c r="AM10" t="s">
        <v>106</v>
      </c>
      <c r="AN10">
        <v>50</v>
      </c>
      <c r="AO10" t="s">
        <v>107</v>
      </c>
      <c r="AP10" t="s">
        <v>108</v>
      </c>
      <c r="AQ10" t="s">
        <v>109</v>
      </c>
      <c r="AR10" t="s">
        <v>110</v>
      </c>
      <c r="AS10" t="s">
        <v>55</v>
      </c>
      <c r="AW10" t="s">
        <v>105</v>
      </c>
      <c r="AX10" t="s">
        <v>111</v>
      </c>
    </row>
    <row r="11" ht="25.5" customHeight="1" spans="1:50">
      <c r="A11" t="s">
        <v>112</v>
      </c>
      <c r="C11" t="s">
        <v>72</v>
      </c>
      <c r="E11" s="3"/>
      <c r="F11" s="3" t="str">
        <f>HYPERLINK("https://www.tiktok.com/@ayman_yaman","https://www.tiktok.com/@ayman_yaman")</f>
        <v>https://www.tiktok.com/@ayman_yaman</v>
      </c>
      <c r="G11" t="s">
        <v>52</v>
      </c>
      <c r="H11" t="s">
        <v>53</v>
      </c>
      <c r="I11" t="s">
        <v>56</v>
      </c>
      <c r="J11" t="s">
        <v>57</v>
      </c>
      <c r="K11" t="s">
        <v>58</v>
      </c>
      <c r="L11" t="s">
        <v>59</v>
      </c>
      <c r="M11">
        <v>1600000</v>
      </c>
      <c r="N11" t="s">
        <v>113</v>
      </c>
      <c r="P11" t="s">
        <v>55</v>
      </c>
      <c r="R11" t="s">
        <v>54</v>
      </c>
      <c r="T11" t="s">
        <v>55</v>
      </c>
      <c r="X11" t="s">
        <v>55</v>
      </c>
      <c r="Z11" t="s">
        <v>54</v>
      </c>
      <c r="AB11" t="s">
        <v>55</v>
      </c>
      <c r="AD11" t="s">
        <v>55</v>
      </c>
      <c r="AF11" t="s">
        <v>55</v>
      </c>
      <c r="AH11" t="s">
        <v>55</v>
      </c>
      <c r="AJ11" t="s">
        <v>54</v>
      </c>
      <c r="AM11" t="s">
        <v>54</v>
      </c>
      <c r="AO11" t="s">
        <v>54</v>
      </c>
      <c r="AW11" t="s">
        <v>114</v>
      </c>
      <c r="AX11" t="s">
        <v>115</v>
      </c>
    </row>
    <row r="12" ht="25.5" customHeight="1" spans="1:50">
      <c r="A12" t="s">
        <v>112</v>
      </c>
      <c r="E12" s="3"/>
      <c r="F12" s="3" t="str">
        <f>HYPERLINK("https://www.instagram.com/ayman_yaman/","https://www.instagram.com/ayman_yaman/")</f>
        <v>https://www.instagram.com/ayman_yaman/</v>
      </c>
      <c r="G12" t="s">
        <v>52</v>
      </c>
      <c r="H12" t="s">
        <v>53</v>
      </c>
      <c r="I12" t="s">
        <v>65</v>
      </c>
      <c r="J12" t="s">
        <v>116</v>
      </c>
      <c r="L12" t="s">
        <v>54</v>
      </c>
      <c r="M12">
        <v>1200000</v>
      </c>
      <c r="N12" t="s">
        <v>117</v>
      </c>
      <c r="P12" t="s">
        <v>55</v>
      </c>
      <c r="R12" t="s">
        <v>54</v>
      </c>
      <c r="T12" t="s">
        <v>55</v>
      </c>
      <c r="X12" t="s">
        <v>55</v>
      </c>
      <c r="Z12" t="s">
        <v>54</v>
      </c>
      <c r="AB12" t="s">
        <v>55</v>
      </c>
      <c r="AD12" t="s">
        <v>55</v>
      </c>
      <c r="AF12" t="s">
        <v>55</v>
      </c>
      <c r="AH12" t="s">
        <v>55</v>
      </c>
      <c r="AJ12" t="s">
        <v>54</v>
      </c>
      <c r="AL12">
        <v>0.022</v>
      </c>
      <c r="AM12" t="s">
        <v>118</v>
      </c>
      <c r="AN12">
        <v>7500</v>
      </c>
      <c r="AO12" t="s">
        <v>119</v>
      </c>
      <c r="AR12" t="s">
        <v>120</v>
      </c>
      <c r="AS12" t="s">
        <v>55</v>
      </c>
      <c r="AV12" t="s">
        <v>112</v>
      </c>
      <c r="AW12" t="s">
        <v>121</v>
      </c>
      <c r="AX12" t="s">
        <v>115</v>
      </c>
    </row>
    <row r="13" ht="25.5" customHeight="1" spans="1:50">
      <c r="A13" t="s">
        <v>122</v>
      </c>
      <c r="C13" t="s">
        <v>82</v>
      </c>
      <c r="E13" s="3" t="str">
        <f>HYPERLINK("https://app.hypeauditor.com/my-network/influencer/1673801/analytics/instagram/culturaimprenditoriale","https://app.hypeauditor.com/my-network/influencer/1673801/analytics/instagram/culturaimprenditoriale")</f>
        <v>https://app.hypeauditor.com/my-network/influencer/1673801/analytics/instagram/culturaimprenditoriale</v>
      </c>
      <c r="F13" s="3" t="str">
        <f>HYPERLINK("https://www.instagram.com/culturaimprenditoriale/","https://www.instagram.com/culturaimprenditoriale/")</f>
        <v>https://www.instagram.com/culturaimprenditoriale/</v>
      </c>
      <c r="G13" t="s">
        <v>52</v>
      </c>
      <c r="H13" t="s">
        <v>53</v>
      </c>
      <c r="I13" t="s">
        <v>65</v>
      </c>
      <c r="J13" t="s">
        <v>66</v>
      </c>
      <c r="K13" t="s">
        <v>97</v>
      </c>
      <c r="L13" t="s">
        <v>54</v>
      </c>
      <c r="M13">
        <v>474100</v>
      </c>
      <c r="N13" t="s">
        <v>123</v>
      </c>
      <c r="P13" t="s">
        <v>55</v>
      </c>
      <c r="R13" t="s">
        <v>54</v>
      </c>
      <c r="T13" t="s">
        <v>55</v>
      </c>
      <c r="X13" t="s">
        <v>55</v>
      </c>
      <c r="Z13" t="s">
        <v>54</v>
      </c>
      <c r="AB13" t="s">
        <v>55</v>
      </c>
      <c r="AD13" t="s">
        <v>55</v>
      </c>
      <c r="AF13" t="s">
        <v>55</v>
      </c>
      <c r="AH13" t="s">
        <v>55</v>
      </c>
      <c r="AJ13" t="s">
        <v>54</v>
      </c>
      <c r="AL13">
        <v>0.0132</v>
      </c>
      <c r="AM13" t="s">
        <v>124</v>
      </c>
      <c r="AN13">
        <v>240</v>
      </c>
      <c r="AO13" t="s">
        <v>125</v>
      </c>
      <c r="AR13" t="s">
        <v>126</v>
      </c>
      <c r="AS13" t="s">
        <v>127</v>
      </c>
      <c r="AW13" t="s">
        <v>122</v>
      </c>
      <c r="AX13" t="s">
        <v>128</v>
      </c>
    </row>
    <row r="14" ht="25.5" customHeight="1" spans="1:41">
      <c r="A14" t="s">
        <v>129</v>
      </c>
      <c r="E14" s="3"/>
      <c r="F14" s="3"/>
      <c r="G14" t="s">
        <v>52</v>
      </c>
      <c r="H14" t="s">
        <v>53</v>
      </c>
      <c r="L14" t="s">
        <v>54</v>
      </c>
      <c r="P14" t="s">
        <v>55</v>
      </c>
      <c r="R14" t="s">
        <v>54</v>
      </c>
      <c r="T14" t="s">
        <v>55</v>
      </c>
      <c r="X14" t="s">
        <v>55</v>
      </c>
      <c r="Z14" t="s">
        <v>54</v>
      </c>
      <c r="AB14" t="s">
        <v>55</v>
      </c>
      <c r="AD14" t="s">
        <v>55</v>
      </c>
      <c r="AF14" t="s">
        <v>55</v>
      </c>
      <c r="AH14" t="s">
        <v>55</v>
      </c>
      <c r="AJ14" t="s">
        <v>54</v>
      </c>
      <c r="AM14" t="s">
        <v>54</v>
      </c>
      <c r="AO14" t="s">
        <v>54</v>
      </c>
    </row>
    <row r="15" ht="25.5" customHeight="1" spans="1:48">
      <c r="A15" t="s">
        <v>130</v>
      </c>
      <c r="C15" t="s">
        <v>131</v>
      </c>
      <c r="E15" s="3" t="str">
        <f>HYPERLINK("https://app.hypeauditor.com/my-network/influencer/282025/analytics/instagram/gbr.tech","https://app.hypeauditor.com/my-network/influencer/282025/analytics/instagram/gbr.tech")</f>
        <v>https://app.hypeauditor.com/my-network/influencer/282025/analytics/instagram/gbr.tech</v>
      </c>
      <c r="F15" s="3" t="str">
        <f>HYPERLINK("https://www.instagram.com/p/C_iIeaOtARU/","https://www.instagram.com/p/C_iIeaOtARU/")</f>
        <v>https://www.instagram.com/p/C_iIeaOtARU/</v>
      </c>
      <c r="G15" t="s">
        <v>52</v>
      </c>
      <c r="H15" t="s">
        <v>53</v>
      </c>
      <c r="I15" t="s">
        <v>65</v>
      </c>
      <c r="J15" t="s">
        <v>116</v>
      </c>
      <c r="K15" t="s">
        <v>97</v>
      </c>
      <c r="L15" t="s">
        <v>54</v>
      </c>
      <c r="M15">
        <v>511000</v>
      </c>
      <c r="N15" t="s">
        <v>132</v>
      </c>
      <c r="P15" t="s">
        <v>55</v>
      </c>
      <c r="R15" t="s">
        <v>54</v>
      </c>
      <c r="T15" t="s">
        <v>55</v>
      </c>
      <c r="X15" t="s">
        <v>55</v>
      </c>
      <c r="Z15" t="s">
        <v>54</v>
      </c>
      <c r="AB15" t="s">
        <v>55</v>
      </c>
      <c r="AD15" t="s">
        <v>55</v>
      </c>
      <c r="AF15" t="s">
        <v>55</v>
      </c>
      <c r="AH15" t="s">
        <v>55</v>
      </c>
      <c r="AJ15" t="s">
        <v>54</v>
      </c>
      <c r="AL15">
        <v>0.0058</v>
      </c>
      <c r="AM15" t="s">
        <v>133</v>
      </c>
      <c r="AN15">
        <v>3500</v>
      </c>
      <c r="AO15" t="s">
        <v>134</v>
      </c>
      <c r="AR15" t="s">
        <v>135</v>
      </c>
      <c r="AS15" t="s">
        <v>55</v>
      </c>
      <c r="AV15" t="s">
        <v>129</v>
      </c>
    </row>
    <row r="16" ht="25.5" customHeight="1" spans="1:50">
      <c r="A16" t="s">
        <v>136</v>
      </c>
      <c r="C16" t="s">
        <v>131</v>
      </c>
      <c r="E16" s="3" t="str">
        <f>HYPERLINK("https://app.hypeauditor.com/my-network/influencer/7470473/analytics/tiktok/nico.lato","https://app.hypeauditor.com/my-network/influencer/7470473/analytics/tiktok/nico.lato")</f>
        <v>https://app.hypeauditor.com/my-network/influencer/7470473/analytics/tiktok/nico.lato</v>
      </c>
      <c r="F16" s="3" t="str">
        <f>HYPERLINK("https://www.tiktok.com/@nico.lato","https://www.tiktok.com/@nico.lato")</f>
        <v>https://www.tiktok.com/@nico.lato</v>
      </c>
      <c r="G16" t="s">
        <v>52</v>
      </c>
      <c r="H16" t="s">
        <v>53</v>
      </c>
      <c r="I16" t="s">
        <v>56</v>
      </c>
      <c r="J16" t="s">
        <v>57</v>
      </c>
      <c r="K16" t="s">
        <v>97</v>
      </c>
      <c r="L16" t="s">
        <v>54</v>
      </c>
      <c r="M16">
        <v>2429</v>
      </c>
      <c r="N16" t="s">
        <v>55</v>
      </c>
      <c r="P16" t="s">
        <v>55</v>
      </c>
      <c r="R16" t="s">
        <v>54</v>
      </c>
      <c r="T16" t="s">
        <v>55</v>
      </c>
      <c r="X16" t="s">
        <v>55</v>
      </c>
      <c r="Z16" t="s">
        <v>54</v>
      </c>
      <c r="AB16" t="s">
        <v>55</v>
      </c>
      <c r="AD16" t="s">
        <v>55</v>
      </c>
      <c r="AF16" t="s">
        <v>55</v>
      </c>
      <c r="AH16" t="s">
        <v>55</v>
      </c>
      <c r="AJ16" t="s">
        <v>54</v>
      </c>
      <c r="AK16">
        <v>3000</v>
      </c>
      <c r="AL16">
        <v>0.031</v>
      </c>
      <c r="AM16" t="s">
        <v>137</v>
      </c>
      <c r="AN16">
        <v>30</v>
      </c>
      <c r="AO16" t="s">
        <v>138</v>
      </c>
      <c r="AP16" t="s">
        <v>139</v>
      </c>
      <c r="AQ16" t="s">
        <v>140</v>
      </c>
      <c r="AR16" t="s">
        <v>141</v>
      </c>
      <c r="AS16" t="s">
        <v>55</v>
      </c>
      <c r="AV16" t="s">
        <v>129</v>
      </c>
      <c r="AW16" t="s">
        <v>136</v>
      </c>
      <c r="AX16" t="s">
        <v>142</v>
      </c>
    </row>
    <row r="17" ht="25.5" customHeight="1" spans="1:48">
      <c r="A17" t="s">
        <v>143</v>
      </c>
      <c r="C17" t="s">
        <v>144</v>
      </c>
      <c r="E17" s="3"/>
      <c r="F17" s="3" t="str">
        <f>HYPERLINK("https://www.youtube.com/@stockdroid","https://www.youtube.com/@stockdroid")</f>
        <v>https://www.youtube.com/@stockdroid</v>
      </c>
      <c r="G17" t="s">
        <v>52</v>
      </c>
      <c r="L17" t="s">
        <v>54</v>
      </c>
      <c r="P17" t="s">
        <v>55</v>
      </c>
      <c r="R17" t="s">
        <v>54</v>
      </c>
      <c r="T17" t="s">
        <v>55</v>
      </c>
      <c r="X17" t="s">
        <v>55</v>
      </c>
      <c r="Z17" t="s">
        <v>54</v>
      </c>
      <c r="AB17" t="s">
        <v>55</v>
      </c>
      <c r="AD17" t="s">
        <v>55</v>
      </c>
      <c r="AF17" t="s">
        <v>55</v>
      </c>
      <c r="AH17" t="s">
        <v>55</v>
      </c>
      <c r="AJ17" t="s">
        <v>54</v>
      </c>
      <c r="AM17" t="s">
        <v>54</v>
      </c>
      <c r="AO17" t="s">
        <v>54</v>
      </c>
      <c r="AV17" t="s">
        <v>129</v>
      </c>
    </row>
    <row r="18" ht="25.5" customHeight="1" spans="1:50">
      <c r="A18" t="s">
        <v>145</v>
      </c>
      <c r="C18" t="s">
        <v>72</v>
      </c>
      <c r="E18" s="3" t="str">
        <f>HYPERLINK("https://app.hypeauditor.com/my-network/influencer/32506103/analytics/tiktok/daniel_technolife","https://app.hypeauditor.com/my-network/influencer/32506103/analytics/tiktok/daniel_technolife")</f>
        <v>https://app.hypeauditor.com/my-network/influencer/32506103/analytics/tiktok/daniel_technolife</v>
      </c>
      <c r="F18" s="3" t="str">
        <f>HYPERLINK("https://www.tiktok.com/@daniel_technolife","https://www.tiktok.com/@daniel_technolife")</f>
        <v>https://www.tiktok.com/@daniel_technolife</v>
      </c>
      <c r="G18" t="s">
        <v>52</v>
      </c>
      <c r="H18" t="s">
        <v>53</v>
      </c>
      <c r="I18" t="s">
        <v>56</v>
      </c>
      <c r="J18" t="s">
        <v>116</v>
      </c>
      <c r="K18" t="s">
        <v>97</v>
      </c>
      <c r="L18" t="s">
        <v>54</v>
      </c>
      <c r="M18">
        <v>67800</v>
      </c>
      <c r="N18" t="s">
        <v>55</v>
      </c>
      <c r="P18" t="s">
        <v>55</v>
      </c>
      <c r="R18" t="s">
        <v>54</v>
      </c>
      <c r="T18" t="s">
        <v>55</v>
      </c>
      <c r="X18" t="s">
        <v>55</v>
      </c>
      <c r="Z18" t="s">
        <v>54</v>
      </c>
      <c r="AB18" t="s">
        <v>55</v>
      </c>
      <c r="AD18" t="s">
        <v>55</v>
      </c>
      <c r="AF18" t="s">
        <v>55</v>
      </c>
      <c r="AH18" t="s">
        <v>55</v>
      </c>
      <c r="AJ18" t="s">
        <v>54</v>
      </c>
      <c r="AK18">
        <v>38500</v>
      </c>
      <c r="AL18">
        <v>0.0253</v>
      </c>
      <c r="AM18" t="s">
        <v>146</v>
      </c>
      <c r="AN18">
        <v>150</v>
      </c>
      <c r="AO18" t="s">
        <v>147</v>
      </c>
      <c r="AP18" t="s">
        <v>148</v>
      </c>
      <c r="AQ18" t="s">
        <v>149</v>
      </c>
      <c r="AR18" t="s">
        <v>150</v>
      </c>
      <c r="AS18" t="s">
        <v>151</v>
      </c>
      <c r="AW18" t="s">
        <v>145</v>
      </c>
      <c r="AX18" t="s">
        <v>152</v>
      </c>
    </row>
    <row r="19" ht="25.5" customHeight="1" spans="1:50">
      <c r="A19" t="s">
        <v>153</v>
      </c>
      <c r="C19" t="s">
        <v>82</v>
      </c>
      <c r="E19" s="3" t="str">
        <f>HYPERLINK("https://app.hypeauditor.com/my-network/influencer/215094/analytics/instagram/the.success.club","https://app.hypeauditor.com/my-network/influencer/215094/analytics/instagram/the.success.club")</f>
        <v>https://app.hypeauditor.com/my-network/influencer/215094/analytics/instagram/the.success.club</v>
      </c>
      <c r="F19" s="3" t="str">
        <f>HYPERLINK("https://www.instagram.com/the.success.club/","https://www.instagram.com/the.success.club/")</f>
        <v>https://www.instagram.com/the.success.club/</v>
      </c>
      <c r="G19" t="s">
        <v>52</v>
      </c>
      <c r="H19" t="s">
        <v>53</v>
      </c>
      <c r="I19" t="s">
        <v>65</v>
      </c>
      <c r="J19" t="s">
        <v>66</v>
      </c>
      <c r="K19" t="s">
        <v>58</v>
      </c>
      <c r="L19" t="s">
        <v>59</v>
      </c>
      <c r="M19">
        <v>1600000</v>
      </c>
      <c r="N19" t="s">
        <v>113</v>
      </c>
      <c r="P19" t="s">
        <v>55</v>
      </c>
      <c r="R19" t="s">
        <v>54</v>
      </c>
      <c r="T19" t="s">
        <v>55</v>
      </c>
      <c r="X19" t="s">
        <v>55</v>
      </c>
      <c r="Z19" t="s">
        <v>54</v>
      </c>
      <c r="AB19" t="s">
        <v>55</v>
      </c>
      <c r="AD19" t="s">
        <v>55</v>
      </c>
      <c r="AF19" t="s">
        <v>55</v>
      </c>
      <c r="AH19" t="s">
        <v>55</v>
      </c>
      <c r="AJ19" t="s">
        <v>54</v>
      </c>
      <c r="AL19">
        <v>0.002</v>
      </c>
      <c r="AM19" t="s">
        <v>154</v>
      </c>
      <c r="AN19">
        <v>100</v>
      </c>
      <c r="AO19" t="s">
        <v>155</v>
      </c>
      <c r="AR19" t="s">
        <v>156</v>
      </c>
      <c r="AS19" t="s">
        <v>157</v>
      </c>
      <c r="AV19" t="s">
        <v>80</v>
      </c>
      <c r="AW19" t="s">
        <v>158</v>
      </c>
      <c r="AX19" t="s">
        <v>159</v>
      </c>
    </row>
    <row r="20" ht="25.5" customHeight="1" spans="1:48">
      <c r="A20" t="s">
        <v>160</v>
      </c>
      <c r="C20" t="s">
        <v>82</v>
      </c>
      <c r="E20" s="3" t="str">
        <f>HYPERLINK("https://app.hypeauditor.com/my-network/influencer/256924/analytics/instagram/incomehunters","https://app.hypeauditor.com/my-network/influencer/256924/analytics/instagram/incomehunters")</f>
        <v>https://app.hypeauditor.com/my-network/influencer/256924/analytics/instagram/incomehunters</v>
      </c>
      <c r="F20" s="3" t="str">
        <f>HYPERLINK("https://www.instagram.com/incomehunters/","https://www.instagram.com/incomehunters/")</f>
        <v>https://www.instagram.com/incomehunters/</v>
      </c>
      <c r="G20" t="s">
        <v>52</v>
      </c>
      <c r="H20" t="s">
        <v>53</v>
      </c>
      <c r="I20" t="s">
        <v>65</v>
      </c>
      <c r="J20" t="s">
        <v>66</v>
      </c>
      <c r="K20" t="s">
        <v>58</v>
      </c>
      <c r="L20" t="s">
        <v>59</v>
      </c>
      <c r="M20">
        <v>507000</v>
      </c>
      <c r="N20" t="s">
        <v>161</v>
      </c>
      <c r="P20" t="s">
        <v>55</v>
      </c>
      <c r="R20" t="s">
        <v>54</v>
      </c>
      <c r="T20" t="s">
        <v>55</v>
      </c>
      <c r="X20" t="s">
        <v>55</v>
      </c>
      <c r="Z20" t="s">
        <v>54</v>
      </c>
      <c r="AB20" t="s">
        <v>55</v>
      </c>
      <c r="AD20" t="s">
        <v>55</v>
      </c>
      <c r="AF20" t="s">
        <v>55</v>
      </c>
      <c r="AH20" t="s">
        <v>55</v>
      </c>
      <c r="AJ20" t="s">
        <v>54</v>
      </c>
      <c r="AL20">
        <v>0.0027</v>
      </c>
      <c r="AM20" t="s">
        <v>162</v>
      </c>
      <c r="AN20">
        <v>100</v>
      </c>
      <c r="AO20" t="s">
        <v>163</v>
      </c>
      <c r="AR20" t="s">
        <v>103</v>
      </c>
      <c r="AS20" t="s">
        <v>164</v>
      </c>
      <c r="AV20" t="s">
        <v>80</v>
      </c>
    </row>
    <row r="21" ht="25.5" customHeight="1" spans="1:41">
      <c r="A21" t="s">
        <v>165</v>
      </c>
      <c r="C21" t="s">
        <v>82</v>
      </c>
      <c r="E21" s="3"/>
      <c r="F21" s="3"/>
      <c r="G21" t="s">
        <v>52</v>
      </c>
      <c r="H21" t="s">
        <v>53</v>
      </c>
      <c r="L21" t="s">
        <v>54</v>
      </c>
      <c r="P21" t="s">
        <v>55</v>
      </c>
      <c r="Q21" t="s">
        <v>166</v>
      </c>
      <c r="R21" t="s">
        <v>59</v>
      </c>
      <c r="T21" t="s">
        <v>55</v>
      </c>
      <c r="X21" t="s">
        <v>55</v>
      </c>
      <c r="Z21" t="s">
        <v>54</v>
      </c>
      <c r="AB21" t="s">
        <v>55</v>
      </c>
      <c r="AD21" t="s">
        <v>55</v>
      </c>
      <c r="AF21" t="s">
        <v>55</v>
      </c>
      <c r="AH21" t="s">
        <v>55</v>
      </c>
      <c r="AJ21" t="s">
        <v>54</v>
      </c>
      <c r="AM21" t="s">
        <v>54</v>
      </c>
      <c r="AN21">
        <v>650</v>
      </c>
      <c r="AO21" t="s">
        <v>54</v>
      </c>
    </row>
    <row r="22" ht="25.5" customHeight="1" spans="1:48">
      <c r="A22" t="s">
        <v>167</v>
      </c>
      <c r="C22" t="s">
        <v>82</v>
      </c>
      <c r="E22" s="3" t="str">
        <f>HYPERLINK("https://app.hypeauditor.com/my-network/influencer/7470533/analytics/tiktok/nicolasllombardo","https://app.hypeauditor.com/my-network/influencer/7470533/analytics/tiktok/nicolasllombardo")</f>
        <v>https://app.hypeauditor.com/my-network/influencer/7470533/analytics/tiktok/nicolasllombardo</v>
      </c>
      <c r="F22" s="3" t="str">
        <f>HYPERLINK("https://www.tiktok.com/@nicolasllombardo","https://www.tiktok.com/@nicolasllombardo")</f>
        <v>https://www.tiktok.com/@nicolasllombardo</v>
      </c>
      <c r="G22" t="s">
        <v>52</v>
      </c>
      <c r="H22" t="s">
        <v>53</v>
      </c>
      <c r="I22" t="s">
        <v>56</v>
      </c>
      <c r="J22" t="s">
        <v>57</v>
      </c>
      <c r="K22" t="s">
        <v>97</v>
      </c>
      <c r="L22" t="s">
        <v>54</v>
      </c>
      <c r="M22">
        <v>121800</v>
      </c>
      <c r="N22" t="s">
        <v>168</v>
      </c>
      <c r="P22" t="s">
        <v>55</v>
      </c>
      <c r="Q22" t="s">
        <v>166</v>
      </c>
      <c r="R22" t="s">
        <v>59</v>
      </c>
      <c r="T22" t="s">
        <v>55</v>
      </c>
      <c r="X22" t="s">
        <v>55</v>
      </c>
      <c r="Z22" t="s">
        <v>54</v>
      </c>
      <c r="AB22" t="s">
        <v>55</v>
      </c>
      <c r="AD22" t="s">
        <v>55</v>
      </c>
      <c r="AF22" t="s">
        <v>55</v>
      </c>
      <c r="AH22" t="s">
        <v>55</v>
      </c>
      <c r="AJ22" t="s">
        <v>54</v>
      </c>
      <c r="AK22">
        <v>74100</v>
      </c>
      <c r="AL22">
        <v>0.07</v>
      </c>
      <c r="AM22" t="s">
        <v>169</v>
      </c>
      <c r="AN22">
        <v>400</v>
      </c>
      <c r="AO22" t="s">
        <v>170</v>
      </c>
      <c r="AP22" t="s">
        <v>171</v>
      </c>
      <c r="AQ22" t="s">
        <v>172</v>
      </c>
      <c r="AR22" t="s">
        <v>173</v>
      </c>
      <c r="AS22" t="s">
        <v>174</v>
      </c>
      <c r="AV22" t="s">
        <v>165</v>
      </c>
    </row>
    <row r="23" ht="25.5" customHeight="1" spans="1:48">
      <c r="A23" t="s">
        <v>167</v>
      </c>
      <c r="C23" t="s">
        <v>82</v>
      </c>
      <c r="E23" s="3" t="str">
        <f>HYPERLINK("https://app.hypeauditor.com/my-network/influencer/96686/analytics/instagram/nicolasllombardo","https://app.hypeauditor.com/my-network/influencer/96686/analytics/instagram/nicolasllombardo")</f>
        <v>https://app.hypeauditor.com/my-network/influencer/96686/analytics/instagram/nicolasllombardo</v>
      </c>
      <c r="F23" s="3" t="str">
        <f>HYPERLINK("https://www.instagram.com/nicolasllombardo/reels/","https://www.instagram.com/nicolasllombardo/reels/")</f>
        <v>https://www.instagram.com/nicolasllombardo/reels/</v>
      </c>
      <c r="G23" t="s">
        <v>52</v>
      </c>
      <c r="H23" t="s">
        <v>53</v>
      </c>
      <c r="I23" t="s">
        <v>65</v>
      </c>
      <c r="J23" t="s">
        <v>116</v>
      </c>
      <c r="K23" t="s">
        <v>97</v>
      </c>
      <c r="L23" t="s">
        <v>54</v>
      </c>
      <c r="M23">
        <v>111300</v>
      </c>
      <c r="N23" t="s">
        <v>175</v>
      </c>
      <c r="P23" t="s">
        <v>55</v>
      </c>
      <c r="Q23" t="s">
        <v>166</v>
      </c>
      <c r="R23" t="s">
        <v>59</v>
      </c>
      <c r="T23" t="s">
        <v>55</v>
      </c>
      <c r="X23" t="s">
        <v>55</v>
      </c>
      <c r="Z23" t="s">
        <v>54</v>
      </c>
      <c r="AB23" t="s">
        <v>55</v>
      </c>
      <c r="AD23" t="s">
        <v>55</v>
      </c>
      <c r="AF23" t="s">
        <v>55</v>
      </c>
      <c r="AH23" t="s">
        <v>55</v>
      </c>
      <c r="AJ23" t="s">
        <v>54</v>
      </c>
      <c r="AK23">
        <v>80000</v>
      </c>
      <c r="AL23">
        <v>0.0115</v>
      </c>
      <c r="AM23" t="s">
        <v>176</v>
      </c>
      <c r="AN23">
        <v>250</v>
      </c>
      <c r="AO23" t="s">
        <v>177</v>
      </c>
      <c r="AP23" t="s">
        <v>178</v>
      </c>
      <c r="AQ23" t="s">
        <v>179</v>
      </c>
      <c r="AR23" t="s">
        <v>180</v>
      </c>
      <c r="AS23" t="s">
        <v>181</v>
      </c>
      <c r="AV23" t="s">
        <v>165</v>
      </c>
    </row>
    <row r="24" ht="25.5" customHeight="1" spans="5:48">
      <c r="E24" s="3"/>
      <c r="F24" s="3" t="str">
        <f>HYPERLINK("https://www.instagram.com/thedigitalbat?igshid=YmMyMTA2M2Y%3D","https://www.instagram.com/thedigitalbat?igshid=YmMyMTA2M2Y%3D")</f>
        <v>https://www.instagram.com/thedigitalbat?igshid=YmMyMTA2M2Y%3D</v>
      </c>
      <c r="G24" t="s">
        <v>52</v>
      </c>
      <c r="I24" t="s">
        <v>65</v>
      </c>
      <c r="J24" t="s">
        <v>116</v>
      </c>
      <c r="K24" t="s">
        <v>97</v>
      </c>
      <c r="L24" t="s">
        <v>54</v>
      </c>
      <c r="M24">
        <v>5824</v>
      </c>
      <c r="N24" t="s">
        <v>55</v>
      </c>
      <c r="P24" t="s">
        <v>55</v>
      </c>
      <c r="R24" t="s">
        <v>54</v>
      </c>
      <c r="T24" t="s">
        <v>55</v>
      </c>
      <c r="X24" t="s">
        <v>55</v>
      </c>
      <c r="Z24" t="s">
        <v>54</v>
      </c>
      <c r="AB24" t="s">
        <v>55</v>
      </c>
      <c r="AD24" t="s">
        <v>55</v>
      </c>
      <c r="AF24" t="s">
        <v>55</v>
      </c>
      <c r="AH24" t="s">
        <v>55</v>
      </c>
      <c r="AJ24" t="s">
        <v>54</v>
      </c>
      <c r="AK24">
        <v>1000</v>
      </c>
      <c r="AL24">
        <v>0.0112</v>
      </c>
      <c r="AM24" t="s">
        <v>182</v>
      </c>
      <c r="AO24" t="s">
        <v>183</v>
      </c>
      <c r="AP24" t="s">
        <v>184</v>
      </c>
      <c r="AQ24" t="s">
        <v>185</v>
      </c>
      <c r="AR24" t="s">
        <v>184</v>
      </c>
      <c r="AS24" t="s">
        <v>185</v>
      </c>
      <c r="AV24" t="s">
        <v>105</v>
      </c>
    </row>
    <row r="25" ht="25.5" customHeight="1" spans="1:50">
      <c r="A25" t="s">
        <v>186</v>
      </c>
      <c r="C25" t="s">
        <v>82</v>
      </c>
      <c r="E25" s="3" t="str">
        <f>HYPERLINK("https://app.hypeauditor.com/my-network/influencer/32738023/analytics/tiktok/ohshenza","https://app.hypeauditor.com/my-network/influencer/32738023/analytics/tiktok/ohshenza")</f>
        <v>https://app.hypeauditor.com/my-network/influencer/32738023/analytics/tiktok/ohshenza</v>
      </c>
      <c r="F25" s="3" t="str">
        <f>HYPERLINK("https://www.tiktok.com/@ohshenza","https://www.tiktok.com/@ohshenza")</f>
        <v>https://www.tiktok.com/@ohshenza</v>
      </c>
      <c r="G25" t="s">
        <v>52</v>
      </c>
      <c r="H25" t="s">
        <v>53</v>
      </c>
      <c r="I25" t="s">
        <v>56</v>
      </c>
      <c r="J25" t="s">
        <v>57</v>
      </c>
      <c r="K25" t="s">
        <v>58</v>
      </c>
      <c r="L25" t="s">
        <v>59</v>
      </c>
      <c r="M25">
        <v>12000</v>
      </c>
      <c r="N25" t="s">
        <v>55</v>
      </c>
      <c r="P25" t="s">
        <v>55</v>
      </c>
      <c r="R25" t="s">
        <v>54</v>
      </c>
      <c r="T25" t="s">
        <v>55</v>
      </c>
      <c r="X25" t="s">
        <v>55</v>
      </c>
      <c r="Z25" t="s">
        <v>54</v>
      </c>
      <c r="AB25" t="s">
        <v>55</v>
      </c>
      <c r="AD25" t="s">
        <v>55</v>
      </c>
      <c r="AF25" t="s">
        <v>55</v>
      </c>
      <c r="AH25" t="s">
        <v>55</v>
      </c>
      <c r="AJ25" t="s">
        <v>54</v>
      </c>
      <c r="AK25">
        <v>1500</v>
      </c>
      <c r="AL25">
        <v>0.0842</v>
      </c>
      <c r="AM25" t="s">
        <v>187</v>
      </c>
      <c r="AN25">
        <v>50</v>
      </c>
      <c r="AO25" t="s">
        <v>188</v>
      </c>
      <c r="AP25" t="s">
        <v>189</v>
      </c>
      <c r="AQ25" t="s">
        <v>55</v>
      </c>
      <c r="AR25" t="s">
        <v>190</v>
      </c>
      <c r="AS25" t="s">
        <v>55</v>
      </c>
      <c r="AW25" t="s">
        <v>191</v>
      </c>
      <c r="AX25" t="s">
        <v>192</v>
      </c>
    </row>
    <row r="26" ht="25.5" customHeight="1" spans="1:41">
      <c r="A26" t="s">
        <v>193</v>
      </c>
      <c r="C26" t="s">
        <v>51</v>
      </c>
      <c r="E26" s="3"/>
      <c r="F26" s="3" t="str">
        <f>HYPERLINK("https://www.tiktok.com/@chunksgaming101?is_from_webapp=1&amp;sender_device=pc","https://www.tiktok.com/@chunksgaming101?is_from_webapp=1&amp;sender_device=pc")</f>
        <v>https://www.tiktok.com/@chunksgaming101?is_from_webapp=1&amp;sender_device=pc</v>
      </c>
      <c r="G26" t="s">
        <v>52</v>
      </c>
      <c r="H26" t="s">
        <v>53</v>
      </c>
      <c r="I26" t="s">
        <v>56</v>
      </c>
      <c r="J26" t="s">
        <v>57</v>
      </c>
      <c r="K26" t="s">
        <v>58</v>
      </c>
      <c r="L26" t="s">
        <v>59</v>
      </c>
      <c r="M26">
        <v>732</v>
      </c>
      <c r="N26" t="s">
        <v>55</v>
      </c>
      <c r="P26" t="s">
        <v>55</v>
      </c>
      <c r="R26" t="s">
        <v>54</v>
      </c>
      <c r="T26" t="s">
        <v>55</v>
      </c>
      <c r="X26" t="s">
        <v>55</v>
      </c>
      <c r="Z26" t="s">
        <v>54</v>
      </c>
      <c r="AB26" t="s">
        <v>55</v>
      </c>
      <c r="AD26" t="s">
        <v>55</v>
      </c>
      <c r="AF26" t="s">
        <v>55</v>
      </c>
      <c r="AH26" t="s">
        <v>55</v>
      </c>
      <c r="AJ26" t="s">
        <v>54</v>
      </c>
      <c r="AM26" t="s">
        <v>54</v>
      </c>
      <c r="AO26" t="s">
        <v>54</v>
      </c>
    </row>
    <row r="27" ht="25.5" customHeight="1" spans="1:48">
      <c r="A27" t="s">
        <v>194</v>
      </c>
      <c r="C27" t="s">
        <v>51</v>
      </c>
      <c r="E27" s="3" t="str">
        <f>HYPERLINK("https://app.hypeauditor.com/my-network/influencer/33132301/analytics/tiktok/chunksmedia1","https://app.hypeauditor.com/my-network/influencer/33132301/analytics/tiktok/chunksmedia1")</f>
        <v>https://app.hypeauditor.com/my-network/influencer/33132301/analytics/tiktok/chunksmedia1</v>
      </c>
      <c r="F27" s="3" t="str">
        <f>HYPERLINK("https://www.tiktok.com/@chunksmedia1","https://www.tiktok.com/@chunksmedia1")</f>
        <v>https://www.tiktok.com/@chunksmedia1</v>
      </c>
      <c r="G27" t="s">
        <v>52</v>
      </c>
      <c r="H27" t="s">
        <v>53</v>
      </c>
      <c r="I27" t="s">
        <v>56</v>
      </c>
      <c r="J27" t="s">
        <v>57</v>
      </c>
      <c r="K27" t="s">
        <v>58</v>
      </c>
      <c r="L27" t="s">
        <v>59</v>
      </c>
      <c r="M27">
        <v>10500</v>
      </c>
      <c r="N27" t="s">
        <v>55</v>
      </c>
      <c r="P27" t="s">
        <v>55</v>
      </c>
      <c r="R27" t="s">
        <v>54</v>
      </c>
      <c r="T27" t="s">
        <v>55</v>
      </c>
      <c r="X27" t="s">
        <v>55</v>
      </c>
      <c r="Z27" t="s">
        <v>54</v>
      </c>
      <c r="AB27" t="s">
        <v>55</v>
      </c>
      <c r="AD27" t="s">
        <v>55</v>
      </c>
      <c r="AF27" t="s">
        <v>55</v>
      </c>
      <c r="AH27" t="s">
        <v>55</v>
      </c>
      <c r="AJ27" t="s">
        <v>54</v>
      </c>
      <c r="AL27">
        <v>0.057</v>
      </c>
      <c r="AM27" t="s">
        <v>54</v>
      </c>
      <c r="AO27" t="s">
        <v>54</v>
      </c>
      <c r="AV27" t="s">
        <v>193</v>
      </c>
    </row>
    <row r="28" ht="25.5" customHeight="1" spans="1:49">
      <c r="A28" t="s">
        <v>195</v>
      </c>
      <c r="C28" t="s">
        <v>72</v>
      </c>
      <c r="E28" s="3" t="str">
        <f>HYPERLINK("https://app.hypeauditor.com/my-network/influencer/22684166/analytics/tiktok/mariowstech","https://app.hypeauditor.com/my-network/influencer/22684166/analytics/tiktok/mariowstech")</f>
        <v>https://app.hypeauditor.com/my-network/influencer/22684166/analytics/tiktok/mariowstech</v>
      </c>
      <c r="F28" s="3" t="str">
        <f>HYPERLINK("https://www.tiktok.com/@mariowstech","https://www.tiktok.com/@mariowstech")</f>
        <v>https://www.tiktok.com/@mariowstech</v>
      </c>
      <c r="G28" t="s">
        <v>52</v>
      </c>
      <c r="H28" t="s">
        <v>53</v>
      </c>
      <c r="I28" t="s">
        <v>56</v>
      </c>
      <c r="J28" t="s">
        <v>57</v>
      </c>
      <c r="K28" t="s">
        <v>97</v>
      </c>
      <c r="L28" t="s">
        <v>54</v>
      </c>
      <c r="M28">
        <v>5716</v>
      </c>
      <c r="N28" t="s">
        <v>55</v>
      </c>
      <c r="P28" t="s">
        <v>55</v>
      </c>
      <c r="R28" t="s">
        <v>54</v>
      </c>
      <c r="T28" t="s">
        <v>55</v>
      </c>
      <c r="X28" t="s">
        <v>55</v>
      </c>
      <c r="Z28" t="s">
        <v>54</v>
      </c>
      <c r="AB28" t="s">
        <v>55</v>
      </c>
      <c r="AD28" t="s">
        <v>55</v>
      </c>
      <c r="AF28" t="s">
        <v>55</v>
      </c>
      <c r="AH28" t="s">
        <v>55</v>
      </c>
      <c r="AJ28" t="s">
        <v>54</v>
      </c>
      <c r="AK28">
        <v>1600</v>
      </c>
      <c r="AL28">
        <v>0.0715</v>
      </c>
      <c r="AM28" t="s">
        <v>196</v>
      </c>
      <c r="AN28">
        <v>15</v>
      </c>
      <c r="AO28" t="s">
        <v>197</v>
      </c>
      <c r="AP28" t="s">
        <v>198</v>
      </c>
      <c r="AQ28" t="s">
        <v>199</v>
      </c>
      <c r="AR28" t="s">
        <v>200</v>
      </c>
      <c r="AS28" t="s">
        <v>201</v>
      </c>
      <c r="AW28" t="s">
        <v>195</v>
      </c>
    </row>
    <row r="29" ht="25.5" customHeight="1" spans="1:45">
      <c r="A29" t="s">
        <v>202</v>
      </c>
      <c r="C29" t="s">
        <v>131</v>
      </c>
      <c r="E29" s="3" t="str">
        <f>HYPERLINK("https://app.hypeauditor.com/my-network/influencer/5064066/analytics/tiktok/davidemarranon","https://app.hypeauditor.com/my-network/influencer/5064066/analytics/tiktok/davidemarranon")</f>
        <v>https://app.hypeauditor.com/my-network/influencer/5064066/analytics/tiktok/davidemarranon</v>
      </c>
      <c r="F29" s="3" t="str">
        <f>HYPERLINK("https://www.tiktok.com/@davidemarranon","https://www.tiktok.com/@davidemarranon")</f>
        <v>https://www.tiktok.com/@davidemarranon</v>
      </c>
      <c r="G29" t="s">
        <v>52</v>
      </c>
      <c r="H29" t="s">
        <v>53</v>
      </c>
      <c r="I29" t="s">
        <v>56</v>
      </c>
      <c r="J29" t="s">
        <v>57</v>
      </c>
      <c r="K29" t="s">
        <v>97</v>
      </c>
      <c r="L29" t="s">
        <v>54</v>
      </c>
      <c r="M29">
        <v>18700</v>
      </c>
      <c r="N29" t="s">
        <v>55</v>
      </c>
      <c r="P29" t="s">
        <v>55</v>
      </c>
      <c r="R29" t="s">
        <v>54</v>
      </c>
      <c r="T29" t="s">
        <v>55</v>
      </c>
      <c r="X29" t="s">
        <v>55</v>
      </c>
      <c r="Z29" t="s">
        <v>54</v>
      </c>
      <c r="AB29" t="s">
        <v>55</v>
      </c>
      <c r="AD29" t="s">
        <v>55</v>
      </c>
      <c r="AF29" t="s">
        <v>55</v>
      </c>
      <c r="AH29" t="s">
        <v>55</v>
      </c>
      <c r="AJ29" t="s">
        <v>54</v>
      </c>
      <c r="AK29">
        <v>560</v>
      </c>
      <c r="AL29">
        <v>0.0578</v>
      </c>
      <c r="AM29" t="s">
        <v>203</v>
      </c>
      <c r="AN29">
        <v>10</v>
      </c>
      <c r="AO29" t="s">
        <v>204</v>
      </c>
      <c r="AP29" t="s">
        <v>205</v>
      </c>
      <c r="AQ29" t="s">
        <v>206</v>
      </c>
      <c r="AR29" t="s">
        <v>207</v>
      </c>
      <c r="AS29" t="s">
        <v>55</v>
      </c>
    </row>
    <row r="30" ht="25.5" customHeight="1" spans="1:50">
      <c r="A30" t="s">
        <v>208</v>
      </c>
      <c r="C30" t="s">
        <v>131</v>
      </c>
      <c r="E30" s="3" t="str">
        <f>HYPERLINK("https://app.hypeauditor.com/my-network/influencer/96672/analytics/instagram/denniscastelluzzo","https://app.hypeauditor.com/my-network/influencer/96672/analytics/instagram/denniscastelluzzo")</f>
        <v>https://app.hypeauditor.com/my-network/influencer/96672/analytics/instagram/denniscastelluzzo</v>
      </c>
      <c r="F30" s="3" t="str">
        <f>HYPERLINK("https://www.instagram.com/denniscastelluzzo/","https://www.instagram.com/denniscastelluzzo/")</f>
        <v>https://www.instagram.com/denniscastelluzzo/</v>
      </c>
      <c r="G30" t="s">
        <v>52</v>
      </c>
      <c r="H30" t="s">
        <v>53</v>
      </c>
      <c r="I30" t="s">
        <v>65</v>
      </c>
      <c r="J30" t="s">
        <v>116</v>
      </c>
      <c r="K30" t="s">
        <v>97</v>
      </c>
      <c r="L30" t="s">
        <v>54</v>
      </c>
      <c r="M30">
        <v>112400</v>
      </c>
      <c r="N30" t="s">
        <v>209</v>
      </c>
      <c r="P30" t="s">
        <v>55</v>
      </c>
      <c r="R30" t="s">
        <v>54</v>
      </c>
      <c r="T30" t="s">
        <v>55</v>
      </c>
      <c r="X30" t="s">
        <v>55</v>
      </c>
      <c r="Z30" t="s">
        <v>54</v>
      </c>
      <c r="AB30" t="s">
        <v>55</v>
      </c>
      <c r="AD30" t="s">
        <v>55</v>
      </c>
      <c r="AF30" t="s">
        <v>55</v>
      </c>
      <c r="AH30" t="s">
        <v>55</v>
      </c>
      <c r="AJ30" t="s">
        <v>54</v>
      </c>
      <c r="AL30">
        <v>0.0683</v>
      </c>
      <c r="AM30" t="s">
        <v>210</v>
      </c>
      <c r="AN30">
        <v>650</v>
      </c>
      <c r="AO30" t="s">
        <v>211</v>
      </c>
      <c r="AR30" t="s">
        <v>212</v>
      </c>
      <c r="AS30" t="s">
        <v>213</v>
      </c>
      <c r="AW30" t="s">
        <v>208</v>
      </c>
      <c r="AX30" t="s">
        <v>214</v>
      </c>
    </row>
    <row r="31" ht="25.5" customHeight="1" spans="1:45">
      <c r="A31" t="s">
        <v>215</v>
      </c>
      <c r="C31" t="s">
        <v>82</v>
      </c>
      <c r="E31" s="3" t="str">
        <f>HYPERLINK("https://app.hypeauditor.com/my-network/influencer/18232175/analytics/tiktok/simomattatech","https://app.hypeauditor.com/my-network/influencer/18232175/analytics/tiktok/simomattatech")</f>
        <v>https://app.hypeauditor.com/my-network/influencer/18232175/analytics/tiktok/simomattatech</v>
      </c>
      <c r="F31" s="3" t="str">
        <f>HYPERLINK("https://www.tiktok.com/@simomattatech","https://www.tiktok.com/@simomattatech")</f>
        <v>https://www.tiktok.com/@simomattatech</v>
      </c>
      <c r="G31" t="s">
        <v>52</v>
      </c>
      <c r="H31" t="s">
        <v>53</v>
      </c>
      <c r="I31" t="s">
        <v>56</v>
      </c>
      <c r="J31" t="s">
        <v>57</v>
      </c>
      <c r="K31" t="s">
        <v>97</v>
      </c>
      <c r="L31" t="s">
        <v>54</v>
      </c>
      <c r="M31">
        <v>31600</v>
      </c>
      <c r="N31" t="s">
        <v>55</v>
      </c>
      <c r="P31" t="s">
        <v>55</v>
      </c>
      <c r="R31" t="s">
        <v>54</v>
      </c>
      <c r="T31" t="s">
        <v>55</v>
      </c>
      <c r="X31" t="s">
        <v>55</v>
      </c>
      <c r="Z31" t="s">
        <v>54</v>
      </c>
      <c r="AB31" t="s">
        <v>55</v>
      </c>
      <c r="AD31" t="s">
        <v>55</v>
      </c>
      <c r="AF31" t="s">
        <v>55</v>
      </c>
      <c r="AH31" t="s">
        <v>55</v>
      </c>
      <c r="AJ31" t="s">
        <v>54</v>
      </c>
      <c r="AK31">
        <v>19800</v>
      </c>
      <c r="AL31">
        <v>0.0147</v>
      </c>
      <c r="AM31" t="s">
        <v>216</v>
      </c>
      <c r="AN31">
        <v>100</v>
      </c>
      <c r="AO31" t="s">
        <v>217</v>
      </c>
      <c r="AP31" t="s">
        <v>218</v>
      </c>
      <c r="AQ31" t="s">
        <v>219</v>
      </c>
      <c r="AR31" t="s">
        <v>220</v>
      </c>
      <c r="AS31" t="s">
        <v>55</v>
      </c>
    </row>
    <row r="32" ht="25.5" customHeight="1" spans="1:50">
      <c r="A32" t="s">
        <v>221</v>
      </c>
      <c r="C32" t="s">
        <v>51</v>
      </c>
      <c r="E32" s="3" t="str">
        <f>HYPERLINK("https://app.hypeauditor.com/my-network/influencer/749506/analytics/tiktok/itsbiniuss","https://app.hypeauditor.com/my-network/influencer/749506/analytics/tiktok/itsbiniuss")</f>
        <v>https://app.hypeauditor.com/my-network/influencer/749506/analytics/tiktok/itsbiniuss</v>
      </c>
      <c r="F32" s="3" t="str">
        <f>HYPERLINK("https://www.tiktok.com/@itsbiniuss?lang=it-IT","https://www.tiktok.com/@itsbiniuss?lang=it-IT")</f>
        <v>https://www.tiktok.com/@itsbiniuss?lang=it-IT</v>
      </c>
      <c r="G32" t="s">
        <v>52</v>
      </c>
      <c r="H32" t="s">
        <v>53</v>
      </c>
      <c r="I32" t="s">
        <v>56</v>
      </c>
      <c r="J32" t="s">
        <v>57</v>
      </c>
      <c r="K32" t="s">
        <v>97</v>
      </c>
      <c r="L32" t="s">
        <v>54</v>
      </c>
      <c r="M32">
        <v>412100</v>
      </c>
      <c r="N32" t="s">
        <v>222</v>
      </c>
      <c r="P32" t="s">
        <v>55</v>
      </c>
      <c r="R32" t="s">
        <v>54</v>
      </c>
      <c r="T32" t="s">
        <v>55</v>
      </c>
      <c r="X32" t="s">
        <v>55</v>
      </c>
      <c r="Z32" t="s">
        <v>54</v>
      </c>
      <c r="AB32" t="s">
        <v>55</v>
      </c>
      <c r="AD32" t="s">
        <v>55</v>
      </c>
      <c r="AF32" t="s">
        <v>55</v>
      </c>
      <c r="AH32" t="s">
        <v>55</v>
      </c>
      <c r="AJ32" t="s">
        <v>54</v>
      </c>
      <c r="AK32">
        <v>15200</v>
      </c>
      <c r="AL32">
        <v>0.0624</v>
      </c>
      <c r="AM32" t="s">
        <v>223</v>
      </c>
      <c r="AN32">
        <v>800</v>
      </c>
      <c r="AO32" t="s">
        <v>224</v>
      </c>
      <c r="AP32" t="s">
        <v>225</v>
      </c>
      <c r="AQ32" t="s">
        <v>55</v>
      </c>
      <c r="AR32" t="s">
        <v>226</v>
      </c>
      <c r="AS32" t="s">
        <v>55</v>
      </c>
      <c r="AW32" t="s">
        <v>227</v>
      </c>
      <c r="AX32" t="s">
        <v>228</v>
      </c>
    </row>
    <row r="33" ht="25.5" customHeight="1" spans="1:50">
      <c r="A33" t="s">
        <v>229</v>
      </c>
      <c r="C33" t="s">
        <v>131</v>
      </c>
      <c r="E33" s="3" t="str">
        <f>HYPERLINK("https://app.hypeauditor.com/my-network/influencer/29731254/analytics/tiktok/infotricks_","https://app.hypeauditor.com/my-network/influencer/29731254/analytics/tiktok/infotricks_")</f>
        <v>https://app.hypeauditor.com/my-network/influencer/29731254/analytics/tiktok/infotricks_</v>
      </c>
      <c r="F33" s="3" t="str">
        <f>HYPERLINK("https://www.tiktok.com/@infotricks_","https://www.tiktok.com/@infotricks_")</f>
        <v>https://www.tiktok.com/@infotricks_</v>
      </c>
      <c r="G33" t="s">
        <v>52</v>
      </c>
      <c r="H33" t="s">
        <v>53</v>
      </c>
      <c r="I33" t="s">
        <v>56</v>
      </c>
      <c r="J33" t="s">
        <v>57</v>
      </c>
      <c r="K33" t="s">
        <v>97</v>
      </c>
      <c r="L33" t="s">
        <v>54</v>
      </c>
      <c r="M33">
        <v>32300</v>
      </c>
      <c r="N33" t="s">
        <v>55</v>
      </c>
      <c r="P33" t="s">
        <v>55</v>
      </c>
      <c r="R33" t="s">
        <v>54</v>
      </c>
      <c r="T33" t="s">
        <v>55</v>
      </c>
      <c r="X33" t="s">
        <v>55</v>
      </c>
      <c r="Z33" t="s">
        <v>54</v>
      </c>
      <c r="AB33" t="s">
        <v>55</v>
      </c>
      <c r="AD33" t="s">
        <v>55</v>
      </c>
      <c r="AF33" t="s">
        <v>55</v>
      </c>
      <c r="AH33" t="s">
        <v>55</v>
      </c>
      <c r="AJ33" t="s">
        <v>54</v>
      </c>
      <c r="AK33">
        <v>5300</v>
      </c>
      <c r="AL33">
        <v>0.0257</v>
      </c>
      <c r="AM33" t="s">
        <v>230</v>
      </c>
      <c r="AN33">
        <v>50</v>
      </c>
      <c r="AO33" t="s">
        <v>231</v>
      </c>
      <c r="AP33" t="s">
        <v>232</v>
      </c>
      <c r="AQ33" t="s">
        <v>233</v>
      </c>
      <c r="AR33" t="s">
        <v>234</v>
      </c>
      <c r="AS33" t="s">
        <v>55</v>
      </c>
      <c r="AW33" t="s">
        <v>235</v>
      </c>
      <c r="AX33" t="s">
        <v>236</v>
      </c>
    </row>
    <row r="34" ht="25.5" customHeight="1" spans="1:50">
      <c r="A34" t="s">
        <v>237</v>
      </c>
      <c r="C34" t="s">
        <v>82</v>
      </c>
      <c r="E34" s="3" t="str">
        <f>HYPERLINK("https://app.hypeauditor.com/my-network/influencer/12473619/analytics/tiktok/ubaldo.info","https://app.hypeauditor.com/my-network/influencer/12473619/analytics/tiktok/ubaldo.info")</f>
        <v>https://app.hypeauditor.com/my-network/influencer/12473619/analytics/tiktok/ubaldo.info</v>
      </c>
      <c r="F34" s="3" t="str">
        <f>HYPERLINK("https://www.tiktok.com/@ubaldo.info","https://www.tiktok.com/@ubaldo.info")</f>
        <v>https://www.tiktok.com/@ubaldo.info</v>
      </c>
      <c r="G34" t="s">
        <v>52</v>
      </c>
      <c r="H34" t="s">
        <v>53</v>
      </c>
      <c r="I34" t="s">
        <v>56</v>
      </c>
      <c r="J34" t="s">
        <v>57</v>
      </c>
      <c r="K34" t="s">
        <v>97</v>
      </c>
      <c r="L34" t="s">
        <v>54</v>
      </c>
      <c r="M34">
        <v>126300</v>
      </c>
      <c r="N34" t="s">
        <v>238</v>
      </c>
      <c r="P34" t="s">
        <v>55</v>
      </c>
      <c r="R34" t="s">
        <v>54</v>
      </c>
      <c r="T34" t="s">
        <v>55</v>
      </c>
      <c r="X34" t="s">
        <v>55</v>
      </c>
      <c r="Z34" t="s">
        <v>54</v>
      </c>
      <c r="AB34" t="s">
        <v>55</v>
      </c>
      <c r="AD34" t="s">
        <v>55</v>
      </c>
      <c r="AF34" t="s">
        <v>55</v>
      </c>
      <c r="AH34" t="s">
        <v>55</v>
      </c>
      <c r="AJ34" t="s">
        <v>54</v>
      </c>
      <c r="AK34">
        <v>19200</v>
      </c>
      <c r="AL34">
        <v>0.023</v>
      </c>
      <c r="AM34" t="s">
        <v>239</v>
      </c>
      <c r="AN34">
        <v>100</v>
      </c>
      <c r="AO34" t="s">
        <v>240</v>
      </c>
      <c r="AP34" t="s">
        <v>241</v>
      </c>
      <c r="AQ34" t="s">
        <v>242</v>
      </c>
      <c r="AR34" t="s">
        <v>243</v>
      </c>
      <c r="AS34" t="s">
        <v>55</v>
      </c>
      <c r="AW34" t="s">
        <v>244</v>
      </c>
      <c r="AX34" t="s">
        <v>245</v>
      </c>
    </row>
    <row r="35" ht="25.5" customHeight="1" spans="1:50">
      <c r="A35" t="s">
        <v>246</v>
      </c>
      <c r="C35" t="s">
        <v>51</v>
      </c>
      <c r="E35" s="3" t="str">
        <f>HYPERLINK("https://app.hypeauditor.com/my-network/influencer/7470469/analytics/tiktok/gianstech","https://app.hypeauditor.com/my-network/influencer/7470469/analytics/tiktok/gianstech")</f>
        <v>https://app.hypeauditor.com/my-network/influencer/7470469/analytics/tiktok/gianstech</v>
      </c>
      <c r="F35" s="3" t="str">
        <f>HYPERLINK("https://www.tiktok.com/@gianstech","https://www.tiktok.com/@gianstech")</f>
        <v>https://www.tiktok.com/@gianstech</v>
      </c>
      <c r="G35" t="s">
        <v>52</v>
      </c>
      <c r="H35" t="s">
        <v>53</v>
      </c>
      <c r="I35" t="s">
        <v>56</v>
      </c>
      <c r="J35" t="s">
        <v>57</v>
      </c>
      <c r="K35" t="s">
        <v>97</v>
      </c>
      <c r="L35" t="s">
        <v>54</v>
      </c>
      <c r="M35">
        <v>232200</v>
      </c>
      <c r="N35" t="s">
        <v>247</v>
      </c>
      <c r="P35" t="s">
        <v>55</v>
      </c>
      <c r="R35" t="s">
        <v>54</v>
      </c>
      <c r="T35" t="s">
        <v>55</v>
      </c>
      <c r="X35" t="s">
        <v>55</v>
      </c>
      <c r="Z35" t="s">
        <v>54</v>
      </c>
      <c r="AB35" t="s">
        <v>55</v>
      </c>
      <c r="AD35" t="s">
        <v>55</v>
      </c>
      <c r="AF35" t="s">
        <v>55</v>
      </c>
      <c r="AH35" t="s">
        <v>55</v>
      </c>
      <c r="AJ35" t="s">
        <v>54</v>
      </c>
      <c r="AK35">
        <v>13200</v>
      </c>
      <c r="AL35">
        <v>0.0563</v>
      </c>
      <c r="AM35" t="s">
        <v>248</v>
      </c>
      <c r="AN35">
        <v>800</v>
      </c>
      <c r="AO35" t="s">
        <v>249</v>
      </c>
      <c r="AP35" t="s">
        <v>250</v>
      </c>
      <c r="AQ35" t="s">
        <v>55</v>
      </c>
      <c r="AR35" t="s">
        <v>251</v>
      </c>
      <c r="AS35" t="s">
        <v>55</v>
      </c>
      <c r="AW35" t="s">
        <v>252</v>
      </c>
      <c r="AX35" t="s">
        <v>253</v>
      </c>
    </row>
    <row r="36" ht="25.5" customHeight="1" spans="1:50">
      <c r="A36" t="s">
        <v>254</v>
      </c>
      <c r="C36" t="s">
        <v>72</v>
      </c>
      <c r="E36" s="3" t="str">
        <f>HYPERLINK("https://app.hypeauditor.com/my-network/influencer/30254445/analytics/tiktok/bravetech.ai","https://app.hypeauditor.com/my-network/influencer/30254445/analytics/tiktok/bravetech.ai")</f>
        <v>https://app.hypeauditor.com/my-network/influencer/30254445/analytics/tiktok/bravetech.ai</v>
      </c>
      <c r="F36" s="3" t="str">
        <f>HYPERLINK("https://www.instagram.com/bravetech.ai/","https://www.instagram.com/bravetech.ai/")</f>
        <v>https://www.instagram.com/bravetech.ai/</v>
      </c>
      <c r="G36" t="s">
        <v>52</v>
      </c>
      <c r="H36" t="s">
        <v>255</v>
      </c>
      <c r="I36" t="s">
        <v>56</v>
      </c>
      <c r="K36" t="s">
        <v>58</v>
      </c>
      <c r="L36" t="s">
        <v>59</v>
      </c>
      <c r="M36">
        <v>349400</v>
      </c>
      <c r="N36" t="s">
        <v>256</v>
      </c>
      <c r="P36" t="s">
        <v>55</v>
      </c>
      <c r="R36" t="s">
        <v>54</v>
      </c>
      <c r="T36" t="s">
        <v>55</v>
      </c>
      <c r="X36" t="s">
        <v>55</v>
      </c>
      <c r="Z36" t="s">
        <v>54</v>
      </c>
      <c r="AB36" t="s">
        <v>55</v>
      </c>
      <c r="AD36" t="s">
        <v>55</v>
      </c>
      <c r="AF36" t="s">
        <v>55</v>
      </c>
      <c r="AH36" t="s">
        <v>55</v>
      </c>
      <c r="AJ36" t="s">
        <v>54</v>
      </c>
      <c r="AK36">
        <v>7500</v>
      </c>
      <c r="AL36">
        <v>0.0371</v>
      </c>
      <c r="AM36" t="s">
        <v>257</v>
      </c>
      <c r="AN36">
        <v>799</v>
      </c>
      <c r="AO36" t="s">
        <v>258</v>
      </c>
      <c r="AP36" t="s">
        <v>259</v>
      </c>
      <c r="AQ36" t="s">
        <v>55</v>
      </c>
      <c r="AR36" t="s">
        <v>260</v>
      </c>
      <c r="AS36" t="s">
        <v>55</v>
      </c>
      <c r="AW36" t="s">
        <v>261</v>
      </c>
      <c r="AX36" t="s">
        <v>262</v>
      </c>
    </row>
    <row r="37" ht="25.5" customHeight="1" spans="5:50">
      <c r="E37" s="3"/>
      <c r="F37" s="3" t="str">
        <f>HYPERLINK("https://www.instagram.com/bravetech.ai/","https://www.instagram.com/bravetech.ai/")</f>
        <v>https://www.instagram.com/bravetech.ai/</v>
      </c>
      <c r="G37" t="s">
        <v>52</v>
      </c>
      <c r="H37" t="s">
        <v>255</v>
      </c>
      <c r="I37" t="s">
        <v>65</v>
      </c>
      <c r="L37" t="s">
        <v>54</v>
      </c>
      <c r="M37">
        <v>344000</v>
      </c>
      <c r="N37" t="s">
        <v>263</v>
      </c>
      <c r="P37" t="s">
        <v>55</v>
      </c>
      <c r="R37" t="s">
        <v>54</v>
      </c>
      <c r="T37" t="s">
        <v>55</v>
      </c>
      <c r="X37" t="s">
        <v>55</v>
      </c>
      <c r="Z37" t="s">
        <v>54</v>
      </c>
      <c r="AB37" t="s">
        <v>55</v>
      </c>
      <c r="AD37" t="s">
        <v>55</v>
      </c>
      <c r="AF37" t="s">
        <v>55</v>
      </c>
      <c r="AH37" t="s">
        <v>55</v>
      </c>
      <c r="AJ37" t="s">
        <v>54</v>
      </c>
      <c r="AK37">
        <v>26200</v>
      </c>
      <c r="AL37">
        <v>0.0018</v>
      </c>
      <c r="AM37" t="s">
        <v>264</v>
      </c>
      <c r="AN37">
        <v>200</v>
      </c>
      <c r="AO37" t="s">
        <v>265</v>
      </c>
      <c r="AP37" t="s">
        <v>220</v>
      </c>
      <c r="AQ37" t="s">
        <v>266</v>
      </c>
      <c r="AR37" t="s">
        <v>267</v>
      </c>
      <c r="AS37" t="s">
        <v>55</v>
      </c>
      <c r="AV37" t="s">
        <v>254</v>
      </c>
      <c r="AW37" t="s">
        <v>261</v>
      </c>
      <c r="AX37" t="s">
        <v>262</v>
      </c>
    </row>
    <row r="38" ht="25.5" customHeight="1" spans="1:50">
      <c r="A38" t="s">
        <v>268</v>
      </c>
      <c r="C38" t="s">
        <v>144</v>
      </c>
      <c r="E38" s="3" t="str">
        <f>HYPERLINK("https://app.hypeauditor.com/my-network/influencer/384673/analytics/youtube/UCHbx9IUW7eCeJsC4sBCTNBA","https://app.hypeauditor.com/my-network/influencer/384673/analytics/youtube/UCHbx9IUW7eCeJsC4sBCTNBA")</f>
        <v>https://app.hypeauditor.com/my-network/influencer/384673/analytics/youtube/UCHbx9IUW7eCeJsC4sBCTNBA</v>
      </c>
      <c r="F38" s="3" t="str">
        <f>HYPERLINK("https://www.youtube.com/@iFixitYourself","https://www.youtube.com/@iFixitYourself")</f>
        <v>https://www.youtube.com/@iFixitYourself</v>
      </c>
      <c r="G38" t="s">
        <v>52</v>
      </c>
      <c r="H38" t="s">
        <v>255</v>
      </c>
      <c r="I38" t="s">
        <v>269</v>
      </c>
      <c r="K38" t="s">
        <v>58</v>
      </c>
      <c r="L38" t="s">
        <v>59</v>
      </c>
      <c r="M38">
        <v>1150000</v>
      </c>
      <c r="N38" t="s">
        <v>270</v>
      </c>
      <c r="P38" t="s">
        <v>55</v>
      </c>
      <c r="R38" t="s">
        <v>54</v>
      </c>
      <c r="T38" t="s">
        <v>55</v>
      </c>
      <c r="X38" t="s">
        <v>55</v>
      </c>
      <c r="Z38" t="s">
        <v>54</v>
      </c>
      <c r="AB38" t="s">
        <v>55</v>
      </c>
      <c r="AD38" t="s">
        <v>55</v>
      </c>
      <c r="AF38" t="s">
        <v>55</v>
      </c>
      <c r="AH38" t="s">
        <v>55</v>
      </c>
      <c r="AJ38" t="s">
        <v>54</v>
      </c>
      <c r="AM38" t="s">
        <v>54</v>
      </c>
      <c r="AO38" t="s">
        <v>54</v>
      </c>
      <c r="AW38" t="s">
        <v>268</v>
      </c>
      <c r="AX38" t="s">
        <v>271</v>
      </c>
    </row>
    <row r="39" ht="25.5" customHeight="1" spans="1:41">
      <c r="A39" t="s">
        <v>272</v>
      </c>
      <c r="C39" t="s">
        <v>144</v>
      </c>
      <c r="E39" s="3" t="str">
        <f>HYPERLINK("https://app.hypeauditor.com/my-network/influencer/622444/analytics/instagram/kajabi","https://app.hypeauditor.com/my-network/influencer/622444/analytics/instagram/kajabi")</f>
        <v>https://app.hypeauditor.com/my-network/influencer/622444/analytics/instagram/kajabi</v>
      </c>
      <c r="F39" s="3" t="str">
        <f>HYPERLINK("https://www.instagram.com/kajabi/","https://www.instagram.com/kajabi/")</f>
        <v>https://www.instagram.com/kajabi/</v>
      </c>
      <c r="G39" t="s">
        <v>52</v>
      </c>
      <c r="H39" t="s">
        <v>255</v>
      </c>
      <c r="I39" t="s">
        <v>65</v>
      </c>
      <c r="K39" t="s">
        <v>58</v>
      </c>
      <c r="L39" t="s">
        <v>59</v>
      </c>
      <c r="M39">
        <v>99500</v>
      </c>
      <c r="N39" t="s">
        <v>55</v>
      </c>
      <c r="P39" t="s">
        <v>55</v>
      </c>
      <c r="R39" t="s">
        <v>54</v>
      </c>
      <c r="T39" t="s">
        <v>55</v>
      </c>
      <c r="X39" t="s">
        <v>55</v>
      </c>
      <c r="Z39" t="s">
        <v>54</v>
      </c>
      <c r="AB39" t="s">
        <v>55</v>
      </c>
      <c r="AD39" t="s">
        <v>55</v>
      </c>
      <c r="AF39" t="s">
        <v>55</v>
      </c>
      <c r="AH39" t="s">
        <v>55</v>
      </c>
      <c r="AJ39" t="s">
        <v>54</v>
      </c>
      <c r="AM39" t="s">
        <v>54</v>
      </c>
      <c r="AO39" t="s">
        <v>54</v>
      </c>
    </row>
    <row r="40" ht="25.5" customHeight="1" spans="1:50">
      <c r="A40" t="s">
        <v>273</v>
      </c>
      <c r="C40" t="s">
        <v>72</v>
      </c>
      <c r="E40" s="3" t="str">
        <f>HYPERLINK("https://app.hypeauditor.com/my-network/influencer/595770/analytics/instagram/thejeremymura","https://app.hypeauditor.com/my-network/influencer/595770/analytics/instagram/thejeremymura")</f>
        <v>https://app.hypeauditor.com/my-network/influencer/595770/analytics/instagram/thejeremymura</v>
      </c>
      <c r="F40" s="3" t="str">
        <f>HYPERLINK("https://www.instagram.com/thejeremymura/","https://www.instagram.com/thejeremymura/")</f>
        <v>https://www.instagram.com/thejeremymura/</v>
      </c>
      <c r="G40" t="s">
        <v>52</v>
      </c>
      <c r="H40" t="s">
        <v>255</v>
      </c>
      <c r="I40" t="s">
        <v>65</v>
      </c>
      <c r="K40" t="s">
        <v>58</v>
      </c>
      <c r="L40" t="s">
        <v>59</v>
      </c>
      <c r="M40">
        <v>102300</v>
      </c>
      <c r="N40" t="s">
        <v>274</v>
      </c>
      <c r="P40" t="s">
        <v>55</v>
      </c>
      <c r="R40" t="s">
        <v>54</v>
      </c>
      <c r="T40" t="s">
        <v>55</v>
      </c>
      <c r="X40" t="s">
        <v>55</v>
      </c>
      <c r="Z40" t="s">
        <v>54</v>
      </c>
      <c r="AB40" t="s">
        <v>55</v>
      </c>
      <c r="AD40" t="s">
        <v>55</v>
      </c>
      <c r="AF40" t="s">
        <v>55</v>
      </c>
      <c r="AH40" t="s">
        <v>55</v>
      </c>
      <c r="AJ40" t="s">
        <v>54</v>
      </c>
      <c r="AM40" t="s">
        <v>54</v>
      </c>
      <c r="AO40" t="s">
        <v>54</v>
      </c>
      <c r="AW40" t="s">
        <v>273</v>
      </c>
      <c r="AX40" t="s">
        <v>275</v>
      </c>
    </row>
    <row r="41" ht="25.5" customHeight="1" spans="1:50">
      <c r="A41" t="s">
        <v>276</v>
      </c>
      <c r="C41" t="s">
        <v>144</v>
      </c>
      <c r="E41" s="3" t="str">
        <f>HYPERLINK("https://app.hypeauditor.com/my-network/influencer/958466/analytics/youtube/UCZNhwA1B5YqiY1nLzmM0ZRg","https://app.hypeauditor.com/my-network/influencer/958466/analytics/youtube/UCZNhwA1B5YqiY1nLzmM0ZRg")</f>
        <v>https://app.hypeauditor.com/my-network/influencer/958466/analytics/youtube/UCZNhwA1B5YqiY1nLzmM0ZRg</v>
      </c>
      <c r="F41" s="3" t="str">
        <f>HYPERLINK("https://www.youtube.com/@christianlempa/shorts","https://www.youtube.com/@christianlempa/shorts")</f>
        <v>https://www.youtube.com/@christianlempa/shorts</v>
      </c>
      <c r="G41" t="s">
        <v>52</v>
      </c>
      <c r="H41" t="s">
        <v>255</v>
      </c>
      <c r="I41" t="s">
        <v>269</v>
      </c>
      <c r="K41" t="s">
        <v>89</v>
      </c>
      <c r="L41" t="s">
        <v>54</v>
      </c>
      <c r="M41">
        <v>226500</v>
      </c>
      <c r="N41" t="s">
        <v>277</v>
      </c>
      <c r="P41" t="s">
        <v>55</v>
      </c>
      <c r="R41" t="s">
        <v>54</v>
      </c>
      <c r="T41" t="s">
        <v>55</v>
      </c>
      <c r="X41" t="s">
        <v>55</v>
      </c>
      <c r="Z41" t="s">
        <v>54</v>
      </c>
      <c r="AB41" t="s">
        <v>55</v>
      </c>
      <c r="AD41" t="s">
        <v>55</v>
      </c>
      <c r="AF41" t="s">
        <v>55</v>
      </c>
      <c r="AH41" t="s">
        <v>55</v>
      </c>
      <c r="AJ41" t="s">
        <v>54</v>
      </c>
      <c r="AM41" t="s">
        <v>54</v>
      </c>
      <c r="AO41" t="s">
        <v>54</v>
      </c>
      <c r="AW41" t="s">
        <v>276</v>
      </c>
      <c r="AX41" t="s">
        <v>278</v>
      </c>
    </row>
    <row r="42" ht="25.5" customHeight="1" spans="1:41">
      <c r="A42" t="s">
        <v>279</v>
      </c>
      <c r="C42" t="s">
        <v>144</v>
      </c>
      <c r="E42" s="3" t="str">
        <f>HYPERLINK("https://app.hypeauditor.com/my-network/influencer/14414338/analytics/youtube/UCIXcpwAsd6uO6PQ7VaMbXpg","https://app.hypeauditor.com/my-network/influencer/14414338/analytics/youtube/UCIXcpwAsd6uO6PQ7VaMbXpg")</f>
        <v>https://app.hypeauditor.com/my-network/influencer/14414338/analytics/youtube/UCIXcpwAsd6uO6PQ7VaMbXpg</v>
      </c>
      <c r="F42" s="3" t="str">
        <f>HYPERLINK("https://www.youtube.com/@DrNancyLi/videos","https://www.youtube.com/@DrNancyLi/videos")</f>
        <v>https://www.youtube.com/@DrNancyLi/videos</v>
      </c>
      <c r="G42" t="s">
        <v>52</v>
      </c>
      <c r="H42" t="s">
        <v>255</v>
      </c>
      <c r="I42" t="s">
        <v>269</v>
      </c>
      <c r="K42" t="s">
        <v>58</v>
      </c>
      <c r="L42" t="s">
        <v>59</v>
      </c>
      <c r="M42">
        <v>29100</v>
      </c>
      <c r="N42" t="s">
        <v>55</v>
      </c>
      <c r="P42" t="s">
        <v>55</v>
      </c>
      <c r="R42" t="s">
        <v>54</v>
      </c>
      <c r="T42" t="s">
        <v>55</v>
      </c>
      <c r="X42" t="s">
        <v>55</v>
      </c>
      <c r="Z42" t="s">
        <v>54</v>
      </c>
      <c r="AB42" t="s">
        <v>55</v>
      </c>
      <c r="AD42" t="s">
        <v>55</v>
      </c>
      <c r="AF42" t="s">
        <v>55</v>
      </c>
      <c r="AH42" t="s">
        <v>55</v>
      </c>
      <c r="AJ42" t="s">
        <v>54</v>
      </c>
      <c r="AM42" t="s">
        <v>54</v>
      </c>
      <c r="AN42">
        <v>2500</v>
      </c>
      <c r="AO42" t="s">
        <v>54</v>
      </c>
    </row>
    <row r="43" ht="25.5" customHeight="1" spans="1:41">
      <c r="A43" t="s">
        <v>280</v>
      </c>
      <c r="C43" t="s">
        <v>144</v>
      </c>
      <c r="E43" s="3" t="str">
        <f>HYPERLINK("https://app.hypeauditor.com/my-network/influencer/22576032/analytics/youtube/UCJu5ox1tpF2GTDpR_VKiOmg","https://app.hypeauditor.com/my-network/influencer/22576032/analytics/youtube/UCJu5ox1tpF2GTDpR_VKiOmg")</f>
        <v>https://app.hypeauditor.com/my-network/influencer/22576032/analytics/youtube/UCJu5ox1tpF2GTDpR_VKiOmg</v>
      </c>
      <c r="F43" s="3" t="str">
        <f>HYPERLINK("https://www.youtube.com/@denizsancar/videos","https://www.youtube.com/@denizsancar/videos")</f>
        <v>https://www.youtube.com/@denizsancar/videos</v>
      </c>
      <c r="G43" t="s">
        <v>52</v>
      </c>
      <c r="H43" t="s">
        <v>255</v>
      </c>
      <c r="I43" t="s">
        <v>269</v>
      </c>
      <c r="K43" t="s">
        <v>58</v>
      </c>
      <c r="L43" t="s">
        <v>59</v>
      </c>
      <c r="M43">
        <v>20200</v>
      </c>
      <c r="N43" t="s">
        <v>55</v>
      </c>
      <c r="P43" t="s">
        <v>55</v>
      </c>
      <c r="R43" t="s">
        <v>54</v>
      </c>
      <c r="T43" t="s">
        <v>55</v>
      </c>
      <c r="X43" t="s">
        <v>55</v>
      </c>
      <c r="Z43" t="s">
        <v>54</v>
      </c>
      <c r="AB43" t="s">
        <v>55</v>
      </c>
      <c r="AD43" t="s">
        <v>55</v>
      </c>
      <c r="AF43" t="s">
        <v>55</v>
      </c>
      <c r="AH43" t="s">
        <v>55</v>
      </c>
      <c r="AJ43" t="s">
        <v>54</v>
      </c>
      <c r="AM43" t="s">
        <v>54</v>
      </c>
      <c r="AO43" t="s">
        <v>54</v>
      </c>
    </row>
    <row r="44" ht="25.5" customHeight="1" spans="1:41">
      <c r="A44" t="s">
        <v>281</v>
      </c>
      <c r="C44" t="s">
        <v>144</v>
      </c>
      <c r="E44" s="3" t="str">
        <f>HYPERLINK("https://app.hypeauditor.com/my-network/influencer/13091544/analytics/youtube/UCGN2Yq9lT0hz87s-3CDe_Fw","https://app.hypeauditor.com/my-network/influencer/13091544/analytics/youtube/UCGN2Yq9lT0hz87s-3CDe_Fw")</f>
        <v>https://app.hypeauditor.com/my-network/influencer/13091544/analytics/youtube/UCGN2Yq9lT0hz87s-3CDe_Fw</v>
      </c>
      <c r="F44" s="3" t="str">
        <f>HYPERLINK("https://www.youtube.com/@KeenyaKelly","https://www.youtube.com/@KeenyaKelly")</f>
        <v>https://www.youtube.com/@KeenyaKelly</v>
      </c>
      <c r="G44" t="s">
        <v>52</v>
      </c>
      <c r="H44" t="s">
        <v>255</v>
      </c>
      <c r="I44" t="s">
        <v>269</v>
      </c>
      <c r="K44" t="s">
        <v>58</v>
      </c>
      <c r="L44" t="s">
        <v>59</v>
      </c>
      <c r="M44">
        <v>7100</v>
      </c>
      <c r="N44" t="s">
        <v>55</v>
      </c>
      <c r="P44" t="s">
        <v>55</v>
      </c>
      <c r="R44" t="s">
        <v>54</v>
      </c>
      <c r="T44" t="s">
        <v>55</v>
      </c>
      <c r="X44" t="s">
        <v>55</v>
      </c>
      <c r="Z44" t="s">
        <v>54</v>
      </c>
      <c r="AB44" t="s">
        <v>55</v>
      </c>
      <c r="AD44" t="s">
        <v>55</v>
      </c>
      <c r="AF44" t="s">
        <v>55</v>
      </c>
      <c r="AH44" t="s">
        <v>55</v>
      </c>
      <c r="AJ44" t="s">
        <v>54</v>
      </c>
      <c r="AM44" t="s">
        <v>54</v>
      </c>
      <c r="AO44" t="s">
        <v>54</v>
      </c>
    </row>
    <row r="45" ht="25.5" customHeight="1" spans="1:50">
      <c r="A45" t="s">
        <v>282</v>
      </c>
      <c r="C45" t="s">
        <v>144</v>
      </c>
      <c r="E45" s="3" t="str">
        <f>HYPERLINK("https://app.hypeauditor.com/my-network/influencer/31130997/analytics/youtube/UCxwUS6Ubdt-_VKOMZwyqVOg","https://app.hypeauditor.com/my-network/influencer/31130997/analytics/youtube/UCxwUS6Ubdt-_VKOMZwyqVOg")</f>
        <v>https://app.hypeauditor.com/my-network/influencer/31130997/analytics/youtube/UCxwUS6Ubdt-_VKOMZwyqVOg</v>
      </c>
      <c r="F45" s="3" t="str">
        <f>HYPERLINK("https://www.youtube.com/@clovakStudioai/videos","https://www.youtube.com/@clovakStudioai/videos")</f>
        <v>https://www.youtube.com/@clovakStudioai/videos</v>
      </c>
      <c r="G45" t="s">
        <v>52</v>
      </c>
      <c r="H45" t="s">
        <v>255</v>
      </c>
      <c r="I45" t="s">
        <v>269</v>
      </c>
      <c r="K45" t="s">
        <v>58</v>
      </c>
      <c r="L45" t="s">
        <v>59</v>
      </c>
      <c r="M45">
        <v>6400</v>
      </c>
      <c r="N45" t="s">
        <v>55</v>
      </c>
      <c r="P45" t="s">
        <v>55</v>
      </c>
      <c r="R45" t="s">
        <v>54</v>
      </c>
      <c r="T45" t="s">
        <v>55</v>
      </c>
      <c r="X45" t="s">
        <v>55</v>
      </c>
      <c r="Z45" t="s">
        <v>54</v>
      </c>
      <c r="AB45" t="s">
        <v>55</v>
      </c>
      <c r="AD45" t="s">
        <v>55</v>
      </c>
      <c r="AF45" t="s">
        <v>55</v>
      </c>
      <c r="AH45" t="s">
        <v>55</v>
      </c>
      <c r="AJ45" t="s">
        <v>54</v>
      </c>
      <c r="AM45" t="s">
        <v>54</v>
      </c>
      <c r="AN45">
        <v>250</v>
      </c>
      <c r="AO45" t="s">
        <v>54</v>
      </c>
      <c r="AW45" t="s">
        <v>282</v>
      </c>
      <c r="AX45" t="s">
        <v>283</v>
      </c>
    </row>
    <row r="46" ht="25.5" customHeight="1" spans="1:45">
      <c r="A46" t="s">
        <v>284</v>
      </c>
      <c r="C46" t="s">
        <v>72</v>
      </c>
      <c r="E46" s="3" t="str">
        <f>HYPERLINK("https://app.hypeauditor.com/my-network/influencer/31081311/analytics/instagram/bravetech.ai","https://app.hypeauditor.com/my-network/influencer/31081311/analytics/instagram/bravetech.ai")</f>
        <v>https://app.hypeauditor.com/my-network/influencer/31081311/analytics/instagram/bravetech.ai</v>
      </c>
      <c r="F46" s="3" t="str">
        <f>HYPERLINK("https://www.instagram.com/bravetech.ai/reels/","https://www.instagram.com/bravetech.ai/reels/")</f>
        <v>https://www.instagram.com/bravetech.ai/reels/</v>
      </c>
      <c r="G46" t="s">
        <v>52</v>
      </c>
      <c r="H46" t="s">
        <v>255</v>
      </c>
      <c r="I46" t="s">
        <v>65</v>
      </c>
      <c r="K46" t="s">
        <v>58</v>
      </c>
      <c r="L46" t="s">
        <v>59</v>
      </c>
      <c r="M46">
        <v>342100</v>
      </c>
      <c r="N46" t="s">
        <v>285</v>
      </c>
      <c r="P46" t="s">
        <v>55</v>
      </c>
      <c r="R46" t="s">
        <v>54</v>
      </c>
      <c r="T46" t="s">
        <v>55</v>
      </c>
      <c r="X46" t="s">
        <v>55</v>
      </c>
      <c r="Z46" t="s">
        <v>54</v>
      </c>
      <c r="AB46" t="s">
        <v>55</v>
      </c>
      <c r="AD46" t="s">
        <v>55</v>
      </c>
      <c r="AF46" t="s">
        <v>55</v>
      </c>
      <c r="AH46" t="s">
        <v>55</v>
      </c>
      <c r="AJ46" t="s">
        <v>54</v>
      </c>
      <c r="AK46">
        <v>22000</v>
      </c>
      <c r="AL46">
        <v>0.0017</v>
      </c>
      <c r="AM46" t="s">
        <v>286</v>
      </c>
      <c r="AN46">
        <v>799</v>
      </c>
      <c r="AO46" t="s">
        <v>287</v>
      </c>
      <c r="AP46" t="s">
        <v>288</v>
      </c>
      <c r="AQ46" t="s">
        <v>55</v>
      </c>
      <c r="AR46" t="s">
        <v>289</v>
      </c>
      <c r="AS46" t="s">
        <v>55</v>
      </c>
    </row>
    <row r="47" ht="25.5" customHeight="1" spans="1:50">
      <c r="A47" t="s">
        <v>290</v>
      </c>
      <c r="C47" t="s">
        <v>144</v>
      </c>
      <c r="E47" s="3" t="str">
        <f>HYPERLINK("https://app.hypeauditor.com/my-network/influencer/13928562/analytics/youtube/UCpPmrbnoicvhkGRiYLoi8WA","https://app.hypeauditor.com/my-network/influencer/13928562/analytics/youtube/UCpPmrbnoicvhkGRiYLoi8WA")</f>
        <v>https://app.hypeauditor.com/my-network/influencer/13928562/analytics/youtube/UCpPmrbnoicvhkGRiYLoi8WA</v>
      </c>
      <c r="F47" s="3" t="str">
        <f>HYPERLINK("https://www.youtube.com/@Veraxity/videos","https://www.youtube.com/@Veraxity/videos")</f>
        <v>https://www.youtube.com/@Veraxity/videos</v>
      </c>
      <c r="G47" t="s">
        <v>52</v>
      </c>
      <c r="H47" t="s">
        <v>255</v>
      </c>
      <c r="I47" t="s">
        <v>269</v>
      </c>
      <c r="K47" t="s">
        <v>58</v>
      </c>
      <c r="L47" t="s">
        <v>59</v>
      </c>
      <c r="M47">
        <v>469400</v>
      </c>
      <c r="N47" t="s">
        <v>291</v>
      </c>
      <c r="P47" t="s">
        <v>55</v>
      </c>
      <c r="R47" t="s">
        <v>54</v>
      </c>
      <c r="T47" t="s">
        <v>55</v>
      </c>
      <c r="X47" t="s">
        <v>55</v>
      </c>
      <c r="Z47" t="s">
        <v>54</v>
      </c>
      <c r="AB47" t="s">
        <v>55</v>
      </c>
      <c r="AD47" t="s">
        <v>55</v>
      </c>
      <c r="AF47" t="s">
        <v>55</v>
      </c>
      <c r="AH47" t="s">
        <v>55</v>
      </c>
      <c r="AJ47" t="s">
        <v>54</v>
      </c>
      <c r="AM47" t="s">
        <v>54</v>
      </c>
      <c r="AN47">
        <v>350</v>
      </c>
      <c r="AO47" t="s">
        <v>54</v>
      </c>
      <c r="AW47" t="s">
        <v>290</v>
      </c>
      <c r="AX47" t="s">
        <v>292</v>
      </c>
    </row>
    <row r="48" ht="25.5" customHeight="1" spans="1:45">
      <c r="A48" t="s">
        <v>293</v>
      </c>
      <c r="C48" t="s">
        <v>72</v>
      </c>
      <c r="E48" s="3" t="str">
        <f>HYPERLINK("https://app.hypeauditor.com/my-network/influencer/29128766/analytics/instagram/ninjaaitools","https://app.hypeauditor.com/my-network/influencer/29128766/analytics/instagram/ninjaaitools")</f>
        <v>https://app.hypeauditor.com/my-network/influencer/29128766/analytics/instagram/ninjaaitools</v>
      </c>
      <c r="F48" s="3" t="str">
        <f>HYPERLINK("https://www.instagram.com/ninjaaitools/","https://www.instagram.com/ninjaaitools/")</f>
        <v>https://www.instagram.com/ninjaaitools/</v>
      </c>
      <c r="G48" t="s">
        <v>52</v>
      </c>
      <c r="H48" t="s">
        <v>255</v>
      </c>
      <c r="I48" t="s">
        <v>65</v>
      </c>
      <c r="J48" t="s">
        <v>116</v>
      </c>
      <c r="K48" t="s">
        <v>58</v>
      </c>
      <c r="L48" t="s">
        <v>59</v>
      </c>
      <c r="M48">
        <v>192400</v>
      </c>
      <c r="N48" t="s">
        <v>294</v>
      </c>
      <c r="P48" t="s">
        <v>55</v>
      </c>
      <c r="R48" t="s">
        <v>54</v>
      </c>
      <c r="T48" t="s">
        <v>55</v>
      </c>
      <c r="X48" t="s">
        <v>55</v>
      </c>
      <c r="Z48" t="s">
        <v>54</v>
      </c>
      <c r="AB48" t="s">
        <v>55</v>
      </c>
      <c r="AD48" t="s">
        <v>55</v>
      </c>
      <c r="AF48" t="s">
        <v>55</v>
      </c>
      <c r="AH48" t="s">
        <v>55</v>
      </c>
      <c r="AJ48" t="s">
        <v>54</v>
      </c>
      <c r="AK48">
        <v>4800</v>
      </c>
      <c r="AL48">
        <v>0.0018</v>
      </c>
      <c r="AM48" t="s">
        <v>295</v>
      </c>
      <c r="AN48">
        <v>300</v>
      </c>
      <c r="AO48" t="s">
        <v>296</v>
      </c>
      <c r="AP48" t="s">
        <v>297</v>
      </c>
      <c r="AQ48" t="s">
        <v>55</v>
      </c>
      <c r="AR48" t="s">
        <v>298</v>
      </c>
      <c r="AS48" t="s">
        <v>55</v>
      </c>
    </row>
    <row r="49" ht="25.5" customHeight="1" spans="5:49">
      <c r="E49" s="3" t="str">
        <f>HYPERLINK("https://app.hypeauditor.com/my-network/influencer/28663867/analytics/tiktok/ninjaaitools","https://app.hypeauditor.com/my-network/influencer/28663867/analytics/tiktok/ninjaaitools")</f>
        <v>https://app.hypeauditor.com/my-network/influencer/28663867/analytics/tiktok/ninjaaitools</v>
      </c>
      <c r="F49" s="3" t="str">
        <f>HYPERLINK("https://www.tiktok.com/@ninjaaitools","https://www.tiktok.com/@ninjaaitools")</f>
        <v>https://www.tiktok.com/@ninjaaitools</v>
      </c>
      <c r="G49" t="s">
        <v>52</v>
      </c>
      <c r="H49" t="s">
        <v>255</v>
      </c>
      <c r="I49" t="s">
        <v>56</v>
      </c>
      <c r="J49" t="s">
        <v>57</v>
      </c>
      <c r="L49" t="s">
        <v>54</v>
      </c>
      <c r="M49">
        <v>5700</v>
      </c>
      <c r="N49" t="s">
        <v>55</v>
      </c>
      <c r="P49" t="s">
        <v>55</v>
      </c>
      <c r="R49" t="s">
        <v>54</v>
      </c>
      <c r="T49" t="s">
        <v>55</v>
      </c>
      <c r="X49" t="s">
        <v>55</v>
      </c>
      <c r="Z49" t="s">
        <v>54</v>
      </c>
      <c r="AB49" t="s">
        <v>55</v>
      </c>
      <c r="AD49" t="s">
        <v>55</v>
      </c>
      <c r="AF49" t="s">
        <v>55</v>
      </c>
      <c r="AH49" t="s">
        <v>55</v>
      </c>
      <c r="AJ49" t="s">
        <v>54</v>
      </c>
      <c r="AK49">
        <v>681</v>
      </c>
      <c r="AL49">
        <v>0.0291</v>
      </c>
      <c r="AM49" t="s">
        <v>299</v>
      </c>
      <c r="AO49" t="s">
        <v>300</v>
      </c>
      <c r="AP49" t="s">
        <v>184</v>
      </c>
      <c r="AQ49" t="s">
        <v>185</v>
      </c>
      <c r="AR49" t="s">
        <v>184</v>
      </c>
      <c r="AS49" t="s">
        <v>185</v>
      </c>
      <c r="AV49" t="s">
        <v>293</v>
      </c>
      <c r="AW49" t="s">
        <v>301</v>
      </c>
    </row>
    <row r="50" ht="25.5" customHeight="1" spans="1:50">
      <c r="A50" t="s">
        <v>302</v>
      </c>
      <c r="C50" t="s">
        <v>72</v>
      </c>
      <c r="E50" s="3" t="str">
        <f>HYPERLINK("https://app.hypeauditor.com/my-network/influencer/6718148/analytics/instagram/soyadrian.ramirez","https://app.hypeauditor.com/my-network/influencer/6718148/analytics/instagram/soyadrian.ramirez")</f>
        <v>https://app.hypeauditor.com/my-network/influencer/6718148/analytics/instagram/soyadrian.ramirez</v>
      </c>
      <c r="F50" s="3" t="str">
        <f>HYPERLINK("https://www.instagram.com/soyadrian.ramirez/","https://www.instagram.com/soyadrian.ramirez/")</f>
        <v>https://www.instagram.com/soyadrian.ramirez/</v>
      </c>
      <c r="G50" t="s">
        <v>52</v>
      </c>
      <c r="H50" t="s">
        <v>255</v>
      </c>
      <c r="I50" t="s">
        <v>65</v>
      </c>
      <c r="K50" t="s">
        <v>97</v>
      </c>
      <c r="L50" t="s">
        <v>54</v>
      </c>
      <c r="M50">
        <v>167600</v>
      </c>
      <c r="N50" t="s">
        <v>303</v>
      </c>
      <c r="P50" t="s">
        <v>55</v>
      </c>
      <c r="R50" t="s">
        <v>54</v>
      </c>
      <c r="T50" t="s">
        <v>55</v>
      </c>
      <c r="X50" t="s">
        <v>55</v>
      </c>
      <c r="Z50" t="s">
        <v>54</v>
      </c>
      <c r="AB50" t="s">
        <v>55</v>
      </c>
      <c r="AD50" t="s">
        <v>55</v>
      </c>
      <c r="AF50" t="s">
        <v>55</v>
      </c>
      <c r="AH50" t="s">
        <v>55</v>
      </c>
      <c r="AJ50" t="s">
        <v>54</v>
      </c>
      <c r="AK50">
        <v>53500</v>
      </c>
      <c r="AL50">
        <v>0.0067</v>
      </c>
      <c r="AM50" t="s">
        <v>304</v>
      </c>
      <c r="AN50">
        <v>50</v>
      </c>
      <c r="AO50" t="s">
        <v>305</v>
      </c>
      <c r="AP50" t="s">
        <v>306</v>
      </c>
      <c r="AQ50" t="s">
        <v>307</v>
      </c>
      <c r="AR50" t="s">
        <v>308</v>
      </c>
      <c r="AS50" t="s">
        <v>309</v>
      </c>
      <c r="AW50" t="s">
        <v>310</v>
      </c>
      <c r="AX50" t="s">
        <v>311</v>
      </c>
    </row>
    <row r="51" ht="25.5" customHeight="1" spans="5:49">
      <c r="E51" s="3" t="str">
        <f>HYPERLINK("https://app.hypeauditor.com/my-network/influencer/12335126/analytics/tiktok/soyadrianramirez","https://app.hypeauditor.com/my-network/influencer/12335126/analytics/tiktok/soyadrianramirez")</f>
        <v>https://app.hypeauditor.com/my-network/influencer/12335126/analytics/tiktok/soyadrianramirez</v>
      </c>
      <c r="F51" s="3" t="str">
        <f>HYPERLINK("https://www.tiktok.com/@soyadrianramirez","https://www.tiktok.com/@soyadrianramirez")</f>
        <v>https://www.tiktok.com/@soyadrianramirez</v>
      </c>
      <c r="G51" t="s">
        <v>52</v>
      </c>
      <c r="H51" t="s">
        <v>255</v>
      </c>
      <c r="I51" t="s">
        <v>56</v>
      </c>
      <c r="L51" t="s">
        <v>54</v>
      </c>
      <c r="M51">
        <v>395100</v>
      </c>
      <c r="N51" t="s">
        <v>312</v>
      </c>
      <c r="P51" t="s">
        <v>55</v>
      </c>
      <c r="R51" t="s">
        <v>54</v>
      </c>
      <c r="T51" t="s">
        <v>55</v>
      </c>
      <c r="X51" t="s">
        <v>55</v>
      </c>
      <c r="Z51" t="s">
        <v>54</v>
      </c>
      <c r="AB51" t="s">
        <v>55</v>
      </c>
      <c r="AD51" t="s">
        <v>55</v>
      </c>
      <c r="AF51" t="s">
        <v>55</v>
      </c>
      <c r="AH51" t="s">
        <v>55</v>
      </c>
      <c r="AJ51" t="s">
        <v>54</v>
      </c>
      <c r="AK51">
        <v>68500</v>
      </c>
      <c r="AL51">
        <v>0.045</v>
      </c>
      <c r="AM51" t="s">
        <v>313</v>
      </c>
      <c r="AO51" t="s">
        <v>314</v>
      </c>
      <c r="AP51" t="s">
        <v>184</v>
      </c>
      <c r="AQ51" t="s">
        <v>185</v>
      </c>
      <c r="AR51" t="s">
        <v>184</v>
      </c>
      <c r="AS51" t="s">
        <v>185</v>
      </c>
      <c r="AV51" t="s">
        <v>302</v>
      </c>
      <c r="AW51" t="s">
        <v>315</v>
      </c>
    </row>
    <row r="52" ht="25.5" customHeight="1" spans="5:48">
      <c r="E52" s="3"/>
      <c r="F52" s="3" t="str">
        <f>HYPERLINK("https://www.youtube.com/@dmasteroficial","https://www.youtube.com/@dmasteroficial")</f>
        <v>https://www.youtube.com/@dmasteroficial</v>
      </c>
      <c r="G52" t="s">
        <v>52</v>
      </c>
      <c r="H52" t="s">
        <v>255</v>
      </c>
      <c r="I52" t="s">
        <v>269</v>
      </c>
      <c r="L52" t="s">
        <v>54</v>
      </c>
      <c r="M52">
        <v>5660</v>
      </c>
      <c r="N52" t="s">
        <v>55</v>
      </c>
      <c r="P52" t="s">
        <v>55</v>
      </c>
      <c r="R52" t="s">
        <v>54</v>
      </c>
      <c r="T52" t="s">
        <v>55</v>
      </c>
      <c r="X52" t="s">
        <v>55</v>
      </c>
      <c r="Z52" t="s">
        <v>54</v>
      </c>
      <c r="AB52" t="s">
        <v>55</v>
      </c>
      <c r="AD52" t="s">
        <v>55</v>
      </c>
      <c r="AF52" t="s">
        <v>55</v>
      </c>
      <c r="AH52" t="s">
        <v>55</v>
      </c>
      <c r="AJ52" t="s">
        <v>54</v>
      </c>
      <c r="AM52" t="s">
        <v>54</v>
      </c>
      <c r="AO52" t="s">
        <v>54</v>
      </c>
      <c r="AV52" t="s">
        <v>302</v>
      </c>
    </row>
    <row r="53" ht="25.5" customHeight="1" spans="1:43">
      <c r="A53" t="s">
        <v>316</v>
      </c>
      <c r="C53" t="s">
        <v>82</v>
      </c>
      <c r="E53" s="3" t="str">
        <f>HYPERLINK("https://app.hypeauditor.com/my-network/influencer/29788037/analytics/youtube/UCKGAQCeDKoaM-DTCrbHuW8g","https://app.hypeauditor.com/my-network/influencer/29788037/analytics/youtube/UCKGAQCeDKoaM-DTCrbHuW8g")</f>
        <v>https://app.hypeauditor.com/my-network/influencer/29788037/analytics/youtube/UCKGAQCeDKoaM-DTCrbHuW8g</v>
      </c>
      <c r="F53" s="3" t="str">
        <f>HYPERLINK("https://www.youtube.com/@yomajameskukor/videos","https://www.youtube.com/@yomajameskukor/videos")</f>
        <v>https://www.youtube.com/@yomajameskukor/videos</v>
      </c>
      <c r="G53" t="s">
        <v>52</v>
      </c>
      <c r="H53" t="s">
        <v>317</v>
      </c>
      <c r="I53" t="s">
        <v>269</v>
      </c>
      <c r="K53" t="s">
        <v>58</v>
      </c>
      <c r="L53" t="s">
        <v>59</v>
      </c>
      <c r="M53">
        <v>136100</v>
      </c>
      <c r="N53" t="s">
        <v>318</v>
      </c>
      <c r="P53" t="s">
        <v>55</v>
      </c>
      <c r="R53" t="s">
        <v>54</v>
      </c>
      <c r="T53" t="s">
        <v>55</v>
      </c>
      <c r="X53" t="s">
        <v>55</v>
      </c>
      <c r="Z53" t="s">
        <v>54</v>
      </c>
      <c r="AB53" t="s">
        <v>55</v>
      </c>
      <c r="AD53" t="s">
        <v>55</v>
      </c>
      <c r="AF53" t="s">
        <v>55</v>
      </c>
      <c r="AH53" t="s">
        <v>55</v>
      </c>
      <c r="AJ53" t="s">
        <v>54</v>
      </c>
      <c r="AK53">
        <v>11100</v>
      </c>
      <c r="AM53" t="s">
        <v>54</v>
      </c>
      <c r="AN53">
        <v>450</v>
      </c>
      <c r="AO53" t="s">
        <v>54</v>
      </c>
      <c r="AP53" t="s">
        <v>319</v>
      </c>
      <c r="AQ53" t="s">
        <v>55</v>
      </c>
    </row>
    <row r="54" ht="25.5" customHeight="1" spans="1:50">
      <c r="A54" t="s">
        <v>320</v>
      </c>
      <c r="C54" t="s">
        <v>82</v>
      </c>
      <c r="E54" s="3" t="str">
        <f>HYPERLINK("https://app.hypeauditor.com/my-network/influencer/1158826/analytics/tiktok/keralatechie","https://app.hypeauditor.com/my-network/influencer/1158826/analytics/tiktok/keralatechie")</f>
        <v>https://app.hypeauditor.com/my-network/influencer/1158826/analytics/tiktok/keralatechie</v>
      </c>
      <c r="F54" s="3" t="str">
        <f>HYPERLINK("https://www.tiktok.com/@keralatechie","https://www.tiktok.com/@keralatechie")</f>
        <v>https://www.tiktok.com/@keralatechie</v>
      </c>
      <c r="G54" t="s">
        <v>52</v>
      </c>
      <c r="H54" t="s">
        <v>53</v>
      </c>
      <c r="I54" t="s">
        <v>56</v>
      </c>
      <c r="J54" t="s">
        <v>57</v>
      </c>
      <c r="K54" t="s">
        <v>97</v>
      </c>
      <c r="L54" t="s">
        <v>54</v>
      </c>
      <c r="M54">
        <v>189900</v>
      </c>
      <c r="N54" t="s">
        <v>321</v>
      </c>
      <c r="P54" t="s">
        <v>55</v>
      </c>
      <c r="R54" t="s">
        <v>54</v>
      </c>
      <c r="T54" t="s">
        <v>55</v>
      </c>
      <c r="X54" t="s">
        <v>55</v>
      </c>
      <c r="Z54" t="s">
        <v>54</v>
      </c>
      <c r="AB54" t="s">
        <v>55</v>
      </c>
      <c r="AD54" t="s">
        <v>55</v>
      </c>
      <c r="AF54" t="s">
        <v>55</v>
      </c>
      <c r="AH54" t="s">
        <v>55</v>
      </c>
      <c r="AJ54" t="s">
        <v>54</v>
      </c>
      <c r="AK54">
        <v>36600</v>
      </c>
      <c r="AL54">
        <v>0.0222</v>
      </c>
      <c r="AM54" t="s">
        <v>322</v>
      </c>
      <c r="AN54">
        <v>400</v>
      </c>
      <c r="AO54" t="s">
        <v>323</v>
      </c>
      <c r="AP54" t="s">
        <v>324</v>
      </c>
      <c r="AQ54" t="s">
        <v>325</v>
      </c>
      <c r="AR54" t="s">
        <v>326</v>
      </c>
      <c r="AS54" t="s">
        <v>55</v>
      </c>
      <c r="AW54" t="s">
        <v>320</v>
      </c>
      <c r="AX54" t="s">
        <v>327</v>
      </c>
    </row>
    <row r="55" ht="25.5" customHeight="1" spans="1:50">
      <c r="A55" t="s">
        <v>328</v>
      </c>
      <c r="C55" t="s">
        <v>82</v>
      </c>
      <c r="E55" s="3" t="str">
        <f>HYPERLINK("https://app.hypeauditor.com/my-network/influencer/12250338/analytics/tiktok/amerufficiale","https://app.hypeauditor.com/my-network/influencer/12250338/analytics/tiktok/amerufficiale")</f>
        <v>https://app.hypeauditor.com/my-network/influencer/12250338/analytics/tiktok/amerufficiale</v>
      </c>
      <c r="F55" s="3" t="str">
        <f>HYPERLINK("https://www.tiktok.com/@amerufficiale","https://www.tiktok.com/@amerufficiale")</f>
        <v>https://www.tiktok.com/@amerufficiale</v>
      </c>
      <c r="G55" t="s">
        <v>52</v>
      </c>
      <c r="H55" t="s">
        <v>53</v>
      </c>
      <c r="I55" t="s">
        <v>56</v>
      </c>
      <c r="J55" t="s">
        <v>57</v>
      </c>
      <c r="K55" t="s">
        <v>97</v>
      </c>
      <c r="L55" t="s">
        <v>54</v>
      </c>
      <c r="M55">
        <v>188700</v>
      </c>
      <c r="N55" t="s">
        <v>329</v>
      </c>
      <c r="P55" t="s">
        <v>55</v>
      </c>
      <c r="R55" t="s">
        <v>54</v>
      </c>
      <c r="T55" t="s">
        <v>55</v>
      </c>
      <c r="X55" t="s">
        <v>55</v>
      </c>
      <c r="Z55" t="s">
        <v>54</v>
      </c>
      <c r="AB55" t="s">
        <v>55</v>
      </c>
      <c r="AD55" t="s">
        <v>55</v>
      </c>
      <c r="AF55" t="s">
        <v>55</v>
      </c>
      <c r="AH55" t="s">
        <v>55</v>
      </c>
      <c r="AJ55" t="s">
        <v>54</v>
      </c>
      <c r="AK55">
        <v>115400</v>
      </c>
      <c r="AL55">
        <v>0.0263</v>
      </c>
      <c r="AM55" t="s">
        <v>330</v>
      </c>
      <c r="AN55">
        <v>1300</v>
      </c>
      <c r="AO55" t="s">
        <v>331</v>
      </c>
      <c r="AP55" t="s">
        <v>332</v>
      </c>
      <c r="AQ55" t="s">
        <v>333</v>
      </c>
      <c r="AR55" t="s">
        <v>334</v>
      </c>
      <c r="AS55" t="s">
        <v>55</v>
      </c>
      <c r="AW55" t="s">
        <v>335</v>
      </c>
      <c r="AX55" t="s">
        <v>336</v>
      </c>
    </row>
    <row r="56" ht="25.5" customHeight="1" spans="1:50">
      <c r="A56" t="s">
        <v>337</v>
      </c>
      <c r="C56" t="s">
        <v>82</v>
      </c>
      <c r="E56" s="3" t="str">
        <f>HYPERLINK("https://app.hypeauditor.com/my-network/influencer/949185/analytics/tiktok/alevelhelp.32","https://app.hypeauditor.com/my-network/influencer/949185/analytics/tiktok/alevelhelp.32")</f>
        <v>https://app.hypeauditor.com/my-network/influencer/949185/analytics/tiktok/alevelhelp.32</v>
      </c>
      <c r="F56" s="3" t="str">
        <f>HYPERLINK("https://www.tiktok.com/@alevelhelp.32?_t=8XmrvnrA3gk&amp;_r=1","https://www.tiktok.com/@alevelhelp.32?_t=8XmrvnrA3gk&amp;_r=1")</f>
        <v>https://www.tiktok.com/@alevelhelp.32?_t=8XmrvnrA3gk&amp;_r=1</v>
      </c>
      <c r="G56" t="s">
        <v>52</v>
      </c>
      <c r="H56" t="s">
        <v>53</v>
      </c>
      <c r="I56" t="s">
        <v>56</v>
      </c>
      <c r="J56" t="s">
        <v>57</v>
      </c>
      <c r="K56" t="s">
        <v>97</v>
      </c>
      <c r="L56" t="s">
        <v>54</v>
      </c>
      <c r="M56">
        <v>613900</v>
      </c>
      <c r="N56" t="s">
        <v>338</v>
      </c>
      <c r="P56" t="s">
        <v>55</v>
      </c>
      <c r="R56" t="s">
        <v>54</v>
      </c>
      <c r="T56" t="s">
        <v>55</v>
      </c>
      <c r="X56" t="s">
        <v>55</v>
      </c>
      <c r="Z56" t="s">
        <v>54</v>
      </c>
      <c r="AB56" t="s">
        <v>55</v>
      </c>
      <c r="AD56" t="s">
        <v>55</v>
      </c>
      <c r="AF56" t="s">
        <v>55</v>
      </c>
      <c r="AH56" t="s">
        <v>55</v>
      </c>
      <c r="AJ56" t="s">
        <v>54</v>
      </c>
      <c r="AK56">
        <v>21400</v>
      </c>
      <c r="AL56">
        <v>0.0131</v>
      </c>
      <c r="AM56" t="s">
        <v>339</v>
      </c>
      <c r="AN56">
        <v>150</v>
      </c>
      <c r="AO56" t="s">
        <v>340</v>
      </c>
      <c r="AP56" t="s">
        <v>341</v>
      </c>
      <c r="AQ56" t="s">
        <v>342</v>
      </c>
      <c r="AR56" t="s">
        <v>343</v>
      </c>
      <c r="AS56" t="s">
        <v>55</v>
      </c>
      <c r="AW56" t="s">
        <v>337</v>
      </c>
      <c r="AX56" t="s">
        <v>344</v>
      </c>
    </row>
    <row r="57" ht="25.5" customHeight="1" spans="1:50">
      <c r="A57" t="s">
        <v>345</v>
      </c>
      <c r="C57" t="s">
        <v>72</v>
      </c>
      <c r="E57" s="3" t="str">
        <f>HYPERLINK("https://app.hypeauditor.com/my-network/influencer/32791387/analytics/tiktok/mackasy_aitech_guy","https://app.hypeauditor.com/my-network/influencer/32791387/analytics/tiktok/mackasy_aitech_guy")</f>
        <v>https://app.hypeauditor.com/my-network/influencer/32791387/analytics/tiktok/mackasy_aitech_guy</v>
      </c>
      <c r="F57" s="3" t="str">
        <f>HYPERLINK("https://www.tiktok.com/@mackasy_aitech_guy","https://www.tiktok.com/@mackasy_aitech_guy")</f>
        <v>https://www.tiktok.com/@mackasy_aitech_guy</v>
      </c>
      <c r="G57" t="s">
        <v>52</v>
      </c>
      <c r="H57" t="s">
        <v>53</v>
      </c>
      <c r="I57" t="s">
        <v>56</v>
      </c>
      <c r="J57" t="s">
        <v>57</v>
      </c>
      <c r="K57" t="s">
        <v>58</v>
      </c>
      <c r="L57" t="s">
        <v>59</v>
      </c>
      <c r="M57">
        <v>22200</v>
      </c>
      <c r="N57" t="s">
        <v>55</v>
      </c>
      <c r="P57" t="s">
        <v>55</v>
      </c>
      <c r="R57" t="s">
        <v>54</v>
      </c>
      <c r="T57" t="s">
        <v>55</v>
      </c>
      <c r="X57" t="s">
        <v>55</v>
      </c>
      <c r="Z57" t="s">
        <v>54</v>
      </c>
      <c r="AB57" t="s">
        <v>55</v>
      </c>
      <c r="AD57" t="s">
        <v>55</v>
      </c>
      <c r="AF57" t="s">
        <v>55</v>
      </c>
      <c r="AH57" t="s">
        <v>55</v>
      </c>
      <c r="AJ57" t="s">
        <v>54</v>
      </c>
      <c r="AK57">
        <v>260</v>
      </c>
      <c r="AL57">
        <v>0.0166</v>
      </c>
      <c r="AM57" t="s">
        <v>346</v>
      </c>
      <c r="AN57">
        <v>10</v>
      </c>
      <c r="AO57" t="s">
        <v>347</v>
      </c>
      <c r="AP57" t="s">
        <v>348</v>
      </c>
      <c r="AQ57" t="s">
        <v>55</v>
      </c>
      <c r="AR57" t="s">
        <v>349</v>
      </c>
      <c r="AS57" t="s">
        <v>55</v>
      </c>
      <c r="AW57" t="s">
        <v>345</v>
      </c>
      <c r="AX57" t="s">
        <v>350</v>
      </c>
    </row>
    <row r="58" ht="25.5" customHeight="1" spans="1:45">
      <c r="A58" t="s">
        <v>351</v>
      </c>
      <c r="C58" t="s">
        <v>131</v>
      </c>
      <c r="E58" s="3" t="str">
        <f>HYPERLINK("https://app.hypeauditor.com/my-network/influencer/32279163/analytics/tiktok/socialgift","https://app.hypeauditor.com/my-network/influencer/32279163/analytics/tiktok/socialgift")</f>
        <v>https://app.hypeauditor.com/my-network/influencer/32279163/analytics/tiktok/socialgift</v>
      </c>
      <c r="F58" s="3" t="str">
        <f>HYPERLINK("https://www.tiktok.com/@socialgift","https://www.tiktok.com/@socialgift")</f>
        <v>https://www.tiktok.com/@socialgift</v>
      </c>
      <c r="G58" t="s">
        <v>52</v>
      </c>
      <c r="H58" t="s">
        <v>53</v>
      </c>
      <c r="I58" t="s">
        <v>56</v>
      </c>
      <c r="J58" t="s">
        <v>57</v>
      </c>
      <c r="K58" t="s">
        <v>58</v>
      </c>
      <c r="L58" t="s">
        <v>59</v>
      </c>
      <c r="M58">
        <v>10000</v>
      </c>
      <c r="N58" t="s">
        <v>55</v>
      </c>
      <c r="P58" t="s">
        <v>55</v>
      </c>
      <c r="R58" t="s">
        <v>54</v>
      </c>
      <c r="T58" t="s">
        <v>55</v>
      </c>
      <c r="X58" t="s">
        <v>55</v>
      </c>
      <c r="Z58" t="s">
        <v>54</v>
      </c>
      <c r="AB58" t="s">
        <v>55</v>
      </c>
      <c r="AD58" t="s">
        <v>55</v>
      </c>
      <c r="AF58" t="s">
        <v>55</v>
      </c>
      <c r="AH58" t="s">
        <v>55</v>
      </c>
      <c r="AJ58" t="s">
        <v>54</v>
      </c>
      <c r="AK58">
        <v>392</v>
      </c>
      <c r="AL58">
        <v>0.1044</v>
      </c>
      <c r="AM58" t="s">
        <v>352</v>
      </c>
      <c r="AN58">
        <v>10</v>
      </c>
      <c r="AO58" t="s">
        <v>353</v>
      </c>
      <c r="AP58" t="s">
        <v>354</v>
      </c>
      <c r="AQ58" t="s">
        <v>55</v>
      </c>
      <c r="AR58" t="s">
        <v>355</v>
      </c>
      <c r="AS58" t="s">
        <v>55</v>
      </c>
    </row>
    <row r="59" ht="25.5" customHeight="1" spans="1:50">
      <c r="A59" t="s">
        <v>356</v>
      </c>
      <c r="C59" t="s">
        <v>82</v>
      </c>
      <c r="E59" s="3" t="str">
        <f>HYPERLINK("https://app.hypeauditor.com/my-network/influencer/7915557/analytics/tiktok/harveyrenn","https://app.hypeauditor.com/my-network/influencer/7915557/analytics/tiktok/harveyrenn")</f>
        <v>https://app.hypeauditor.com/my-network/influencer/7915557/analytics/tiktok/harveyrenn</v>
      </c>
      <c r="F59" s="3" t="str">
        <f>HYPERLINK("https://www.tiktok.com/@harveyrenn","https://www.tiktok.com/@harveyrenn")</f>
        <v>https://www.tiktok.com/@harveyrenn</v>
      </c>
      <c r="G59" t="s">
        <v>52</v>
      </c>
      <c r="H59" t="s">
        <v>53</v>
      </c>
      <c r="I59" t="s">
        <v>56</v>
      </c>
      <c r="J59" t="s">
        <v>57</v>
      </c>
      <c r="K59" t="s">
        <v>58</v>
      </c>
      <c r="L59" t="s">
        <v>59</v>
      </c>
      <c r="M59">
        <v>1200000</v>
      </c>
      <c r="N59" t="s">
        <v>117</v>
      </c>
      <c r="P59" t="s">
        <v>55</v>
      </c>
      <c r="R59" t="s">
        <v>54</v>
      </c>
      <c r="T59" t="s">
        <v>55</v>
      </c>
      <c r="X59" t="s">
        <v>55</v>
      </c>
      <c r="Z59" t="s">
        <v>54</v>
      </c>
      <c r="AB59" t="s">
        <v>55</v>
      </c>
      <c r="AD59" t="s">
        <v>55</v>
      </c>
      <c r="AF59" t="s">
        <v>55</v>
      </c>
      <c r="AH59" t="s">
        <v>55</v>
      </c>
      <c r="AJ59" t="s">
        <v>54</v>
      </c>
      <c r="AK59">
        <v>10000</v>
      </c>
      <c r="AL59">
        <v>0.0774</v>
      </c>
      <c r="AM59" t="s">
        <v>357</v>
      </c>
      <c r="AN59">
        <v>70</v>
      </c>
      <c r="AO59" t="s">
        <v>358</v>
      </c>
      <c r="AP59" t="s">
        <v>359</v>
      </c>
      <c r="AQ59" t="s">
        <v>360</v>
      </c>
      <c r="AR59" t="s">
        <v>361</v>
      </c>
      <c r="AS59" t="s">
        <v>362</v>
      </c>
      <c r="AW59" t="s">
        <v>356</v>
      </c>
      <c r="AX59" t="s">
        <v>363</v>
      </c>
    </row>
    <row r="60" ht="25.5" customHeight="1" spans="5:48">
      <c r="E60" s="3" t="str">
        <f>HYPERLINK("https://app.hypeauditor.com/my-network/influencer/18513790/analytics/instagram/yomajameskukor","https://app.hypeauditor.com/my-network/influencer/18513790/analytics/instagram/yomajameskukor")</f>
        <v>https://app.hypeauditor.com/my-network/influencer/18513790/analytics/instagram/yomajameskukor</v>
      </c>
      <c r="F60" s="3" t="str">
        <f>HYPERLINK("https://www.instagram.com/yomajameskukor/","https://www.instagram.com/yomajameskukor/")</f>
        <v>https://www.instagram.com/yomajameskukor/</v>
      </c>
      <c r="G60" t="s">
        <v>52</v>
      </c>
      <c r="H60" t="s">
        <v>255</v>
      </c>
      <c r="I60" t="s">
        <v>65</v>
      </c>
      <c r="L60" t="s">
        <v>54</v>
      </c>
      <c r="M60">
        <v>69800</v>
      </c>
      <c r="N60" t="s">
        <v>55</v>
      </c>
      <c r="P60" t="s">
        <v>55</v>
      </c>
      <c r="R60" t="s">
        <v>54</v>
      </c>
      <c r="T60" t="s">
        <v>55</v>
      </c>
      <c r="X60" t="s">
        <v>55</v>
      </c>
      <c r="Z60" t="s">
        <v>54</v>
      </c>
      <c r="AB60" t="s">
        <v>55</v>
      </c>
      <c r="AD60" t="s">
        <v>55</v>
      </c>
      <c r="AF60" t="s">
        <v>55</v>
      </c>
      <c r="AH60" t="s">
        <v>55</v>
      </c>
      <c r="AJ60" t="s">
        <v>54</v>
      </c>
      <c r="AK60">
        <v>3900</v>
      </c>
      <c r="AM60" t="s">
        <v>54</v>
      </c>
      <c r="AO60" t="s">
        <v>54</v>
      </c>
      <c r="AP60" t="s">
        <v>184</v>
      </c>
      <c r="AQ60" t="s">
        <v>185</v>
      </c>
      <c r="AV60" t="s">
        <v>316</v>
      </c>
    </row>
    <row r="61" ht="25.5" customHeight="1" spans="1:50">
      <c r="A61" t="s">
        <v>364</v>
      </c>
      <c r="C61" t="s">
        <v>131</v>
      </c>
      <c r="E61" s="3" t="str">
        <f>HYPERLINK("https://app.hypeauditor.com/my-network/influencer/667937/analytics/youtube/UCyLhyC-KsQIVzF4AN5ixbcg","https://app.hypeauditor.com/my-network/influencer/667937/analytics/youtube/UCyLhyC-KsQIVzF4AN5ixbcg")</f>
        <v>https://app.hypeauditor.com/my-network/influencer/667937/analytics/youtube/UCyLhyC-KsQIVzF4AN5ixbcg</v>
      </c>
      <c r="F61" s="3" t="str">
        <f>HYPERLINK("https://www.youtube.com/channel/UCyLhyC-KsQIVzF4AN5ixbcg","https://www.youtube.com/channel/UCyLhyC-KsQIVzF4AN5ixbcg")</f>
        <v>https://www.youtube.com/channel/UCyLhyC-KsQIVzF4AN5ixbcg</v>
      </c>
      <c r="G61" t="s">
        <v>52</v>
      </c>
      <c r="H61" t="s">
        <v>255</v>
      </c>
      <c r="I61" t="s">
        <v>269</v>
      </c>
      <c r="K61" t="s">
        <v>89</v>
      </c>
      <c r="L61" t="s">
        <v>54</v>
      </c>
      <c r="M61">
        <v>118600</v>
      </c>
      <c r="N61" t="s">
        <v>365</v>
      </c>
      <c r="P61" t="s">
        <v>55</v>
      </c>
      <c r="R61" t="s">
        <v>54</v>
      </c>
      <c r="T61" t="s">
        <v>55</v>
      </c>
      <c r="X61" t="s">
        <v>55</v>
      </c>
      <c r="Z61" t="s">
        <v>54</v>
      </c>
      <c r="AB61" t="s">
        <v>55</v>
      </c>
      <c r="AD61" t="s">
        <v>55</v>
      </c>
      <c r="AF61" t="s">
        <v>55</v>
      </c>
      <c r="AH61" t="s">
        <v>55</v>
      </c>
      <c r="AJ61" t="s">
        <v>54</v>
      </c>
      <c r="AK61">
        <v>8600</v>
      </c>
      <c r="AL61">
        <v>0.0302</v>
      </c>
      <c r="AM61" t="s">
        <v>366</v>
      </c>
      <c r="AN61">
        <v>1800</v>
      </c>
      <c r="AO61" t="s">
        <v>367</v>
      </c>
      <c r="AP61" t="s">
        <v>368</v>
      </c>
      <c r="AQ61" t="s">
        <v>55</v>
      </c>
      <c r="AR61" t="s">
        <v>369</v>
      </c>
      <c r="AS61" t="s">
        <v>55</v>
      </c>
      <c r="AW61" t="s">
        <v>364</v>
      </c>
      <c r="AX61" t="s">
        <v>370</v>
      </c>
    </row>
    <row r="62" ht="25.5" customHeight="1" spans="5:50">
      <c r="E62" s="3" t="str">
        <f>HYPERLINK("https://app.hypeauditor.com/my-network/influencer/812036/analytics/instagram/nesrasgado","https://app.hypeauditor.com/my-network/influencer/812036/analytics/instagram/nesrasgado")</f>
        <v>https://app.hypeauditor.com/my-network/influencer/812036/analytics/instagram/nesrasgado</v>
      </c>
      <c r="F62" s="3" t="str">
        <f>HYPERLINK("https://www.instagram.com/nesrasgado/","https://www.instagram.com/nesrasgado/")</f>
        <v>https://www.instagram.com/nesrasgado/</v>
      </c>
      <c r="G62" t="s">
        <v>52</v>
      </c>
      <c r="H62" t="s">
        <v>255</v>
      </c>
      <c r="I62" t="s">
        <v>65</v>
      </c>
      <c r="K62" t="s">
        <v>89</v>
      </c>
      <c r="L62" t="s">
        <v>54</v>
      </c>
      <c r="M62">
        <v>133600</v>
      </c>
      <c r="N62" t="s">
        <v>371</v>
      </c>
      <c r="P62" t="s">
        <v>55</v>
      </c>
      <c r="R62" t="s">
        <v>54</v>
      </c>
      <c r="T62" t="s">
        <v>55</v>
      </c>
      <c r="X62" t="s">
        <v>55</v>
      </c>
      <c r="Z62" t="s">
        <v>54</v>
      </c>
      <c r="AB62" t="s">
        <v>55</v>
      </c>
      <c r="AD62" t="s">
        <v>55</v>
      </c>
      <c r="AF62" t="s">
        <v>55</v>
      </c>
      <c r="AH62" t="s">
        <v>55</v>
      </c>
      <c r="AJ62" t="s">
        <v>54</v>
      </c>
      <c r="AK62">
        <v>10800</v>
      </c>
      <c r="AL62">
        <v>0.0023</v>
      </c>
      <c r="AM62" t="s">
        <v>372</v>
      </c>
      <c r="AO62" t="s">
        <v>373</v>
      </c>
      <c r="AP62" t="s">
        <v>184</v>
      </c>
      <c r="AQ62" t="s">
        <v>185</v>
      </c>
      <c r="AR62" t="s">
        <v>184</v>
      </c>
      <c r="AS62" t="s">
        <v>185</v>
      </c>
      <c r="AV62" t="s">
        <v>364</v>
      </c>
      <c r="AW62" t="s">
        <v>364</v>
      </c>
      <c r="AX62" t="s">
        <v>370</v>
      </c>
    </row>
    <row r="63" ht="25.5" customHeight="1" spans="5:48">
      <c r="E63" s="3" t="str">
        <f>HYPERLINK("https://app.hypeauditor.com/my-network/influencer/668020/analytics/tiktok/nesrasgado","https://app.hypeauditor.com/my-network/influencer/668020/analytics/tiktok/nesrasgado")</f>
        <v>https://app.hypeauditor.com/my-network/influencer/668020/analytics/tiktok/nesrasgado</v>
      </c>
      <c r="F63" s="3" t="str">
        <f>HYPERLINK("https://www.tiktok.com/@nesrasgado","https://www.tiktok.com/@nesrasgado")</f>
        <v>https://www.tiktok.com/@nesrasgado</v>
      </c>
      <c r="G63" t="s">
        <v>52</v>
      </c>
      <c r="H63" t="s">
        <v>255</v>
      </c>
      <c r="I63" t="s">
        <v>56</v>
      </c>
      <c r="K63" t="s">
        <v>89</v>
      </c>
      <c r="L63" t="s">
        <v>54</v>
      </c>
      <c r="M63">
        <v>780200</v>
      </c>
      <c r="N63" t="s">
        <v>374</v>
      </c>
      <c r="P63" t="s">
        <v>55</v>
      </c>
      <c r="R63" t="s">
        <v>54</v>
      </c>
      <c r="T63" t="s">
        <v>55</v>
      </c>
      <c r="X63" t="s">
        <v>55</v>
      </c>
      <c r="Z63" t="s">
        <v>54</v>
      </c>
      <c r="AB63" t="s">
        <v>55</v>
      </c>
      <c r="AD63" t="s">
        <v>55</v>
      </c>
      <c r="AF63" t="s">
        <v>55</v>
      </c>
      <c r="AH63" t="s">
        <v>55</v>
      </c>
      <c r="AJ63" t="s">
        <v>54</v>
      </c>
      <c r="AK63">
        <v>64900</v>
      </c>
      <c r="AL63">
        <v>0.0787</v>
      </c>
      <c r="AM63" t="s">
        <v>375</v>
      </c>
      <c r="AO63" t="s">
        <v>376</v>
      </c>
      <c r="AP63" t="s">
        <v>184</v>
      </c>
      <c r="AQ63" t="s">
        <v>185</v>
      </c>
      <c r="AR63" t="s">
        <v>184</v>
      </c>
      <c r="AS63" t="s">
        <v>185</v>
      </c>
      <c r="AV63" t="s">
        <v>364</v>
      </c>
    </row>
    <row r="64" ht="25.5" customHeight="1" spans="1:45">
      <c r="A64" t="s">
        <v>377</v>
      </c>
      <c r="C64" t="s">
        <v>144</v>
      </c>
      <c r="E64" s="3" t="str">
        <f>HYPERLINK("https://app.hypeauditor.com/my-network/influencer/268309/analytics/youtube/UCz6PEeVLG1TL6jMRTvSLm4g","https://app.hypeauditor.com/my-network/influencer/268309/analytics/youtube/UCz6PEeVLG1TL6jMRTvSLm4g")</f>
        <v>https://app.hypeauditor.com/my-network/influencer/268309/analytics/youtube/UCz6PEeVLG1TL6jMRTvSLm4g</v>
      </c>
      <c r="F64" s="3" t="str">
        <f>HYPERLINK("https://www.youtube.com/@MattTalkTech/videos","https://www.youtube.com/@MattTalkTech/videos")</f>
        <v>https://www.youtube.com/@MattTalkTech/videos</v>
      </c>
      <c r="G64" t="s">
        <v>52</v>
      </c>
      <c r="H64" t="s">
        <v>255</v>
      </c>
      <c r="I64" t="s">
        <v>269</v>
      </c>
      <c r="J64" t="s">
        <v>378</v>
      </c>
      <c r="K64" t="s">
        <v>58</v>
      </c>
      <c r="L64" t="s">
        <v>59</v>
      </c>
      <c r="M64">
        <v>666400</v>
      </c>
      <c r="N64" t="s">
        <v>379</v>
      </c>
      <c r="P64" t="s">
        <v>55</v>
      </c>
      <c r="R64" t="s">
        <v>54</v>
      </c>
      <c r="T64" t="s">
        <v>55</v>
      </c>
      <c r="X64" t="s">
        <v>55</v>
      </c>
      <c r="Z64" t="s">
        <v>54</v>
      </c>
      <c r="AB64" t="s">
        <v>55</v>
      </c>
      <c r="AD64" t="s">
        <v>55</v>
      </c>
      <c r="AF64" t="s">
        <v>55</v>
      </c>
      <c r="AH64" t="s">
        <v>55</v>
      </c>
      <c r="AJ64" t="s">
        <v>54</v>
      </c>
      <c r="AK64">
        <v>27000</v>
      </c>
      <c r="AL64">
        <v>0.1646</v>
      </c>
      <c r="AM64" t="s">
        <v>380</v>
      </c>
      <c r="AN64">
        <v>5000</v>
      </c>
      <c r="AO64" t="s">
        <v>381</v>
      </c>
      <c r="AP64" t="s">
        <v>382</v>
      </c>
      <c r="AQ64" t="s">
        <v>55</v>
      </c>
      <c r="AR64" t="s">
        <v>383</v>
      </c>
      <c r="AS64" t="s">
        <v>55</v>
      </c>
    </row>
    <row r="65" ht="25.5" customHeight="1" spans="1:50">
      <c r="A65" t="s">
        <v>384</v>
      </c>
      <c r="C65" t="s">
        <v>72</v>
      </c>
      <c r="E65" s="3" t="str">
        <f>HYPERLINK("https://app.hypeauditor.com/my-network/influencer/812116/analytics/instagram/boss_business_motivation","https://app.hypeauditor.com/my-network/influencer/812116/analytics/instagram/boss_business_motivation")</f>
        <v>https://app.hypeauditor.com/my-network/influencer/812116/analytics/instagram/boss_business_motivation</v>
      </c>
      <c r="F65" s="3" t="str">
        <f>HYPERLINK("https://www.instagram.com/boss_business_motivation/reels/","https://www.instagram.com/boss_business_motivation/reels/")</f>
        <v>https://www.instagram.com/boss_business_motivation/reels/</v>
      </c>
      <c r="G65" t="s">
        <v>52</v>
      </c>
      <c r="H65" t="s">
        <v>255</v>
      </c>
      <c r="I65" t="s">
        <v>65</v>
      </c>
      <c r="K65" t="s">
        <v>97</v>
      </c>
      <c r="L65" t="s">
        <v>54</v>
      </c>
      <c r="M65">
        <v>33600</v>
      </c>
      <c r="N65" t="s">
        <v>55</v>
      </c>
      <c r="P65" t="s">
        <v>55</v>
      </c>
      <c r="R65" t="s">
        <v>54</v>
      </c>
      <c r="T65" t="s">
        <v>55</v>
      </c>
      <c r="X65" t="s">
        <v>55</v>
      </c>
      <c r="Z65" t="s">
        <v>54</v>
      </c>
      <c r="AB65" t="s">
        <v>55</v>
      </c>
      <c r="AD65" t="s">
        <v>55</v>
      </c>
      <c r="AF65" t="s">
        <v>55</v>
      </c>
      <c r="AH65" t="s">
        <v>55</v>
      </c>
      <c r="AJ65" t="s">
        <v>54</v>
      </c>
      <c r="AK65">
        <v>100000</v>
      </c>
      <c r="AL65">
        <v>0.0107</v>
      </c>
      <c r="AM65" t="s">
        <v>385</v>
      </c>
      <c r="AN65">
        <v>160</v>
      </c>
      <c r="AO65" t="s">
        <v>386</v>
      </c>
      <c r="AP65" t="s">
        <v>387</v>
      </c>
      <c r="AQ65" t="s">
        <v>388</v>
      </c>
      <c r="AR65" t="s">
        <v>389</v>
      </c>
      <c r="AS65" t="s">
        <v>55</v>
      </c>
      <c r="AW65" t="s">
        <v>390</v>
      </c>
      <c r="AX65" t="s">
        <v>391</v>
      </c>
    </row>
    <row r="66" ht="25.5" customHeight="1" spans="1:45">
      <c r="A66" t="s">
        <v>392</v>
      </c>
      <c r="C66" t="s">
        <v>82</v>
      </c>
      <c r="E66" s="3" t="str">
        <f>HYPERLINK("https://app.hypeauditor.com/my-network/influencer/956360/analytics/instagram/ux.edward","https://app.hypeauditor.com/my-network/influencer/956360/analytics/instagram/ux.edward")</f>
        <v>https://app.hypeauditor.com/my-network/influencer/956360/analytics/instagram/ux.edward</v>
      </c>
      <c r="F66" s="3" t="str">
        <f>HYPERLINK("https://www.instagram.com/ux.edward/reels/","https://www.instagram.com/ux.edward/reels/")</f>
        <v>https://www.instagram.com/ux.edward/reels/</v>
      </c>
      <c r="G66" t="s">
        <v>52</v>
      </c>
      <c r="H66" t="s">
        <v>317</v>
      </c>
      <c r="I66" t="s">
        <v>65</v>
      </c>
      <c r="K66" t="s">
        <v>58</v>
      </c>
      <c r="L66" t="s">
        <v>59</v>
      </c>
      <c r="M66">
        <v>117700</v>
      </c>
      <c r="N66" t="s">
        <v>393</v>
      </c>
      <c r="P66" t="s">
        <v>55</v>
      </c>
      <c r="R66" t="s">
        <v>54</v>
      </c>
      <c r="T66" t="s">
        <v>55</v>
      </c>
      <c r="X66" t="s">
        <v>55</v>
      </c>
      <c r="Z66" t="s">
        <v>54</v>
      </c>
      <c r="AB66" t="s">
        <v>55</v>
      </c>
      <c r="AD66" t="s">
        <v>55</v>
      </c>
      <c r="AF66" t="s">
        <v>55</v>
      </c>
      <c r="AH66" t="s">
        <v>55</v>
      </c>
      <c r="AJ66" t="s">
        <v>54</v>
      </c>
      <c r="AK66">
        <v>23400</v>
      </c>
      <c r="AL66">
        <v>0.0063</v>
      </c>
      <c r="AM66" t="s">
        <v>394</v>
      </c>
      <c r="AN66">
        <v>250</v>
      </c>
      <c r="AO66" t="s">
        <v>395</v>
      </c>
      <c r="AP66" t="s">
        <v>396</v>
      </c>
      <c r="AQ66" t="s">
        <v>397</v>
      </c>
      <c r="AR66" t="s">
        <v>398</v>
      </c>
      <c r="AS66" t="s">
        <v>55</v>
      </c>
    </row>
    <row r="67" ht="25.5" customHeight="1" spans="1:45">
      <c r="A67" t="s">
        <v>399</v>
      </c>
      <c r="C67" t="s">
        <v>72</v>
      </c>
      <c r="E67" s="3" t="str">
        <f>HYPERLINK("https://app.hypeauditor.com/my-network/influencer/20647897/analytics/tiktok/bolasol","https://app.hypeauditor.com/my-network/influencer/20647897/analytics/tiktok/bolasol")</f>
        <v>https://app.hypeauditor.com/my-network/influencer/20647897/analytics/tiktok/bolasol</v>
      </c>
      <c r="F67" s="3" t="str">
        <f>HYPERLINK("https://www.tiktok.com/@bolasol","https://www.tiktok.com/@bolasol")</f>
        <v>https://www.tiktok.com/@bolasol</v>
      </c>
      <c r="G67" t="s">
        <v>52</v>
      </c>
      <c r="H67" t="s">
        <v>53</v>
      </c>
      <c r="I67" t="s">
        <v>56</v>
      </c>
      <c r="K67" t="s">
        <v>58</v>
      </c>
      <c r="L67" t="s">
        <v>59</v>
      </c>
      <c r="M67">
        <v>24700</v>
      </c>
      <c r="N67" t="s">
        <v>55</v>
      </c>
      <c r="P67" t="s">
        <v>55</v>
      </c>
      <c r="R67" t="s">
        <v>54</v>
      </c>
      <c r="T67" t="s">
        <v>55</v>
      </c>
      <c r="X67" t="s">
        <v>55</v>
      </c>
      <c r="Z67" t="s">
        <v>54</v>
      </c>
      <c r="AB67" t="s">
        <v>55</v>
      </c>
      <c r="AD67" t="s">
        <v>55</v>
      </c>
      <c r="AF67" t="s">
        <v>55</v>
      </c>
      <c r="AH67" t="s">
        <v>55</v>
      </c>
      <c r="AJ67" t="s">
        <v>54</v>
      </c>
      <c r="AK67">
        <v>388</v>
      </c>
      <c r="AL67">
        <v>0.087</v>
      </c>
      <c r="AM67" t="s">
        <v>400</v>
      </c>
      <c r="AN67">
        <v>10</v>
      </c>
      <c r="AO67" t="s">
        <v>401</v>
      </c>
      <c r="AP67" t="s">
        <v>402</v>
      </c>
      <c r="AQ67" t="s">
        <v>55</v>
      </c>
      <c r="AR67" t="s">
        <v>403</v>
      </c>
      <c r="AS67" t="s">
        <v>55</v>
      </c>
    </row>
    <row r="68" ht="25.5" customHeight="1" spans="5:48">
      <c r="E68" s="3"/>
      <c r="F68" s="3" t="str">
        <f>HYPERLINK("https://www.youtube.com/@bravetech-ai","https://www.youtube.com/@bravetech-ai")</f>
        <v>https://www.youtube.com/@bravetech-ai</v>
      </c>
      <c r="G68" t="s">
        <v>52</v>
      </c>
      <c r="H68" t="s">
        <v>255</v>
      </c>
      <c r="I68" t="s">
        <v>269</v>
      </c>
      <c r="L68" t="s">
        <v>54</v>
      </c>
      <c r="M68">
        <v>10100</v>
      </c>
      <c r="N68" t="s">
        <v>55</v>
      </c>
      <c r="P68" t="s">
        <v>55</v>
      </c>
      <c r="R68" t="s">
        <v>54</v>
      </c>
      <c r="T68" t="s">
        <v>55</v>
      </c>
      <c r="X68" t="s">
        <v>55</v>
      </c>
      <c r="Z68" t="s">
        <v>54</v>
      </c>
      <c r="AB68" t="s">
        <v>55</v>
      </c>
      <c r="AD68" t="s">
        <v>55</v>
      </c>
      <c r="AF68" t="s">
        <v>55</v>
      </c>
      <c r="AH68" t="s">
        <v>55</v>
      </c>
      <c r="AJ68" t="s">
        <v>54</v>
      </c>
      <c r="AK68">
        <v>600</v>
      </c>
      <c r="AM68" t="s">
        <v>54</v>
      </c>
      <c r="AN68">
        <v>699</v>
      </c>
      <c r="AO68" t="s">
        <v>54</v>
      </c>
      <c r="AP68" t="s">
        <v>404</v>
      </c>
      <c r="AQ68" t="s">
        <v>55</v>
      </c>
      <c r="AV68" t="s">
        <v>254</v>
      </c>
    </row>
    <row r="69" ht="25.5" customHeight="1" spans="5:48">
      <c r="E69" s="3"/>
      <c r="F69" s="3" t="str">
        <f>HYPERLINK("https://www.tiktok.com/@ux.edward","https://www.tiktok.com/@ux.edward")</f>
        <v>https://www.tiktok.com/@ux.edward</v>
      </c>
      <c r="G69" t="s">
        <v>52</v>
      </c>
      <c r="H69" t="s">
        <v>255</v>
      </c>
      <c r="I69" t="s">
        <v>56</v>
      </c>
      <c r="L69" t="s">
        <v>54</v>
      </c>
      <c r="M69">
        <v>937000</v>
      </c>
      <c r="N69" t="s">
        <v>405</v>
      </c>
      <c r="P69" t="s">
        <v>55</v>
      </c>
      <c r="R69" t="s">
        <v>54</v>
      </c>
      <c r="T69" t="s">
        <v>55</v>
      </c>
      <c r="X69" t="s">
        <v>55</v>
      </c>
      <c r="Z69" t="s">
        <v>54</v>
      </c>
      <c r="AB69" t="s">
        <v>55</v>
      </c>
      <c r="AD69" t="s">
        <v>55</v>
      </c>
      <c r="AF69" t="s">
        <v>55</v>
      </c>
      <c r="AH69" t="s">
        <v>55</v>
      </c>
      <c r="AJ69" t="s">
        <v>54</v>
      </c>
      <c r="AK69">
        <v>3500</v>
      </c>
      <c r="AL69">
        <v>0.0458</v>
      </c>
      <c r="AM69" t="s">
        <v>406</v>
      </c>
      <c r="AO69" t="s">
        <v>407</v>
      </c>
      <c r="AP69" t="s">
        <v>184</v>
      </c>
      <c r="AQ69" t="s">
        <v>185</v>
      </c>
      <c r="AR69" t="s">
        <v>184</v>
      </c>
      <c r="AS69" t="s">
        <v>185</v>
      </c>
      <c r="AV69" t="s">
        <v>392</v>
      </c>
    </row>
    <row r="70" ht="25.5" customHeight="1" spans="1:45">
      <c r="A70" t="s">
        <v>143</v>
      </c>
      <c r="C70" t="s">
        <v>131</v>
      </c>
      <c r="E70" s="3" t="str">
        <f>HYPERLINK("https://app.hypeauditor.com/my-network/influencer/219732/analytics/youtube/UCDhPiDSDgU3Rz0CVGC9Qwgw","https://app.hypeauditor.com/my-network/influencer/219732/analytics/youtube/UCDhPiDSDgU3Rz0CVGC9Qwgw")</f>
        <v>https://app.hypeauditor.com/my-network/influencer/219732/analytics/youtube/UCDhPiDSDgU3Rz0CVGC9Qwgw</v>
      </c>
      <c r="F70" s="3" t="str">
        <f>HYPERLINK("https://www.youtube.com/channel/UCDhPiDSDgU3Rz0CVGC9Qwgw","https://www.youtube.com/channel/UCDhPiDSDgU3Rz0CVGC9Qwgw")</f>
        <v>https://www.youtube.com/channel/UCDhPiDSDgU3Rz0CVGC9Qwgw</v>
      </c>
      <c r="G70" t="s">
        <v>52</v>
      </c>
      <c r="H70" t="s">
        <v>255</v>
      </c>
      <c r="I70" t="s">
        <v>269</v>
      </c>
      <c r="K70" t="s">
        <v>89</v>
      </c>
      <c r="L70" t="s">
        <v>54</v>
      </c>
      <c r="M70">
        <v>235500</v>
      </c>
      <c r="N70" t="s">
        <v>408</v>
      </c>
      <c r="P70" t="s">
        <v>55</v>
      </c>
      <c r="R70" t="s">
        <v>54</v>
      </c>
      <c r="T70" t="s">
        <v>55</v>
      </c>
      <c r="X70" t="s">
        <v>55</v>
      </c>
      <c r="Z70" t="s">
        <v>54</v>
      </c>
      <c r="AB70" t="s">
        <v>55</v>
      </c>
      <c r="AD70" t="s">
        <v>55</v>
      </c>
      <c r="AF70" t="s">
        <v>55</v>
      </c>
      <c r="AH70" t="s">
        <v>55</v>
      </c>
      <c r="AJ70" t="s">
        <v>54</v>
      </c>
      <c r="AK70">
        <v>45700</v>
      </c>
      <c r="AL70">
        <v>0.0874</v>
      </c>
      <c r="AM70" t="s">
        <v>409</v>
      </c>
      <c r="AN70">
        <v>900</v>
      </c>
      <c r="AO70" t="s">
        <v>410</v>
      </c>
      <c r="AP70" t="s">
        <v>411</v>
      </c>
      <c r="AQ70" t="s">
        <v>412</v>
      </c>
      <c r="AR70" t="s">
        <v>413</v>
      </c>
      <c r="AS70" t="s">
        <v>55</v>
      </c>
    </row>
    <row r="71" ht="25.5" customHeight="1" spans="1:48">
      <c r="A71" t="s">
        <v>143</v>
      </c>
      <c r="E71" s="3" t="str">
        <f>HYPERLINK("https://app.hypeauditor.com/my-network/influencer/219732/analytics/instagram/stockdroid.official","https://app.hypeauditor.com/my-network/influencer/219732/analytics/instagram/stockdroid.official")</f>
        <v>https://app.hypeauditor.com/my-network/influencer/219732/analytics/instagram/stockdroid.official</v>
      </c>
      <c r="F71" s="3" t="str">
        <f>HYPERLINK("https://www.instagram.com/stockdroid.official/","https://www.instagram.com/stockdroid.official/")</f>
        <v>https://www.instagram.com/stockdroid.official/</v>
      </c>
      <c r="G71" t="s">
        <v>52</v>
      </c>
      <c r="H71" t="s">
        <v>255</v>
      </c>
      <c r="I71" t="s">
        <v>65</v>
      </c>
      <c r="K71" t="s">
        <v>89</v>
      </c>
      <c r="L71" t="s">
        <v>54</v>
      </c>
      <c r="M71">
        <v>38200</v>
      </c>
      <c r="N71" t="s">
        <v>55</v>
      </c>
      <c r="P71" t="s">
        <v>55</v>
      </c>
      <c r="R71" t="s">
        <v>54</v>
      </c>
      <c r="T71" t="s">
        <v>55</v>
      </c>
      <c r="X71" t="s">
        <v>55</v>
      </c>
      <c r="Z71" t="s">
        <v>54</v>
      </c>
      <c r="AB71" t="s">
        <v>55</v>
      </c>
      <c r="AD71" t="s">
        <v>55</v>
      </c>
      <c r="AF71" t="s">
        <v>55</v>
      </c>
      <c r="AH71" t="s">
        <v>55</v>
      </c>
      <c r="AJ71" t="s">
        <v>54</v>
      </c>
      <c r="AL71">
        <v>0.032</v>
      </c>
      <c r="AM71" t="s">
        <v>414</v>
      </c>
      <c r="AO71" t="s">
        <v>415</v>
      </c>
      <c r="AR71" t="s">
        <v>184</v>
      </c>
      <c r="AS71" t="s">
        <v>185</v>
      </c>
      <c r="AV71" t="s">
        <v>143</v>
      </c>
    </row>
    <row r="72" ht="25.5" customHeight="1" spans="1:45">
      <c r="A72" t="s">
        <v>416</v>
      </c>
      <c r="C72" t="s">
        <v>82</v>
      </c>
      <c r="E72" s="3" t="str">
        <f>HYPERLINK("https://app.hypeauditor.com/my-network/influencer/27671262/analytics/instagram/s.studybee","https://app.hypeauditor.com/my-network/influencer/27671262/analytics/instagram/s.studybee")</f>
        <v>https://app.hypeauditor.com/my-network/influencer/27671262/analytics/instagram/s.studybee</v>
      </c>
      <c r="F72" s="3" t="str">
        <f>HYPERLINK("https://www.instagram.com/s.studybee/reels/","https://www.instagram.com/s.studybee/reels/")</f>
        <v>https://www.instagram.com/s.studybee/reels/</v>
      </c>
      <c r="G72" t="s">
        <v>52</v>
      </c>
      <c r="H72" t="s">
        <v>53</v>
      </c>
      <c r="I72" t="s">
        <v>65</v>
      </c>
      <c r="J72" t="s">
        <v>116</v>
      </c>
      <c r="K72" t="s">
        <v>97</v>
      </c>
      <c r="L72" t="s">
        <v>54</v>
      </c>
      <c r="M72">
        <v>119900</v>
      </c>
      <c r="N72" t="s">
        <v>417</v>
      </c>
      <c r="P72" t="s">
        <v>55</v>
      </c>
      <c r="R72" t="s">
        <v>54</v>
      </c>
      <c r="T72" t="s">
        <v>55</v>
      </c>
      <c r="X72" t="s">
        <v>55</v>
      </c>
      <c r="Z72" t="s">
        <v>54</v>
      </c>
      <c r="AB72" t="s">
        <v>55</v>
      </c>
      <c r="AD72" t="s">
        <v>55</v>
      </c>
      <c r="AF72" t="s">
        <v>55</v>
      </c>
      <c r="AH72" t="s">
        <v>55</v>
      </c>
      <c r="AJ72" t="s">
        <v>54</v>
      </c>
      <c r="AK72">
        <v>40000</v>
      </c>
      <c r="AL72">
        <v>0.0079</v>
      </c>
      <c r="AM72" t="s">
        <v>418</v>
      </c>
      <c r="AN72">
        <v>400</v>
      </c>
      <c r="AO72" t="s">
        <v>419</v>
      </c>
      <c r="AP72" t="s">
        <v>139</v>
      </c>
      <c r="AQ72" t="s">
        <v>140</v>
      </c>
      <c r="AR72" t="s">
        <v>198</v>
      </c>
      <c r="AS72" t="s">
        <v>55</v>
      </c>
    </row>
    <row r="73" ht="25.5" customHeight="1" spans="1:48">
      <c r="A73" t="s">
        <v>416</v>
      </c>
      <c r="C73" t="s">
        <v>82</v>
      </c>
      <c r="E73" s="3" t="str">
        <f>HYPERLINK("https://app.hypeauditor.com/my-network/influencer/27671262/analytics/tiktok/s.studybee","https://app.hypeauditor.com/my-network/influencer/27671262/analytics/tiktok/s.studybee")</f>
        <v>https://app.hypeauditor.com/my-network/influencer/27671262/analytics/tiktok/s.studybee</v>
      </c>
      <c r="F73" s="3" t="str">
        <f>HYPERLINK("https://www.tiktok.com/@s.studybee","https://www.tiktok.com/@s.studybee")</f>
        <v>https://www.tiktok.com/@s.studybee</v>
      </c>
      <c r="G73" t="s">
        <v>52</v>
      </c>
      <c r="H73" t="s">
        <v>53</v>
      </c>
      <c r="I73" t="s">
        <v>56</v>
      </c>
      <c r="J73" t="s">
        <v>57</v>
      </c>
      <c r="K73" t="s">
        <v>97</v>
      </c>
      <c r="L73" t="s">
        <v>54</v>
      </c>
      <c r="M73">
        <v>72000</v>
      </c>
      <c r="N73" t="s">
        <v>55</v>
      </c>
      <c r="P73" t="s">
        <v>55</v>
      </c>
      <c r="R73" t="s">
        <v>54</v>
      </c>
      <c r="T73" t="s">
        <v>55</v>
      </c>
      <c r="X73" t="s">
        <v>55</v>
      </c>
      <c r="Z73" t="s">
        <v>54</v>
      </c>
      <c r="AB73" t="s">
        <v>55</v>
      </c>
      <c r="AD73" t="s">
        <v>55</v>
      </c>
      <c r="AF73" t="s">
        <v>55</v>
      </c>
      <c r="AH73" t="s">
        <v>55</v>
      </c>
      <c r="AJ73" t="s">
        <v>54</v>
      </c>
      <c r="AK73">
        <v>1400</v>
      </c>
      <c r="AL73">
        <v>0.0925</v>
      </c>
      <c r="AM73" t="s">
        <v>420</v>
      </c>
      <c r="AN73">
        <v>0</v>
      </c>
      <c r="AO73" t="s">
        <v>421</v>
      </c>
      <c r="AP73" t="s">
        <v>184</v>
      </c>
      <c r="AQ73" t="s">
        <v>185</v>
      </c>
      <c r="AR73" t="s">
        <v>184</v>
      </c>
      <c r="AS73" t="s">
        <v>185</v>
      </c>
      <c r="AV73" t="s">
        <v>416</v>
      </c>
    </row>
    <row r="74" ht="25.5" customHeight="1" spans="1:41">
      <c r="A74" t="s">
        <v>422</v>
      </c>
      <c r="C74" t="s">
        <v>72</v>
      </c>
      <c r="E74" s="3"/>
      <c r="F74" s="3"/>
      <c r="G74" t="s">
        <v>52</v>
      </c>
      <c r="H74" t="s">
        <v>53</v>
      </c>
      <c r="I74" t="s">
        <v>56</v>
      </c>
      <c r="K74" t="s">
        <v>58</v>
      </c>
      <c r="L74" t="s">
        <v>59</v>
      </c>
      <c r="P74" t="s">
        <v>55</v>
      </c>
      <c r="R74" t="s">
        <v>54</v>
      </c>
      <c r="T74" t="s">
        <v>55</v>
      </c>
      <c r="X74" t="s">
        <v>55</v>
      </c>
      <c r="Z74" t="s">
        <v>54</v>
      </c>
      <c r="AB74" t="s">
        <v>55</v>
      </c>
      <c r="AD74" t="s">
        <v>55</v>
      </c>
      <c r="AF74" t="s">
        <v>55</v>
      </c>
      <c r="AH74" t="s">
        <v>55</v>
      </c>
      <c r="AJ74" t="s">
        <v>54</v>
      </c>
      <c r="AM74" t="s">
        <v>54</v>
      </c>
      <c r="AO74" t="s">
        <v>54</v>
      </c>
    </row>
    <row r="75" ht="25.5" customHeight="1" spans="5:49">
      <c r="E75" s="3" t="str">
        <f>HYPERLINK("https://app.hypeauditor.com/my-network/influencer/32231637/analytics/youtube/UCztCleP7j3q4FKlpvbRABsg","https://app.hypeauditor.com/my-network/influencer/32231637/analytics/youtube/UCztCleP7j3q4FKlpvbRABsg")</f>
        <v>https://app.hypeauditor.com/my-network/influencer/32231637/analytics/youtube/UCztCleP7j3q4FKlpvbRABsg</v>
      </c>
      <c r="F75" s="3" t="str">
        <f>HYPERLINK("https://www.youtube.com/channel/UCztCleP7j3q4FKlpvbRABsg","https://www.youtube.com/channel/UCztCleP7j3q4FKlpvbRABsg")</f>
        <v>https://www.youtube.com/channel/UCztCleP7j3q4FKlpvbRABsg</v>
      </c>
      <c r="G75" t="s">
        <v>52</v>
      </c>
      <c r="H75" t="s">
        <v>255</v>
      </c>
      <c r="I75" t="s">
        <v>269</v>
      </c>
      <c r="J75" t="s">
        <v>423</v>
      </c>
      <c r="L75" t="s">
        <v>54</v>
      </c>
      <c r="M75">
        <v>1300</v>
      </c>
      <c r="N75" t="s">
        <v>55</v>
      </c>
      <c r="P75" t="s">
        <v>55</v>
      </c>
      <c r="R75" t="s">
        <v>54</v>
      </c>
      <c r="T75" t="s">
        <v>55</v>
      </c>
      <c r="X75" t="s">
        <v>55</v>
      </c>
      <c r="Z75" t="s">
        <v>54</v>
      </c>
      <c r="AB75" t="s">
        <v>55</v>
      </c>
      <c r="AD75" t="s">
        <v>55</v>
      </c>
      <c r="AF75" t="s">
        <v>55</v>
      </c>
      <c r="AH75" t="s">
        <v>55</v>
      </c>
      <c r="AJ75" t="s">
        <v>54</v>
      </c>
      <c r="AK75">
        <v>484</v>
      </c>
      <c r="AL75">
        <v>0.0001</v>
      </c>
      <c r="AM75" t="s">
        <v>424</v>
      </c>
      <c r="AO75" t="s">
        <v>425</v>
      </c>
      <c r="AP75" t="s">
        <v>184</v>
      </c>
      <c r="AQ75" t="s">
        <v>185</v>
      </c>
      <c r="AR75" t="s">
        <v>184</v>
      </c>
      <c r="AS75" t="s">
        <v>185</v>
      </c>
      <c r="AV75" t="s">
        <v>293</v>
      </c>
      <c r="AW75" t="s">
        <v>426</v>
      </c>
    </row>
    <row r="76" ht="25.5" customHeight="1" spans="1:50">
      <c r="A76" t="s">
        <v>427</v>
      </c>
      <c r="C76" t="s">
        <v>72</v>
      </c>
      <c r="E76" s="3" t="str">
        <f>HYPERLINK("https://app.hypeauditor.com/my-network/influencer/30498696/analytics/instagram/greghogg5","https://app.hypeauditor.com/my-network/influencer/30498696/analytics/instagram/greghogg5")</f>
        <v>https://app.hypeauditor.com/my-network/influencer/30498696/analytics/instagram/greghogg5</v>
      </c>
      <c r="F76" s="3" t="str">
        <f>HYPERLINK("https://www.instagram.com/greghogg5/reels/","https://www.instagram.com/greghogg5/reels/")</f>
        <v>https://www.instagram.com/greghogg5/reels/</v>
      </c>
      <c r="G76" t="s">
        <v>52</v>
      </c>
      <c r="H76" t="s">
        <v>255</v>
      </c>
      <c r="I76" t="s">
        <v>65</v>
      </c>
      <c r="K76" t="s">
        <v>58</v>
      </c>
      <c r="L76" t="s">
        <v>59</v>
      </c>
      <c r="M76">
        <v>267000</v>
      </c>
      <c r="N76" t="s">
        <v>428</v>
      </c>
      <c r="P76" t="s">
        <v>55</v>
      </c>
      <c r="R76" t="s">
        <v>54</v>
      </c>
      <c r="T76" t="s">
        <v>55</v>
      </c>
      <c r="X76" t="s">
        <v>55</v>
      </c>
      <c r="Z76" t="s">
        <v>54</v>
      </c>
      <c r="AB76" t="s">
        <v>55</v>
      </c>
      <c r="AD76" t="s">
        <v>55</v>
      </c>
      <c r="AF76" t="s">
        <v>55</v>
      </c>
      <c r="AH76" t="s">
        <v>55</v>
      </c>
      <c r="AJ76" t="s">
        <v>54</v>
      </c>
      <c r="AK76">
        <v>64300</v>
      </c>
      <c r="AL76">
        <v>0.0059</v>
      </c>
      <c r="AM76" t="s">
        <v>429</v>
      </c>
      <c r="AN76">
        <v>500</v>
      </c>
      <c r="AO76" t="s">
        <v>430</v>
      </c>
      <c r="AP76" t="s">
        <v>431</v>
      </c>
      <c r="AQ76" t="s">
        <v>432</v>
      </c>
      <c r="AR76" t="s">
        <v>433</v>
      </c>
      <c r="AS76" t="s">
        <v>55</v>
      </c>
      <c r="AW76" t="s">
        <v>427</v>
      </c>
      <c r="AX76" t="s">
        <v>434</v>
      </c>
    </row>
    <row r="77" ht="25.5" customHeight="1" spans="5:48">
      <c r="E77" s="3" t="str">
        <f>HYPERLINK("https://app.hypeauditor.com/my-network/influencer/33184975/analytics/tiktok/greghogg5","https://app.hypeauditor.com/my-network/influencer/33184975/analytics/tiktok/greghogg5")</f>
        <v>https://app.hypeauditor.com/my-network/influencer/33184975/analytics/tiktok/greghogg5</v>
      </c>
      <c r="F77" s="3" t="str">
        <f>HYPERLINK("https://www.tiktok.com/@greghogg5","https://www.tiktok.com/@greghogg5")</f>
        <v>https://www.tiktok.com/@greghogg5</v>
      </c>
      <c r="G77" t="s">
        <v>52</v>
      </c>
      <c r="H77" t="s">
        <v>255</v>
      </c>
      <c r="I77" t="s">
        <v>56</v>
      </c>
      <c r="L77" t="s">
        <v>54</v>
      </c>
      <c r="M77">
        <v>45600</v>
      </c>
      <c r="N77" t="s">
        <v>55</v>
      </c>
      <c r="P77" t="s">
        <v>55</v>
      </c>
      <c r="R77" t="s">
        <v>54</v>
      </c>
      <c r="T77" t="s">
        <v>55</v>
      </c>
      <c r="X77" t="s">
        <v>55</v>
      </c>
      <c r="Z77" t="s">
        <v>54</v>
      </c>
      <c r="AB77" t="s">
        <v>55</v>
      </c>
      <c r="AD77" t="s">
        <v>55</v>
      </c>
      <c r="AF77" t="s">
        <v>55</v>
      </c>
      <c r="AH77" t="s">
        <v>55</v>
      </c>
      <c r="AJ77" t="s">
        <v>54</v>
      </c>
      <c r="AK77">
        <v>35400</v>
      </c>
      <c r="AL77">
        <v>0.048</v>
      </c>
      <c r="AM77" t="s">
        <v>435</v>
      </c>
      <c r="AO77" t="s">
        <v>436</v>
      </c>
      <c r="AP77" t="s">
        <v>184</v>
      </c>
      <c r="AQ77" t="s">
        <v>185</v>
      </c>
      <c r="AR77" t="s">
        <v>184</v>
      </c>
      <c r="AS77" t="s">
        <v>185</v>
      </c>
      <c r="AV77" t="s">
        <v>427</v>
      </c>
    </row>
    <row r="78" ht="25.5" customHeight="1" spans="5:50">
      <c r="E78" s="3"/>
      <c r="F78" s="3" t="str">
        <f>HYPERLINK("https://www.youtube.com/@GregHogg","https://www.youtube.com/@GregHogg")</f>
        <v>https://www.youtube.com/@GregHogg</v>
      </c>
      <c r="G78" t="s">
        <v>52</v>
      </c>
      <c r="H78" t="s">
        <v>255</v>
      </c>
      <c r="I78" t="s">
        <v>269</v>
      </c>
      <c r="K78" t="s">
        <v>58</v>
      </c>
      <c r="L78" t="s">
        <v>59</v>
      </c>
      <c r="M78">
        <v>219500</v>
      </c>
      <c r="N78" t="s">
        <v>437</v>
      </c>
      <c r="P78" t="s">
        <v>55</v>
      </c>
      <c r="R78" t="s">
        <v>54</v>
      </c>
      <c r="T78" t="s">
        <v>55</v>
      </c>
      <c r="X78" t="s">
        <v>55</v>
      </c>
      <c r="Z78" t="s">
        <v>54</v>
      </c>
      <c r="AB78" t="s">
        <v>55</v>
      </c>
      <c r="AD78" t="s">
        <v>55</v>
      </c>
      <c r="AF78" t="s">
        <v>55</v>
      </c>
      <c r="AH78" t="s">
        <v>55</v>
      </c>
      <c r="AJ78" t="s">
        <v>54</v>
      </c>
      <c r="AK78">
        <v>5500</v>
      </c>
      <c r="AL78">
        <v>0.0292</v>
      </c>
      <c r="AM78" t="s">
        <v>438</v>
      </c>
      <c r="AO78" t="s">
        <v>439</v>
      </c>
      <c r="AP78" t="s">
        <v>184</v>
      </c>
      <c r="AQ78" t="s">
        <v>185</v>
      </c>
      <c r="AR78" t="s">
        <v>184</v>
      </c>
      <c r="AS78" t="s">
        <v>185</v>
      </c>
      <c r="AV78" t="s">
        <v>427</v>
      </c>
      <c r="AW78" t="s">
        <v>440</v>
      </c>
      <c r="AX78" t="s">
        <v>434</v>
      </c>
    </row>
    <row r="79" ht="25.5" customHeight="1" spans="1:45">
      <c r="A79" t="s">
        <v>441</v>
      </c>
      <c r="E79" s="3" t="str">
        <f>HYPERLINK("https://app.hypeauditor.com/my-network/influencer/21282862/analytics/tiktok/innocnofficial","https://app.hypeauditor.com/my-network/influencer/21282862/analytics/tiktok/innocnofficial")</f>
        <v>https://app.hypeauditor.com/my-network/influencer/21282862/analytics/tiktok/innocnofficial</v>
      </c>
      <c r="F79" s="3" t="str">
        <f>HYPERLINK("https://www.tiktok.com/@innocnofficial","https://www.tiktok.com/@innocnofficial")</f>
        <v>https://www.tiktok.com/@innocnofficial</v>
      </c>
      <c r="G79" t="s">
        <v>52</v>
      </c>
      <c r="H79" t="s">
        <v>255</v>
      </c>
      <c r="I79" t="s">
        <v>56</v>
      </c>
      <c r="K79" t="s">
        <v>58</v>
      </c>
      <c r="L79" t="s">
        <v>59</v>
      </c>
      <c r="M79">
        <v>7700</v>
      </c>
      <c r="N79" t="s">
        <v>55</v>
      </c>
      <c r="P79" t="s">
        <v>55</v>
      </c>
      <c r="R79" t="s">
        <v>54</v>
      </c>
      <c r="T79" t="s">
        <v>55</v>
      </c>
      <c r="X79" t="s">
        <v>55</v>
      </c>
      <c r="Z79" t="s">
        <v>54</v>
      </c>
      <c r="AB79" t="s">
        <v>55</v>
      </c>
      <c r="AD79" t="s">
        <v>55</v>
      </c>
      <c r="AF79" t="s">
        <v>55</v>
      </c>
      <c r="AH79" t="s">
        <v>55</v>
      </c>
      <c r="AJ79" t="s">
        <v>54</v>
      </c>
      <c r="AK79">
        <v>688</v>
      </c>
      <c r="AL79">
        <v>0.0184</v>
      </c>
      <c r="AM79" t="s">
        <v>442</v>
      </c>
      <c r="AO79" t="s">
        <v>443</v>
      </c>
      <c r="AP79" t="s">
        <v>184</v>
      </c>
      <c r="AQ79" t="s">
        <v>185</v>
      </c>
      <c r="AR79" t="s">
        <v>184</v>
      </c>
      <c r="AS79" t="s">
        <v>185</v>
      </c>
    </row>
    <row r="80" ht="25.5" customHeight="1" spans="1:45">
      <c r="A80" t="s">
        <v>444</v>
      </c>
      <c r="C80" t="s">
        <v>72</v>
      </c>
      <c r="E80" s="3" t="str">
        <f>HYPERLINK("https://app.hypeauditor.com/my-network/influencer/1571510/analytics/instagram/hamzazmi","https://app.hypeauditor.com/my-network/influencer/1571510/analytics/instagram/hamzazmi")</f>
        <v>https://app.hypeauditor.com/my-network/influencer/1571510/analytics/instagram/hamzazmi</v>
      </c>
      <c r="F80" s="3" t="str">
        <f>HYPERLINK("https://www.instagram.com/hamzazmi/","https://www.instagram.com/hamzazmi/")</f>
        <v>https://www.instagram.com/hamzazmi/</v>
      </c>
      <c r="G80" t="s">
        <v>52</v>
      </c>
      <c r="H80" t="s">
        <v>255</v>
      </c>
      <c r="I80" t="s">
        <v>65</v>
      </c>
      <c r="L80" t="s">
        <v>54</v>
      </c>
      <c r="M80">
        <v>276100</v>
      </c>
      <c r="N80" t="s">
        <v>445</v>
      </c>
      <c r="P80" t="s">
        <v>55</v>
      </c>
      <c r="R80" t="s">
        <v>54</v>
      </c>
      <c r="T80" t="s">
        <v>55</v>
      </c>
      <c r="X80" t="s">
        <v>55</v>
      </c>
      <c r="Z80" t="s">
        <v>54</v>
      </c>
      <c r="AB80" t="s">
        <v>55</v>
      </c>
      <c r="AD80" t="s">
        <v>55</v>
      </c>
      <c r="AF80" t="s">
        <v>55</v>
      </c>
      <c r="AH80" t="s">
        <v>55</v>
      </c>
      <c r="AJ80" t="s">
        <v>54</v>
      </c>
      <c r="AL80">
        <v>0.0321</v>
      </c>
      <c r="AM80" t="s">
        <v>446</v>
      </c>
      <c r="AO80" t="s">
        <v>447</v>
      </c>
      <c r="AR80" t="s">
        <v>184</v>
      </c>
      <c r="AS80" t="s">
        <v>185</v>
      </c>
    </row>
    <row r="81" ht="25.5" customHeight="1" spans="3:48">
      <c r="C81" t="s">
        <v>72</v>
      </c>
      <c r="E81" s="3"/>
      <c r="F81" s="3" t="str">
        <f>HYPERLINK("https://www.tiktok.com/@hamzazmi?lang=zh-Hans","https://www.tiktok.com/@hamzazmi?lang=zh-Hans")</f>
        <v>https://www.tiktok.com/@hamzazmi?lang=zh-Hans</v>
      </c>
      <c r="G81" t="s">
        <v>52</v>
      </c>
      <c r="H81" t="s">
        <v>255</v>
      </c>
      <c r="I81" t="s">
        <v>56</v>
      </c>
      <c r="L81" t="s">
        <v>54</v>
      </c>
      <c r="M81">
        <v>5955</v>
      </c>
      <c r="N81" t="s">
        <v>55</v>
      </c>
      <c r="P81" t="s">
        <v>55</v>
      </c>
      <c r="R81" t="s">
        <v>54</v>
      </c>
      <c r="T81" t="s">
        <v>55</v>
      </c>
      <c r="X81" t="s">
        <v>55</v>
      </c>
      <c r="Z81" t="s">
        <v>54</v>
      </c>
      <c r="AB81" t="s">
        <v>55</v>
      </c>
      <c r="AD81" t="s">
        <v>55</v>
      </c>
      <c r="AF81" t="s">
        <v>55</v>
      </c>
      <c r="AH81" t="s">
        <v>55</v>
      </c>
      <c r="AJ81" t="s">
        <v>54</v>
      </c>
      <c r="AM81" t="s">
        <v>54</v>
      </c>
      <c r="AO81" t="s">
        <v>54</v>
      </c>
      <c r="AV81" t="s">
        <v>444</v>
      </c>
    </row>
    <row r="82" ht="25.5" customHeight="1" spans="1:45">
      <c r="A82" t="s">
        <v>448</v>
      </c>
      <c r="C82" t="s">
        <v>131</v>
      </c>
      <c r="E82" s="3" t="str">
        <f>HYPERLINK("https://app.hypeauditor.com/my-network/influencer/9649206/analytics/instagram/joshglavinfilms","https://app.hypeauditor.com/my-network/influencer/9649206/analytics/instagram/joshglavinfilms")</f>
        <v>https://app.hypeauditor.com/my-network/influencer/9649206/analytics/instagram/joshglavinfilms</v>
      </c>
      <c r="F82" s="3" t="str">
        <f>HYPERLINK("https://www.instagram.com/joshglavinfilms/","https://www.instagram.com/joshglavinfilms/")</f>
        <v>https://www.instagram.com/joshglavinfilms/</v>
      </c>
      <c r="G82" t="s">
        <v>52</v>
      </c>
      <c r="H82" t="s">
        <v>53</v>
      </c>
      <c r="I82" t="s">
        <v>65</v>
      </c>
      <c r="J82" t="s">
        <v>116</v>
      </c>
      <c r="K82" t="s">
        <v>97</v>
      </c>
      <c r="L82" t="s">
        <v>54</v>
      </c>
      <c r="M82">
        <v>145000</v>
      </c>
      <c r="N82" t="s">
        <v>449</v>
      </c>
      <c r="P82" t="s">
        <v>55</v>
      </c>
      <c r="R82" t="s">
        <v>54</v>
      </c>
      <c r="T82" t="s">
        <v>55</v>
      </c>
      <c r="X82" t="s">
        <v>55</v>
      </c>
      <c r="Z82" t="s">
        <v>54</v>
      </c>
      <c r="AB82" t="s">
        <v>55</v>
      </c>
      <c r="AD82" t="s">
        <v>55</v>
      </c>
      <c r="AF82" t="s">
        <v>55</v>
      </c>
      <c r="AH82" t="s">
        <v>55</v>
      </c>
      <c r="AJ82" t="s">
        <v>54</v>
      </c>
      <c r="AK82">
        <v>30000</v>
      </c>
      <c r="AL82">
        <v>0.0098</v>
      </c>
      <c r="AM82" t="s">
        <v>450</v>
      </c>
      <c r="AN82">
        <v>300</v>
      </c>
      <c r="AO82" t="s">
        <v>451</v>
      </c>
      <c r="AP82" t="s">
        <v>139</v>
      </c>
      <c r="AQ82" t="s">
        <v>140</v>
      </c>
      <c r="AR82" t="s">
        <v>452</v>
      </c>
      <c r="AS82" t="s">
        <v>453</v>
      </c>
    </row>
    <row r="83" ht="25.5" customHeight="1" spans="1:45">
      <c r="A83" t="s">
        <v>454</v>
      </c>
      <c r="C83" t="s">
        <v>72</v>
      </c>
      <c r="E83" s="3" t="str">
        <f>HYPERLINK("https://app.hypeauditor.com/my-network/influencer/870555/analytics/tiktok/imtiffanyyu","https://app.hypeauditor.com/my-network/influencer/870555/analytics/tiktok/imtiffanyyu")</f>
        <v>https://app.hypeauditor.com/my-network/influencer/870555/analytics/tiktok/imtiffanyyu</v>
      </c>
      <c r="F83" s="3" t="str">
        <f>HYPERLINK("https://www.tiktok.com/@imtiffanyyu","https://www.tiktok.com/@imtiffanyyu")</f>
        <v>https://www.tiktok.com/@imtiffanyyu</v>
      </c>
      <c r="G83" t="s">
        <v>52</v>
      </c>
      <c r="H83" t="s">
        <v>255</v>
      </c>
      <c r="I83" t="s">
        <v>56</v>
      </c>
      <c r="K83" t="s">
        <v>455</v>
      </c>
      <c r="L83" t="s">
        <v>54</v>
      </c>
      <c r="M83">
        <v>149600</v>
      </c>
      <c r="N83" t="s">
        <v>456</v>
      </c>
      <c r="P83" t="s">
        <v>55</v>
      </c>
      <c r="R83" t="s">
        <v>54</v>
      </c>
      <c r="T83" t="s">
        <v>55</v>
      </c>
      <c r="X83" t="s">
        <v>55</v>
      </c>
      <c r="Z83" t="s">
        <v>54</v>
      </c>
      <c r="AB83" t="s">
        <v>55</v>
      </c>
      <c r="AD83" t="s">
        <v>55</v>
      </c>
      <c r="AF83" t="s">
        <v>55</v>
      </c>
      <c r="AH83" t="s">
        <v>55</v>
      </c>
      <c r="AJ83" t="s">
        <v>54</v>
      </c>
      <c r="AK83">
        <v>555</v>
      </c>
      <c r="AL83">
        <v>0.0634</v>
      </c>
      <c r="AM83" t="s">
        <v>457</v>
      </c>
      <c r="AO83" t="s">
        <v>458</v>
      </c>
      <c r="AP83" t="s">
        <v>184</v>
      </c>
      <c r="AQ83" t="s">
        <v>185</v>
      </c>
      <c r="AR83" t="s">
        <v>184</v>
      </c>
      <c r="AS83" t="s">
        <v>185</v>
      </c>
    </row>
    <row r="84" ht="25.5" customHeight="1" spans="1:48">
      <c r="A84" t="s">
        <v>459</v>
      </c>
      <c r="E84" s="3" t="str">
        <f>HYPERLINK("https://app.hypeauditor.com/my-network/influencer/30590130/analytics/youtube/UCrwctTrjOnkEr3twVe7CAlA","https://app.hypeauditor.com/my-network/influencer/30590130/analytics/youtube/UCrwctTrjOnkEr3twVe7CAlA")</f>
        <v>https://app.hypeauditor.com/my-network/influencer/30590130/analytics/youtube/UCrwctTrjOnkEr3twVe7CAlA</v>
      </c>
      <c r="F84" s="3" t="str">
        <f>HYPERLINK("https://www.youtube.com/@wmgpdlv/videos","https://www.youtube.com/@wmgpdlv/videos")</f>
        <v>https://www.youtube.com/@wmgpdlv/videos</v>
      </c>
      <c r="G84" t="s">
        <v>52</v>
      </c>
      <c r="H84" t="s">
        <v>255</v>
      </c>
      <c r="I84" t="s">
        <v>269</v>
      </c>
      <c r="K84" t="s">
        <v>455</v>
      </c>
      <c r="L84" t="s">
        <v>54</v>
      </c>
      <c r="M84">
        <v>25500</v>
      </c>
      <c r="N84" t="s">
        <v>55</v>
      </c>
      <c r="P84" t="s">
        <v>55</v>
      </c>
      <c r="R84" t="s">
        <v>54</v>
      </c>
      <c r="T84" t="s">
        <v>55</v>
      </c>
      <c r="X84" t="s">
        <v>55</v>
      </c>
      <c r="Z84" t="s">
        <v>54</v>
      </c>
      <c r="AB84" t="s">
        <v>55</v>
      </c>
      <c r="AD84" t="s">
        <v>55</v>
      </c>
      <c r="AF84" t="s">
        <v>55</v>
      </c>
      <c r="AH84" t="s">
        <v>55</v>
      </c>
      <c r="AJ84" t="s">
        <v>54</v>
      </c>
      <c r="AK84">
        <v>12600</v>
      </c>
      <c r="AL84">
        <v>0.0794</v>
      </c>
      <c r="AM84" t="s">
        <v>460</v>
      </c>
      <c r="AO84" t="s">
        <v>461</v>
      </c>
      <c r="AP84" t="s">
        <v>184</v>
      </c>
      <c r="AQ84" t="s">
        <v>185</v>
      </c>
      <c r="AR84" t="s">
        <v>184</v>
      </c>
      <c r="AS84" t="s">
        <v>185</v>
      </c>
      <c r="AV84" t="s">
        <v>459</v>
      </c>
    </row>
    <row r="85" ht="25.5" customHeight="1" spans="1:48">
      <c r="A85" t="s">
        <v>459</v>
      </c>
      <c r="E85" s="3" t="str">
        <f>HYPERLINK("https://app.hypeauditor.com/my-network/influencer/32339863/analytics/tiktok/wmgpdlv","https://app.hypeauditor.com/my-network/influencer/32339863/analytics/tiktok/wmgpdlv")</f>
        <v>https://app.hypeauditor.com/my-network/influencer/32339863/analytics/tiktok/wmgpdlv</v>
      </c>
      <c r="F85" s="3" t="str">
        <f>HYPERLINK("https://www.tiktok.com/@wmgpdlv","https://www.tiktok.com/@wmgpdlv")</f>
        <v>https://www.tiktok.com/@wmgpdlv</v>
      </c>
      <c r="G85" t="s">
        <v>52</v>
      </c>
      <c r="H85" t="s">
        <v>255</v>
      </c>
      <c r="I85" t="s">
        <v>56</v>
      </c>
      <c r="K85" t="s">
        <v>455</v>
      </c>
      <c r="L85" t="s">
        <v>54</v>
      </c>
      <c r="M85">
        <v>26200</v>
      </c>
      <c r="N85" t="s">
        <v>55</v>
      </c>
      <c r="P85" t="s">
        <v>55</v>
      </c>
      <c r="R85" t="s">
        <v>54</v>
      </c>
      <c r="T85" t="s">
        <v>55</v>
      </c>
      <c r="X85" t="s">
        <v>55</v>
      </c>
      <c r="Z85" t="s">
        <v>54</v>
      </c>
      <c r="AB85" t="s">
        <v>55</v>
      </c>
      <c r="AD85" t="s">
        <v>55</v>
      </c>
      <c r="AF85" t="s">
        <v>55</v>
      </c>
      <c r="AH85" t="s">
        <v>55</v>
      </c>
      <c r="AJ85" t="s">
        <v>54</v>
      </c>
      <c r="AK85">
        <v>4100</v>
      </c>
      <c r="AL85">
        <v>0.1621</v>
      </c>
      <c r="AM85" t="s">
        <v>462</v>
      </c>
      <c r="AO85" t="s">
        <v>463</v>
      </c>
      <c r="AP85" t="s">
        <v>184</v>
      </c>
      <c r="AQ85" t="s">
        <v>185</v>
      </c>
      <c r="AR85" t="s">
        <v>184</v>
      </c>
      <c r="AS85" t="s">
        <v>185</v>
      </c>
      <c r="AV85" t="s">
        <v>459</v>
      </c>
    </row>
    <row r="86" ht="25.5" customHeight="1" spans="1:45">
      <c r="A86" t="s">
        <v>459</v>
      </c>
      <c r="C86" t="s">
        <v>144</v>
      </c>
      <c r="E86" s="3" t="str">
        <f>HYPERLINK("https://app.hypeauditor.com/my-network/influencer/8150275/analytics/instagram/wmgpdlv","https://app.hypeauditor.com/my-network/influencer/8150275/analytics/instagram/wmgpdlv")</f>
        <v>https://app.hypeauditor.com/my-network/influencer/8150275/analytics/instagram/wmgpdlv</v>
      </c>
      <c r="F86" s="3" t="str">
        <f>HYPERLINK("https://www.instagram.com/wmgpdlv/","https://www.instagram.com/wmgpdlv/")</f>
        <v>https://www.instagram.com/wmgpdlv/</v>
      </c>
      <c r="G86" t="s">
        <v>52</v>
      </c>
      <c r="H86" t="s">
        <v>255</v>
      </c>
      <c r="I86" t="s">
        <v>65</v>
      </c>
      <c r="K86" t="s">
        <v>455</v>
      </c>
      <c r="L86" t="s">
        <v>54</v>
      </c>
      <c r="M86">
        <v>54600</v>
      </c>
      <c r="N86" t="s">
        <v>55</v>
      </c>
      <c r="P86" t="s">
        <v>55</v>
      </c>
      <c r="R86" t="s">
        <v>54</v>
      </c>
      <c r="T86" t="s">
        <v>55</v>
      </c>
      <c r="X86" t="s">
        <v>55</v>
      </c>
      <c r="Z86" t="s">
        <v>54</v>
      </c>
      <c r="AB86" t="s">
        <v>55</v>
      </c>
      <c r="AD86" t="s">
        <v>55</v>
      </c>
      <c r="AF86" t="s">
        <v>55</v>
      </c>
      <c r="AH86" t="s">
        <v>55</v>
      </c>
      <c r="AJ86" t="s">
        <v>54</v>
      </c>
      <c r="AK86">
        <v>12900</v>
      </c>
      <c r="AL86">
        <v>0.0454</v>
      </c>
      <c r="AM86" t="s">
        <v>464</v>
      </c>
      <c r="AO86" t="s">
        <v>465</v>
      </c>
      <c r="AP86" t="s">
        <v>184</v>
      </c>
      <c r="AQ86" t="s">
        <v>185</v>
      </c>
      <c r="AR86" t="s">
        <v>184</v>
      </c>
      <c r="AS86" t="s">
        <v>185</v>
      </c>
    </row>
    <row r="87" ht="25.5" customHeight="1" spans="1:45">
      <c r="A87" t="s">
        <v>466</v>
      </c>
      <c r="C87" t="s">
        <v>72</v>
      </c>
      <c r="E87" s="3" t="str">
        <f>HYPERLINK("https://app.hypeauditor.com/my-network/influencer/8663707/analytics/tiktok/gordonly_","https://app.hypeauditor.com/my-network/influencer/8663707/analytics/tiktok/gordonly_")</f>
        <v>https://app.hypeauditor.com/my-network/influencer/8663707/analytics/tiktok/gordonly_</v>
      </c>
      <c r="F87" s="3" t="str">
        <f>HYPERLINK("https://www.tiktok.com/@gordonly_","https://www.tiktok.com/@gordonly_")</f>
        <v>https://www.tiktok.com/@gordonly_</v>
      </c>
      <c r="G87" t="s">
        <v>52</v>
      </c>
      <c r="H87" t="s">
        <v>255</v>
      </c>
      <c r="I87" t="s">
        <v>56</v>
      </c>
      <c r="K87" t="s">
        <v>455</v>
      </c>
      <c r="L87" t="s">
        <v>54</v>
      </c>
      <c r="M87">
        <v>12000</v>
      </c>
      <c r="N87" t="s">
        <v>55</v>
      </c>
      <c r="P87" t="s">
        <v>55</v>
      </c>
      <c r="R87" t="s">
        <v>54</v>
      </c>
      <c r="T87" t="s">
        <v>55</v>
      </c>
      <c r="X87" t="s">
        <v>55</v>
      </c>
      <c r="Z87" t="s">
        <v>54</v>
      </c>
      <c r="AB87" t="s">
        <v>55</v>
      </c>
      <c r="AD87" t="s">
        <v>55</v>
      </c>
      <c r="AF87" t="s">
        <v>55</v>
      </c>
      <c r="AH87" t="s">
        <v>55</v>
      </c>
      <c r="AJ87" t="s">
        <v>54</v>
      </c>
      <c r="AK87">
        <v>801</v>
      </c>
      <c r="AL87">
        <v>0.0541</v>
      </c>
      <c r="AM87" t="s">
        <v>467</v>
      </c>
      <c r="AN87">
        <v>2000</v>
      </c>
      <c r="AO87" t="s">
        <v>468</v>
      </c>
      <c r="AP87" t="s">
        <v>469</v>
      </c>
      <c r="AQ87" t="s">
        <v>55</v>
      </c>
      <c r="AR87" t="s">
        <v>470</v>
      </c>
      <c r="AS87" t="s">
        <v>55</v>
      </c>
    </row>
    <row r="88" ht="25.5" customHeight="1" spans="1:45">
      <c r="A88" t="s">
        <v>471</v>
      </c>
      <c r="C88" t="s">
        <v>72</v>
      </c>
      <c r="E88" s="3" t="str">
        <f>HYPERLINK("https://app.hypeauditor.com/my-network/influencer/32616778/analytics/instagram/emmyxtech","https://app.hypeauditor.com/my-network/influencer/32616778/analytics/instagram/emmyxtech")</f>
        <v>https://app.hypeauditor.com/my-network/influencer/32616778/analytics/instagram/emmyxtech</v>
      </c>
      <c r="F88" s="3" t="str">
        <f>HYPERLINK("https://www.instagram.com/emmyxtech/","https://www.instagram.com/emmyxtech/")</f>
        <v>https://www.instagram.com/emmyxtech/</v>
      </c>
      <c r="G88" t="s">
        <v>52</v>
      </c>
      <c r="H88" t="s">
        <v>472</v>
      </c>
      <c r="I88" t="s">
        <v>65</v>
      </c>
      <c r="K88" t="s">
        <v>455</v>
      </c>
      <c r="L88" t="s">
        <v>54</v>
      </c>
      <c r="M88">
        <v>231000</v>
      </c>
      <c r="N88" t="s">
        <v>473</v>
      </c>
      <c r="P88" t="s">
        <v>55</v>
      </c>
      <c r="R88" t="s">
        <v>54</v>
      </c>
      <c r="T88" t="s">
        <v>55</v>
      </c>
      <c r="X88" t="s">
        <v>55</v>
      </c>
      <c r="Z88" t="s">
        <v>54</v>
      </c>
      <c r="AB88" t="s">
        <v>55</v>
      </c>
      <c r="AD88" t="s">
        <v>55</v>
      </c>
      <c r="AF88" t="s">
        <v>55</v>
      </c>
      <c r="AH88" t="s">
        <v>55</v>
      </c>
      <c r="AJ88" t="s">
        <v>54</v>
      </c>
      <c r="AK88">
        <v>120000</v>
      </c>
      <c r="AL88">
        <v>0.022</v>
      </c>
      <c r="AM88" t="s">
        <v>474</v>
      </c>
      <c r="AN88">
        <v>1200</v>
      </c>
      <c r="AO88" t="s">
        <v>475</v>
      </c>
      <c r="AP88" t="s">
        <v>139</v>
      </c>
      <c r="AQ88" t="s">
        <v>140</v>
      </c>
      <c r="AR88" t="s">
        <v>476</v>
      </c>
      <c r="AS88" t="s">
        <v>55</v>
      </c>
    </row>
    <row r="89" ht="25.5" customHeight="1" spans="1:48">
      <c r="A89" t="s">
        <v>416</v>
      </c>
      <c r="C89" t="s">
        <v>82</v>
      </c>
      <c r="E89" s="3" t="str">
        <f>HYPERLINK("https://app.hypeauditor.com/my-network/influencer/30157034/analytics/youtube/UCBd_J-JldobOrOD0YAiJIdA","https://app.hypeauditor.com/my-network/influencer/30157034/analytics/youtube/UCBd_J-JldobOrOD0YAiJIdA")</f>
        <v>https://app.hypeauditor.com/my-network/influencer/30157034/analytics/youtube/UCBd_J-JldobOrOD0YAiJIdA</v>
      </c>
      <c r="F89" s="3" t="str">
        <f>HYPERLINK("https://www.youtube.com/@studybee001/shorts","https://www.youtube.com/@studybee001/shorts")</f>
        <v>https://www.youtube.com/@studybee001/shorts</v>
      </c>
      <c r="G89" t="s">
        <v>52</v>
      </c>
      <c r="H89" t="s">
        <v>53</v>
      </c>
      <c r="I89" t="s">
        <v>269</v>
      </c>
      <c r="J89" t="s">
        <v>423</v>
      </c>
      <c r="K89" t="s">
        <v>97</v>
      </c>
      <c r="L89" t="s">
        <v>54</v>
      </c>
      <c r="M89">
        <v>299000</v>
      </c>
      <c r="N89" t="s">
        <v>477</v>
      </c>
      <c r="P89" t="s">
        <v>55</v>
      </c>
      <c r="R89" t="s">
        <v>54</v>
      </c>
      <c r="T89" t="s">
        <v>55</v>
      </c>
      <c r="X89" t="s">
        <v>55</v>
      </c>
      <c r="Z89" t="s">
        <v>54</v>
      </c>
      <c r="AB89" t="s">
        <v>55</v>
      </c>
      <c r="AD89" t="s">
        <v>55</v>
      </c>
      <c r="AF89" t="s">
        <v>55</v>
      </c>
      <c r="AH89" t="s">
        <v>55</v>
      </c>
      <c r="AJ89" t="s">
        <v>54</v>
      </c>
      <c r="AK89">
        <v>530</v>
      </c>
      <c r="AL89">
        <v>0.0001</v>
      </c>
      <c r="AM89" t="s">
        <v>478</v>
      </c>
      <c r="AN89">
        <v>0</v>
      </c>
      <c r="AO89" t="s">
        <v>479</v>
      </c>
      <c r="AP89" t="s">
        <v>184</v>
      </c>
      <c r="AQ89" t="s">
        <v>185</v>
      </c>
      <c r="AR89" t="s">
        <v>184</v>
      </c>
      <c r="AS89" t="s">
        <v>185</v>
      </c>
      <c r="AV89" t="s">
        <v>416</v>
      </c>
    </row>
    <row r="90" ht="25.5" customHeight="1" spans="1:43">
      <c r="A90" t="s">
        <v>480</v>
      </c>
      <c r="C90" t="s">
        <v>51</v>
      </c>
      <c r="E90" s="3" t="str">
        <f>HYPERLINK("https://app.hypeauditor.com/my-network/influencer/300848/analytics/instagram/pannacotech","https://app.hypeauditor.com/my-network/influencer/300848/analytics/instagram/pannacotech")</f>
        <v>https://app.hypeauditor.com/my-network/influencer/300848/analytics/instagram/pannacotech</v>
      </c>
      <c r="F90" s="3" t="str">
        <f>HYPERLINK("https://www.instagram.com/pannacotech/reels/","https://www.instagram.com/pannacotech/reels/")</f>
        <v>https://www.instagram.com/pannacotech/reels/</v>
      </c>
      <c r="G90" t="s">
        <v>52</v>
      </c>
      <c r="H90" t="s">
        <v>53</v>
      </c>
      <c r="I90" t="s">
        <v>65</v>
      </c>
      <c r="J90" t="s">
        <v>116</v>
      </c>
      <c r="L90" t="s">
        <v>54</v>
      </c>
      <c r="P90" t="s">
        <v>55</v>
      </c>
      <c r="R90" t="s">
        <v>54</v>
      </c>
      <c r="T90" t="s">
        <v>55</v>
      </c>
      <c r="X90" t="s">
        <v>55</v>
      </c>
      <c r="Z90" t="s">
        <v>54</v>
      </c>
      <c r="AB90" t="s">
        <v>55</v>
      </c>
      <c r="AD90" t="s">
        <v>55</v>
      </c>
      <c r="AF90" t="s">
        <v>55</v>
      </c>
      <c r="AH90" t="s">
        <v>55</v>
      </c>
      <c r="AJ90" t="s">
        <v>54</v>
      </c>
      <c r="AK90">
        <v>34600</v>
      </c>
      <c r="AM90" t="s">
        <v>54</v>
      </c>
      <c r="AN90">
        <v>1200</v>
      </c>
      <c r="AO90" t="s">
        <v>54</v>
      </c>
      <c r="AP90" t="s">
        <v>481</v>
      </c>
      <c r="AQ90" t="s">
        <v>55</v>
      </c>
    </row>
    <row r="91" ht="25.5" customHeight="1" spans="1:48">
      <c r="A91" t="s">
        <v>480</v>
      </c>
      <c r="C91" t="s">
        <v>51</v>
      </c>
      <c r="E91" s="3" t="str">
        <f>HYPERLINK("https://app.hypeauditor.com/my-network/influencer/394358/analytics/tiktok/pannacotech","https://app.hypeauditor.com/my-network/influencer/394358/analytics/tiktok/pannacotech")</f>
        <v>https://app.hypeauditor.com/my-network/influencer/394358/analytics/tiktok/pannacotech</v>
      </c>
      <c r="F91" s="3" t="str">
        <f>HYPERLINK("https://www.tiktok.com/@pannacotech","https://www.tiktok.com/@pannacotech")</f>
        <v>https://www.tiktok.com/@pannacotech</v>
      </c>
      <c r="G91" t="s">
        <v>52</v>
      </c>
      <c r="H91" t="s">
        <v>53</v>
      </c>
      <c r="I91" t="s">
        <v>56</v>
      </c>
      <c r="J91" t="s">
        <v>57</v>
      </c>
      <c r="L91" t="s">
        <v>54</v>
      </c>
      <c r="P91" t="s">
        <v>55</v>
      </c>
      <c r="R91" t="s">
        <v>54</v>
      </c>
      <c r="T91" t="s">
        <v>55</v>
      </c>
      <c r="X91" t="s">
        <v>55</v>
      </c>
      <c r="Z91" t="s">
        <v>54</v>
      </c>
      <c r="AB91" t="s">
        <v>55</v>
      </c>
      <c r="AD91" t="s">
        <v>55</v>
      </c>
      <c r="AF91" t="s">
        <v>55</v>
      </c>
      <c r="AH91" t="s">
        <v>55</v>
      </c>
      <c r="AJ91" t="s">
        <v>54</v>
      </c>
      <c r="AK91">
        <v>40000</v>
      </c>
      <c r="AM91" t="s">
        <v>54</v>
      </c>
      <c r="AO91" t="s">
        <v>54</v>
      </c>
      <c r="AP91" t="s">
        <v>184</v>
      </c>
      <c r="AQ91" t="s">
        <v>185</v>
      </c>
      <c r="AV91" t="s">
        <v>480</v>
      </c>
    </row>
    <row r="92" ht="25.5" customHeight="1" spans="3:48">
      <c r="C92" t="s">
        <v>72</v>
      </c>
      <c r="E92" s="3"/>
      <c r="F92" s="3" t="str">
        <f>HYPERLINK("https://www.instagram.com/gordonly/","https://www.instagram.com/gordonly/")</f>
        <v>https://www.instagram.com/gordonly/</v>
      </c>
      <c r="G92" t="s">
        <v>52</v>
      </c>
      <c r="H92" t="s">
        <v>255</v>
      </c>
      <c r="I92" t="s">
        <v>65</v>
      </c>
      <c r="J92" t="s">
        <v>116</v>
      </c>
      <c r="K92" t="s">
        <v>455</v>
      </c>
      <c r="L92" t="s">
        <v>54</v>
      </c>
      <c r="M92">
        <v>56600</v>
      </c>
      <c r="N92" t="s">
        <v>55</v>
      </c>
      <c r="P92" t="s">
        <v>55</v>
      </c>
      <c r="R92" t="s">
        <v>54</v>
      </c>
      <c r="T92" t="s">
        <v>55</v>
      </c>
      <c r="X92" t="s">
        <v>55</v>
      </c>
      <c r="Z92" t="s">
        <v>54</v>
      </c>
      <c r="AB92" t="s">
        <v>55</v>
      </c>
      <c r="AD92" t="s">
        <v>55</v>
      </c>
      <c r="AF92" t="s">
        <v>55</v>
      </c>
      <c r="AH92" t="s">
        <v>55</v>
      </c>
      <c r="AJ92" t="s">
        <v>54</v>
      </c>
      <c r="AK92">
        <v>25100</v>
      </c>
      <c r="AL92">
        <v>0.0113</v>
      </c>
      <c r="AM92" t="s">
        <v>482</v>
      </c>
      <c r="AN92">
        <v>250</v>
      </c>
      <c r="AO92" t="s">
        <v>483</v>
      </c>
      <c r="AP92" t="s">
        <v>484</v>
      </c>
      <c r="AQ92" t="s">
        <v>485</v>
      </c>
      <c r="AR92" t="s">
        <v>486</v>
      </c>
      <c r="AS92" t="s">
        <v>55</v>
      </c>
      <c r="AV92" t="s">
        <v>466</v>
      </c>
    </row>
    <row r="93" ht="25.5" customHeight="1" spans="1:45">
      <c r="A93" t="s">
        <v>487</v>
      </c>
      <c r="C93" t="s">
        <v>72</v>
      </c>
      <c r="E93" s="3" t="str">
        <f>HYPERLINK("https://app.hypeauditor.com/my-network/influencer/478036/analytics/instagram/shiveetalks","https://app.hypeauditor.com/my-network/influencer/478036/analytics/instagram/shiveetalks")</f>
        <v>https://app.hypeauditor.com/my-network/influencer/478036/analytics/instagram/shiveetalks</v>
      </c>
      <c r="F93" s="3" t="str">
        <f>HYPERLINK("https://www.instagram.com/shiveetalks/","https://www.instagram.com/shiveetalks/")</f>
        <v>https://www.instagram.com/shiveetalks/</v>
      </c>
      <c r="G93" t="s">
        <v>52</v>
      </c>
      <c r="H93" t="s">
        <v>255</v>
      </c>
      <c r="I93" t="s">
        <v>65</v>
      </c>
      <c r="J93" t="s">
        <v>116</v>
      </c>
      <c r="K93" t="s">
        <v>455</v>
      </c>
      <c r="L93" t="s">
        <v>54</v>
      </c>
      <c r="M93">
        <v>185100</v>
      </c>
      <c r="N93" t="s">
        <v>488</v>
      </c>
      <c r="P93" t="s">
        <v>55</v>
      </c>
      <c r="R93" t="s">
        <v>54</v>
      </c>
      <c r="T93" t="s">
        <v>55</v>
      </c>
      <c r="X93" t="s">
        <v>55</v>
      </c>
      <c r="Z93" t="s">
        <v>54</v>
      </c>
      <c r="AB93" t="s">
        <v>55</v>
      </c>
      <c r="AD93" t="s">
        <v>55</v>
      </c>
      <c r="AF93" t="s">
        <v>55</v>
      </c>
      <c r="AH93" t="s">
        <v>55</v>
      </c>
      <c r="AJ93" t="s">
        <v>54</v>
      </c>
      <c r="AK93">
        <v>162900</v>
      </c>
      <c r="AL93">
        <v>0.0082</v>
      </c>
      <c r="AM93" t="s">
        <v>489</v>
      </c>
      <c r="AN93">
        <v>1500</v>
      </c>
      <c r="AO93" t="s">
        <v>490</v>
      </c>
      <c r="AP93" t="s">
        <v>491</v>
      </c>
      <c r="AQ93" t="s">
        <v>492</v>
      </c>
      <c r="AR93" t="s">
        <v>493</v>
      </c>
      <c r="AS93" t="s">
        <v>55</v>
      </c>
    </row>
    <row r="94" ht="25.5" customHeight="1" spans="1:45">
      <c r="A94" t="s">
        <v>494</v>
      </c>
      <c r="C94" t="s">
        <v>72</v>
      </c>
      <c r="E94" s="3" t="str">
        <f>HYPERLINK("https://app.hypeauditor.com/my-network/influencer/393045/analytics/instagram/georgewarringtonuk","https://app.hypeauditor.com/my-network/influencer/393045/analytics/instagram/georgewarringtonuk")</f>
        <v>https://app.hypeauditor.com/my-network/influencer/393045/analytics/instagram/georgewarringtonuk</v>
      </c>
      <c r="F94" s="3" t="str">
        <f>HYPERLINK("https://www.instagram.com/georgewarringtonuk/","https://www.instagram.com/georgewarringtonuk/")</f>
        <v>https://www.instagram.com/georgewarringtonuk/</v>
      </c>
      <c r="G94" t="s">
        <v>52</v>
      </c>
      <c r="H94" t="s">
        <v>255</v>
      </c>
      <c r="I94" t="s">
        <v>65</v>
      </c>
      <c r="J94" t="s">
        <v>116</v>
      </c>
      <c r="K94" t="s">
        <v>455</v>
      </c>
      <c r="L94" t="s">
        <v>54</v>
      </c>
      <c r="M94">
        <v>56200</v>
      </c>
      <c r="N94" t="s">
        <v>55</v>
      </c>
      <c r="P94" t="s">
        <v>55</v>
      </c>
      <c r="R94" t="s">
        <v>54</v>
      </c>
      <c r="T94" t="s">
        <v>55</v>
      </c>
      <c r="X94" t="s">
        <v>55</v>
      </c>
      <c r="Z94" t="s">
        <v>54</v>
      </c>
      <c r="AB94" t="s">
        <v>55</v>
      </c>
      <c r="AD94" t="s">
        <v>55</v>
      </c>
      <c r="AF94" t="s">
        <v>55</v>
      </c>
      <c r="AH94" t="s">
        <v>55</v>
      </c>
      <c r="AJ94" t="s">
        <v>54</v>
      </c>
      <c r="AK94">
        <v>17000</v>
      </c>
      <c r="AL94">
        <v>0.0128</v>
      </c>
      <c r="AM94" t="s">
        <v>495</v>
      </c>
      <c r="AN94">
        <v>170</v>
      </c>
      <c r="AO94" t="s">
        <v>496</v>
      </c>
      <c r="AP94" t="s">
        <v>139</v>
      </c>
      <c r="AQ94" t="s">
        <v>140</v>
      </c>
      <c r="AR94" t="s">
        <v>476</v>
      </c>
      <c r="AS94" t="s">
        <v>55</v>
      </c>
    </row>
    <row r="95" ht="25.5" customHeight="1" spans="1:45">
      <c r="A95" t="s">
        <v>497</v>
      </c>
      <c r="C95" t="s">
        <v>72</v>
      </c>
      <c r="E95" s="3" t="str">
        <f>HYPERLINK("https://app.hypeauditor.com/my-network/influencer/3117695/analytics/tiktok/oxydoxytv","https://app.hypeauditor.com/my-network/influencer/3117695/analytics/tiktok/oxydoxytv")</f>
        <v>https://app.hypeauditor.com/my-network/influencer/3117695/analytics/tiktok/oxydoxytv</v>
      </c>
      <c r="F95" s="3" t="str">
        <f>HYPERLINK("https://www.tiktok.com/@oxydoxytv","https://www.tiktok.com/@oxydoxytv")</f>
        <v>https://www.tiktok.com/@oxydoxytv</v>
      </c>
      <c r="G95" t="s">
        <v>52</v>
      </c>
      <c r="H95" t="s">
        <v>317</v>
      </c>
      <c r="I95" t="s">
        <v>56</v>
      </c>
      <c r="K95" t="s">
        <v>89</v>
      </c>
      <c r="L95" t="s">
        <v>54</v>
      </c>
      <c r="M95">
        <v>1100000</v>
      </c>
      <c r="N95" t="s">
        <v>498</v>
      </c>
      <c r="P95" t="s">
        <v>55</v>
      </c>
      <c r="R95" t="s">
        <v>54</v>
      </c>
      <c r="T95" t="s">
        <v>55</v>
      </c>
      <c r="X95" t="s">
        <v>55</v>
      </c>
      <c r="Z95" t="s">
        <v>54</v>
      </c>
      <c r="AB95" t="s">
        <v>55</v>
      </c>
      <c r="AD95" t="s">
        <v>55</v>
      </c>
      <c r="AF95" t="s">
        <v>55</v>
      </c>
      <c r="AH95" t="s">
        <v>55</v>
      </c>
      <c r="AJ95" t="s">
        <v>54</v>
      </c>
      <c r="AK95">
        <v>8700</v>
      </c>
      <c r="AL95">
        <v>0.0523</v>
      </c>
      <c r="AM95" t="s">
        <v>499</v>
      </c>
      <c r="AO95" t="s">
        <v>500</v>
      </c>
      <c r="AP95" t="s">
        <v>184</v>
      </c>
      <c r="AQ95" t="s">
        <v>185</v>
      </c>
      <c r="AR95" t="s">
        <v>184</v>
      </c>
      <c r="AS95" t="s">
        <v>185</v>
      </c>
    </row>
    <row r="96" ht="25.5" customHeight="1" spans="5:48">
      <c r="E96" s="3" t="str">
        <f>HYPERLINK("https://app.hypeauditor.com/my-network/influencer/948204/analytics/instagram/oxydoxytv","https://app.hypeauditor.com/my-network/influencer/948204/analytics/instagram/oxydoxytv")</f>
        <v>https://app.hypeauditor.com/my-network/influencer/948204/analytics/instagram/oxydoxytv</v>
      </c>
      <c r="F96" s="3" t="str">
        <f>HYPERLINK("https://www.instagram.com/oxydoxytv/","https://www.instagram.com/oxydoxytv/")</f>
        <v>https://www.instagram.com/oxydoxytv/</v>
      </c>
      <c r="G96" t="s">
        <v>52</v>
      </c>
      <c r="I96" t="s">
        <v>65</v>
      </c>
      <c r="L96" t="s">
        <v>54</v>
      </c>
      <c r="M96">
        <v>379000</v>
      </c>
      <c r="N96" t="s">
        <v>501</v>
      </c>
      <c r="P96" t="s">
        <v>55</v>
      </c>
      <c r="R96" t="s">
        <v>54</v>
      </c>
      <c r="T96" t="s">
        <v>55</v>
      </c>
      <c r="X96" t="s">
        <v>55</v>
      </c>
      <c r="Z96" t="s">
        <v>54</v>
      </c>
      <c r="AB96" t="s">
        <v>55</v>
      </c>
      <c r="AD96" t="s">
        <v>55</v>
      </c>
      <c r="AF96" t="s">
        <v>55</v>
      </c>
      <c r="AH96" t="s">
        <v>55</v>
      </c>
      <c r="AJ96" t="s">
        <v>54</v>
      </c>
      <c r="AK96">
        <v>66200</v>
      </c>
      <c r="AL96">
        <v>0.012</v>
      </c>
      <c r="AM96" t="s">
        <v>502</v>
      </c>
      <c r="AN96">
        <v>700</v>
      </c>
      <c r="AO96" t="s">
        <v>503</v>
      </c>
      <c r="AP96" t="s">
        <v>504</v>
      </c>
      <c r="AQ96" t="s">
        <v>505</v>
      </c>
      <c r="AR96" t="s">
        <v>150</v>
      </c>
      <c r="AS96" t="s">
        <v>506</v>
      </c>
      <c r="AV96" t="s">
        <v>497</v>
      </c>
    </row>
    <row r="97" ht="25.5" customHeight="1" spans="1:45">
      <c r="A97" t="s">
        <v>507</v>
      </c>
      <c r="E97" s="3" t="str">
        <f>HYPERLINK("https://app.hypeauditor.com/my-network/influencer/3421390/analytics/instagram/missandria_kub","https://app.hypeauditor.com/my-network/influencer/3421390/analytics/instagram/missandria_kub")</f>
        <v>https://app.hypeauditor.com/my-network/influencer/3421390/analytics/instagram/missandria_kub</v>
      </c>
      <c r="F97" s="3" t="str">
        <f>HYPERLINK("https://www.instagram.com/missandria_kub/","https://www.instagram.com/missandria_kub/")</f>
        <v>https://www.instagram.com/missandria_kub/</v>
      </c>
      <c r="G97" t="s">
        <v>52</v>
      </c>
      <c r="H97" t="s">
        <v>255</v>
      </c>
      <c r="I97" t="s">
        <v>65</v>
      </c>
      <c r="K97" t="s">
        <v>455</v>
      </c>
      <c r="L97" t="s">
        <v>54</v>
      </c>
      <c r="M97">
        <v>66900</v>
      </c>
      <c r="N97" t="s">
        <v>55</v>
      </c>
      <c r="P97" t="s">
        <v>55</v>
      </c>
      <c r="R97" t="s">
        <v>54</v>
      </c>
      <c r="T97" t="s">
        <v>55</v>
      </c>
      <c r="X97" t="s">
        <v>55</v>
      </c>
      <c r="Z97" t="s">
        <v>54</v>
      </c>
      <c r="AB97" t="s">
        <v>55</v>
      </c>
      <c r="AD97" t="s">
        <v>55</v>
      </c>
      <c r="AF97" t="s">
        <v>55</v>
      </c>
      <c r="AH97" t="s">
        <v>55</v>
      </c>
      <c r="AJ97" t="s">
        <v>54</v>
      </c>
      <c r="AK97">
        <v>9500</v>
      </c>
      <c r="AL97">
        <v>0.0059</v>
      </c>
      <c r="AM97" t="s">
        <v>508</v>
      </c>
      <c r="AN97">
        <v>1100</v>
      </c>
      <c r="AO97" t="s">
        <v>509</v>
      </c>
      <c r="AP97" t="s">
        <v>510</v>
      </c>
      <c r="AQ97" t="s">
        <v>55</v>
      </c>
      <c r="AR97" t="s">
        <v>511</v>
      </c>
      <c r="AS97" t="s">
        <v>55</v>
      </c>
    </row>
    <row r="98" ht="25.5" customHeight="1" spans="1:45">
      <c r="A98" t="s">
        <v>512</v>
      </c>
      <c r="C98" t="s">
        <v>72</v>
      </c>
      <c r="E98" s="3" t="str">
        <f>HYPERLINK("https://app.hypeauditor.com/my-network/influencer/8093696/analytics/tiktok/degenlifer","https://app.hypeauditor.com/my-network/influencer/8093696/analytics/tiktok/degenlifer")</f>
        <v>https://app.hypeauditor.com/my-network/influencer/8093696/analytics/tiktok/degenlifer</v>
      </c>
      <c r="F98" s="3" t="str">
        <f>HYPERLINK("https://www.tiktok.com/@degenlifer","https://www.tiktok.com/@degenlifer")</f>
        <v>https://www.tiktok.com/@degenlifer</v>
      </c>
      <c r="G98" t="s">
        <v>52</v>
      </c>
      <c r="H98" t="s">
        <v>513</v>
      </c>
      <c r="I98" t="s">
        <v>56</v>
      </c>
      <c r="K98" t="s">
        <v>455</v>
      </c>
      <c r="L98" t="s">
        <v>54</v>
      </c>
      <c r="M98">
        <v>584600</v>
      </c>
      <c r="N98" t="s">
        <v>514</v>
      </c>
      <c r="P98" t="s">
        <v>55</v>
      </c>
      <c r="R98" t="s">
        <v>54</v>
      </c>
      <c r="T98" t="s">
        <v>55</v>
      </c>
      <c r="X98" t="s">
        <v>55</v>
      </c>
      <c r="Z98" t="s">
        <v>54</v>
      </c>
      <c r="AB98" t="s">
        <v>55</v>
      </c>
      <c r="AD98" t="s">
        <v>55</v>
      </c>
      <c r="AF98" t="s">
        <v>55</v>
      </c>
      <c r="AH98" t="s">
        <v>55</v>
      </c>
      <c r="AJ98" t="s">
        <v>54</v>
      </c>
      <c r="AK98">
        <v>604000</v>
      </c>
      <c r="AL98">
        <v>0.0212</v>
      </c>
      <c r="AM98" t="s">
        <v>515</v>
      </c>
      <c r="AO98" t="s">
        <v>516</v>
      </c>
      <c r="AP98" t="s">
        <v>184</v>
      </c>
      <c r="AQ98" t="s">
        <v>185</v>
      </c>
      <c r="AR98" t="s">
        <v>184</v>
      </c>
      <c r="AS98" t="s">
        <v>185</v>
      </c>
    </row>
    <row r="99" ht="25.5" customHeight="1" spans="1:43">
      <c r="A99" t="s">
        <v>517</v>
      </c>
      <c r="C99" t="s">
        <v>72</v>
      </c>
      <c r="E99" s="3" t="str">
        <f>HYPERLINK("https://app.hypeauditor.com/my-network/influencer/1198561/analytics/tiktok/ali_abdelwahab7","https://app.hypeauditor.com/my-network/influencer/1198561/analytics/tiktok/ali_abdelwahab7")</f>
        <v>https://app.hypeauditor.com/my-network/influencer/1198561/analytics/tiktok/ali_abdelwahab7</v>
      </c>
      <c r="F99" s="3" t="str">
        <f>HYPERLINK("https://www.tiktok.com/@ali_abdelwahab7","https://www.tiktok.com/@ali_abdelwahab7")</f>
        <v>https://www.tiktok.com/@ali_abdelwahab7</v>
      </c>
      <c r="G99" t="s">
        <v>52</v>
      </c>
      <c r="H99" t="s">
        <v>518</v>
      </c>
      <c r="I99" t="s">
        <v>56</v>
      </c>
      <c r="K99" t="s">
        <v>58</v>
      </c>
      <c r="L99" t="s">
        <v>59</v>
      </c>
      <c r="M99">
        <v>789300</v>
      </c>
      <c r="N99" t="s">
        <v>519</v>
      </c>
      <c r="P99" t="s">
        <v>55</v>
      </c>
      <c r="R99" t="s">
        <v>54</v>
      </c>
      <c r="T99" t="s">
        <v>55</v>
      </c>
      <c r="X99" t="s">
        <v>55</v>
      </c>
      <c r="Z99" t="s">
        <v>54</v>
      </c>
      <c r="AB99" t="s">
        <v>55</v>
      </c>
      <c r="AD99" t="s">
        <v>55</v>
      </c>
      <c r="AF99" t="s">
        <v>55</v>
      </c>
      <c r="AH99" t="s">
        <v>55</v>
      </c>
      <c r="AJ99" t="s">
        <v>54</v>
      </c>
      <c r="AK99">
        <v>16600</v>
      </c>
      <c r="AM99" t="s">
        <v>54</v>
      </c>
      <c r="AO99" t="s">
        <v>54</v>
      </c>
      <c r="AP99" t="s">
        <v>184</v>
      </c>
      <c r="AQ99" t="s">
        <v>185</v>
      </c>
    </row>
    <row r="100" ht="25.5" customHeight="1" spans="1:45">
      <c r="A100" t="s">
        <v>520</v>
      </c>
      <c r="C100" t="s">
        <v>72</v>
      </c>
      <c r="E100" s="3" t="str">
        <f>HYPERLINK("https://app.hypeauditor.com/my-network/influencer/26658254/analytics/tiktok/smart.easy","https://app.hypeauditor.com/my-network/influencer/26658254/analytics/tiktok/smart.easy")</f>
        <v>https://app.hypeauditor.com/my-network/influencer/26658254/analytics/tiktok/smart.easy</v>
      </c>
      <c r="F100" s="3" t="str">
        <f>HYPERLINK("https://www.tiktok.com/@smart.easy","https://www.tiktok.com/@smart.easy")</f>
        <v>https://www.tiktok.com/@smart.easy</v>
      </c>
      <c r="G100" t="s">
        <v>52</v>
      </c>
      <c r="H100" t="s">
        <v>255</v>
      </c>
      <c r="I100" t="s">
        <v>56</v>
      </c>
      <c r="J100" t="s">
        <v>57</v>
      </c>
      <c r="L100" t="s">
        <v>54</v>
      </c>
      <c r="M100">
        <v>817200</v>
      </c>
      <c r="N100" t="s">
        <v>521</v>
      </c>
      <c r="P100" t="s">
        <v>55</v>
      </c>
      <c r="R100" t="s">
        <v>54</v>
      </c>
      <c r="T100" t="s">
        <v>55</v>
      </c>
      <c r="X100" t="s">
        <v>55</v>
      </c>
      <c r="Z100" t="s">
        <v>54</v>
      </c>
      <c r="AB100" t="s">
        <v>55</v>
      </c>
      <c r="AD100" t="s">
        <v>55</v>
      </c>
      <c r="AF100" t="s">
        <v>55</v>
      </c>
      <c r="AH100" t="s">
        <v>55</v>
      </c>
      <c r="AJ100" t="s">
        <v>54</v>
      </c>
      <c r="AK100">
        <v>18800</v>
      </c>
      <c r="AL100">
        <v>0.0411</v>
      </c>
      <c r="AM100" t="s">
        <v>522</v>
      </c>
      <c r="AN100">
        <v>150</v>
      </c>
      <c r="AO100" t="s">
        <v>523</v>
      </c>
      <c r="AP100" t="s">
        <v>524</v>
      </c>
      <c r="AQ100" t="s">
        <v>525</v>
      </c>
      <c r="AR100" t="s">
        <v>526</v>
      </c>
      <c r="AS100" t="s">
        <v>527</v>
      </c>
    </row>
    <row r="101" ht="25.5" customHeight="1" spans="5:48">
      <c r="E101" s="3" t="str">
        <f>HYPERLINK("https://app.hypeauditor.com/my-network/influencer/26658254/analytics/instagram/smart.easy.ig","https://app.hypeauditor.com/my-network/influencer/26658254/analytics/instagram/smart.easy.ig")</f>
        <v>https://app.hypeauditor.com/my-network/influencer/26658254/analytics/instagram/smart.easy.ig</v>
      </c>
      <c r="F101" s="3" t="str">
        <f>HYPERLINK("https://www.instagram.com/smart.easy.ig/","https://www.instagram.com/smart.easy.ig/")</f>
        <v>https://www.instagram.com/smart.easy.ig/</v>
      </c>
      <c r="G101" t="s">
        <v>52</v>
      </c>
      <c r="H101" t="s">
        <v>255</v>
      </c>
      <c r="I101" t="s">
        <v>65</v>
      </c>
      <c r="J101" t="s">
        <v>116</v>
      </c>
      <c r="L101" t="s">
        <v>54</v>
      </c>
      <c r="M101">
        <v>235200</v>
      </c>
      <c r="N101" t="s">
        <v>528</v>
      </c>
      <c r="P101" t="s">
        <v>55</v>
      </c>
      <c r="R101" t="s">
        <v>54</v>
      </c>
      <c r="T101" t="s">
        <v>55</v>
      </c>
      <c r="X101" t="s">
        <v>55</v>
      </c>
      <c r="Z101" t="s">
        <v>54</v>
      </c>
      <c r="AB101" t="s">
        <v>55</v>
      </c>
      <c r="AD101" t="s">
        <v>55</v>
      </c>
      <c r="AF101" t="s">
        <v>55</v>
      </c>
      <c r="AH101" t="s">
        <v>55</v>
      </c>
      <c r="AJ101" t="s">
        <v>54</v>
      </c>
      <c r="AK101">
        <v>7800</v>
      </c>
      <c r="AL101">
        <v>0.0003</v>
      </c>
      <c r="AM101" t="s">
        <v>529</v>
      </c>
      <c r="AO101" t="s">
        <v>530</v>
      </c>
      <c r="AP101" t="s">
        <v>184</v>
      </c>
      <c r="AQ101" t="s">
        <v>185</v>
      </c>
      <c r="AR101" t="s">
        <v>184</v>
      </c>
      <c r="AS101" t="s">
        <v>185</v>
      </c>
      <c r="AV101" t="s">
        <v>520</v>
      </c>
    </row>
    <row r="102" ht="25.5" customHeight="1" spans="1:45">
      <c r="A102" t="s">
        <v>531</v>
      </c>
      <c r="C102" t="s">
        <v>72</v>
      </c>
      <c r="E102" s="3" t="str">
        <f>HYPERLINK("https://app.hypeauditor.com/my-network/influencer/462166/analytics/tiktok/braindegeek","https://app.hypeauditor.com/my-network/influencer/462166/analytics/tiktok/braindegeek")</f>
        <v>https://app.hypeauditor.com/my-network/influencer/462166/analytics/tiktok/braindegeek</v>
      </c>
      <c r="F102" s="3" t="str">
        <f>HYPERLINK("https://www.tiktok.com/@braindegeek","https://www.tiktok.com/@braindegeek")</f>
        <v>https://www.tiktok.com/@braindegeek</v>
      </c>
      <c r="G102" t="s">
        <v>52</v>
      </c>
      <c r="H102" t="s">
        <v>53</v>
      </c>
      <c r="I102" t="s">
        <v>56</v>
      </c>
      <c r="J102" t="s">
        <v>57</v>
      </c>
      <c r="K102" t="s">
        <v>89</v>
      </c>
      <c r="L102" t="s">
        <v>54</v>
      </c>
      <c r="M102">
        <v>354000</v>
      </c>
      <c r="N102" t="s">
        <v>532</v>
      </c>
      <c r="P102" t="s">
        <v>55</v>
      </c>
      <c r="R102" t="s">
        <v>54</v>
      </c>
      <c r="T102" t="s">
        <v>55</v>
      </c>
      <c r="X102" t="s">
        <v>55</v>
      </c>
      <c r="Z102" t="s">
        <v>54</v>
      </c>
      <c r="AB102" t="s">
        <v>55</v>
      </c>
      <c r="AD102" t="s">
        <v>55</v>
      </c>
      <c r="AF102" t="s">
        <v>55</v>
      </c>
      <c r="AH102" t="s">
        <v>55</v>
      </c>
      <c r="AJ102" t="s">
        <v>54</v>
      </c>
      <c r="AK102">
        <v>24500</v>
      </c>
      <c r="AL102">
        <v>0.0251</v>
      </c>
      <c r="AM102" t="s">
        <v>533</v>
      </c>
      <c r="AN102">
        <v>250</v>
      </c>
      <c r="AO102" t="s">
        <v>534</v>
      </c>
      <c r="AP102" t="s">
        <v>535</v>
      </c>
      <c r="AQ102" t="s">
        <v>536</v>
      </c>
      <c r="AR102" t="s">
        <v>537</v>
      </c>
      <c r="AS102" t="s">
        <v>55</v>
      </c>
    </row>
    <row r="103" ht="25.5" customHeight="1" spans="1:48">
      <c r="A103" t="s">
        <v>531</v>
      </c>
      <c r="C103" t="s">
        <v>72</v>
      </c>
      <c r="E103" s="3" t="str">
        <f>HYPERLINK("https://app.hypeauditor.com/my-network/influencer/462166/analytics/instagram/braindegeek","https://app.hypeauditor.com/my-network/influencer/462166/analytics/instagram/braindegeek")</f>
        <v>https://app.hypeauditor.com/my-network/influencer/462166/analytics/instagram/braindegeek</v>
      </c>
      <c r="F103" s="3" t="str">
        <f>HYPERLINK("https://www.instagram.com/braindegeek/reels/","https://www.instagram.com/braindegeek/reels/")</f>
        <v>https://www.instagram.com/braindegeek/reels/</v>
      </c>
      <c r="G103" t="s">
        <v>52</v>
      </c>
      <c r="H103" t="s">
        <v>53</v>
      </c>
      <c r="I103" t="s">
        <v>65</v>
      </c>
      <c r="J103" t="s">
        <v>116</v>
      </c>
      <c r="K103" t="s">
        <v>89</v>
      </c>
      <c r="L103" t="s">
        <v>54</v>
      </c>
      <c r="M103">
        <v>53500</v>
      </c>
      <c r="N103" t="s">
        <v>55</v>
      </c>
      <c r="P103" t="s">
        <v>55</v>
      </c>
      <c r="R103" t="s">
        <v>54</v>
      </c>
      <c r="T103" t="s">
        <v>55</v>
      </c>
      <c r="X103" t="s">
        <v>55</v>
      </c>
      <c r="Z103" t="s">
        <v>54</v>
      </c>
      <c r="AB103" t="s">
        <v>55</v>
      </c>
      <c r="AD103" t="s">
        <v>55</v>
      </c>
      <c r="AF103" t="s">
        <v>55</v>
      </c>
      <c r="AH103" t="s">
        <v>55</v>
      </c>
      <c r="AJ103" t="s">
        <v>54</v>
      </c>
      <c r="AK103">
        <v>15000</v>
      </c>
      <c r="AL103">
        <v>0.27</v>
      </c>
      <c r="AM103" t="s">
        <v>538</v>
      </c>
      <c r="AN103">
        <v>150</v>
      </c>
      <c r="AO103" t="s">
        <v>539</v>
      </c>
      <c r="AP103" t="s">
        <v>139</v>
      </c>
      <c r="AQ103" t="s">
        <v>140</v>
      </c>
      <c r="AR103" t="s">
        <v>540</v>
      </c>
      <c r="AS103" t="s">
        <v>541</v>
      </c>
      <c r="AV103" t="s">
        <v>531</v>
      </c>
    </row>
    <row r="104" ht="25.5" customHeight="1" spans="1:45">
      <c r="A104" t="s">
        <v>542</v>
      </c>
      <c r="C104" t="s">
        <v>144</v>
      </c>
      <c r="E104" s="3" t="str">
        <f>HYPERLINK("https://app.hypeauditor.com/my-network/influencer/18753/analytics/tiktok/shaheer786_","https://app.hypeauditor.com/my-network/influencer/18753/analytics/tiktok/shaheer786_")</f>
        <v>https://app.hypeauditor.com/my-network/influencer/18753/analytics/tiktok/shaheer786_</v>
      </c>
      <c r="F104" s="3" t="str">
        <f>HYPERLINK("https://www.tiktok.com/@shaheer786_","https://www.tiktok.com/@shaheer786_")</f>
        <v>https://www.tiktok.com/@shaheer786_</v>
      </c>
      <c r="G104" t="s">
        <v>52</v>
      </c>
      <c r="H104" t="s">
        <v>53</v>
      </c>
      <c r="I104" t="s">
        <v>56</v>
      </c>
      <c r="J104" t="s">
        <v>57</v>
      </c>
      <c r="K104" t="s">
        <v>89</v>
      </c>
      <c r="L104" t="s">
        <v>54</v>
      </c>
      <c r="M104">
        <v>711900</v>
      </c>
      <c r="N104" t="s">
        <v>543</v>
      </c>
      <c r="P104" t="s">
        <v>55</v>
      </c>
      <c r="R104" t="s">
        <v>54</v>
      </c>
      <c r="T104" t="s">
        <v>55</v>
      </c>
      <c r="X104" t="s">
        <v>55</v>
      </c>
      <c r="Z104" t="s">
        <v>54</v>
      </c>
      <c r="AB104" t="s">
        <v>55</v>
      </c>
      <c r="AD104" t="s">
        <v>55</v>
      </c>
      <c r="AF104" t="s">
        <v>55</v>
      </c>
      <c r="AH104" t="s">
        <v>55</v>
      </c>
      <c r="AJ104" t="s">
        <v>54</v>
      </c>
      <c r="AK104">
        <v>27000</v>
      </c>
      <c r="AL104">
        <v>0.0882</v>
      </c>
      <c r="AM104" t="s">
        <v>544</v>
      </c>
      <c r="AN104">
        <v>270</v>
      </c>
      <c r="AO104" t="s">
        <v>545</v>
      </c>
      <c r="AP104" t="s">
        <v>139</v>
      </c>
      <c r="AQ104" t="s">
        <v>140</v>
      </c>
      <c r="AR104" t="s">
        <v>546</v>
      </c>
      <c r="AS104" t="s">
        <v>547</v>
      </c>
    </row>
    <row r="105" ht="25.5" customHeight="1" spans="5:48">
      <c r="E105" s="3" t="str">
        <f>HYPERLINK("https://app.hypeauditor.com/my-network/influencer/26658254/analytics/youtube/UCNsZzl17yaKPS4m8d69VNCg","https://app.hypeauditor.com/my-network/influencer/26658254/analytics/youtube/UCNsZzl17yaKPS4m8d69VNCg")</f>
        <v>https://app.hypeauditor.com/my-network/influencer/26658254/analytics/youtube/UCNsZzl17yaKPS4m8d69VNCg</v>
      </c>
      <c r="F105" s="3"/>
      <c r="G105" t="s">
        <v>52</v>
      </c>
      <c r="H105" t="s">
        <v>255</v>
      </c>
      <c r="I105" t="s">
        <v>269</v>
      </c>
      <c r="J105" t="s">
        <v>423</v>
      </c>
      <c r="K105" t="s">
        <v>97</v>
      </c>
      <c r="L105" t="s">
        <v>54</v>
      </c>
      <c r="M105">
        <v>4500</v>
      </c>
      <c r="N105" t="s">
        <v>55</v>
      </c>
      <c r="P105" t="s">
        <v>55</v>
      </c>
      <c r="R105" t="s">
        <v>54</v>
      </c>
      <c r="T105" t="s">
        <v>55</v>
      </c>
      <c r="X105" t="s">
        <v>55</v>
      </c>
      <c r="Z105" t="s">
        <v>54</v>
      </c>
      <c r="AB105" t="s">
        <v>55</v>
      </c>
      <c r="AD105" t="s">
        <v>55</v>
      </c>
      <c r="AF105" t="s">
        <v>55</v>
      </c>
      <c r="AH105" t="s">
        <v>55</v>
      </c>
      <c r="AJ105" t="s">
        <v>54</v>
      </c>
      <c r="AK105">
        <v>871</v>
      </c>
      <c r="AL105">
        <v>0.0313</v>
      </c>
      <c r="AM105" t="s">
        <v>548</v>
      </c>
      <c r="AO105" t="s">
        <v>549</v>
      </c>
      <c r="AP105" t="s">
        <v>184</v>
      </c>
      <c r="AQ105" t="s">
        <v>185</v>
      </c>
      <c r="AR105" t="s">
        <v>184</v>
      </c>
      <c r="AS105" t="s">
        <v>185</v>
      </c>
      <c r="AV105" t="s">
        <v>520</v>
      </c>
    </row>
    <row r="106" ht="25.5" customHeight="1" spans="3:48">
      <c r="C106" t="s">
        <v>51</v>
      </c>
      <c r="E106" s="3" t="str">
        <f>HYPERLINK("https://app.hypeauditor.com/my-network/influencer/18753/analytics/instagram/shaheer.10","https://app.hypeauditor.com/my-network/influencer/18753/analytics/instagram/shaheer.10")</f>
        <v>https://app.hypeauditor.com/my-network/influencer/18753/analytics/instagram/shaheer.10</v>
      </c>
      <c r="F106" s="3" t="str">
        <f>HYPERLINK("https://www.instagram.com/shaheer.10/reels/","https://www.instagram.com/shaheer.10/reels/")</f>
        <v>https://www.instagram.com/shaheer.10/reels/</v>
      </c>
      <c r="G106" t="s">
        <v>52</v>
      </c>
      <c r="H106" t="s">
        <v>53</v>
      </c>
      <c r="I106" t="s">
        <v>65</v>
      </c>
      <c r="J106" t="s">
        <v>116</v>
      </c>
      <c r="K106" t="s">
        <v>89</v>
      </c>
      <c r="L106" t="s">
        <v>54</v>
      </c>
      <c r="M106">
        <v>109000</v>
      </c>
      <c r="N106" t="s">
        <v>550</v>
      </c>
      <c r="P106" t="s">
        <v>55</v>
      </c>
      <c r="R106" t="s">
        <v>54</v>
      </c>
      <c r="T106" t="s">
        <v>55</v>
      </c>
      <c r="X106" t="s">
        <v>55</v>
      </c>
      <c r="Z106" t="s">
        <v>54</v>
      </c>
      <c r="AB106" t="s">
        <v>55</v>
      </c>
      <c r="AD106" t="s">
        <v>55</v>
      </c>
      <c r="AF106" t="s">
        <v>55</v>
      </c>
      <c r="AH106" t="s">
        <v>55</v>
      </c>
      <c r="AJ106" t="s">
        <v>54</v>
      </c>
      <c r="AK106">
        <v>40000</v>
      </c>
      <c r="AM106" t="s">
        <v>54</v>
      </c>
      <c r="AN106">
        <v>400</v>
      </c>
      <c r="AO106" t="s">
        <v>54</v>
      </c>
      <c r="AP106" t="s">
        <v>139</v>
      </c>
      <c r="AQ106" t="s">
        <v>140</v>
      </c>
      <c r="AV106" t="s">
        <v>542</v>
      </c>
    </row>
    <row r="107" ht="25.5" customHeight="1" spans="1:45">
      <c r="A107" t="s">
        <v>551</v>
      </c>
      <c r="C107" t="s">
        <v>144</v>
      </c>
      <c r="E107" s="3" t="str">
        <f>HYPERLINK("https://app.hypeauditor.com/my-network/influencer/14697963/analytics/tiktok/studyw.tok","https://app.hypeauditor.com/my-network/influencer/14697963/analytics/tiktok/studyw.tok")</f>
        <v>https://app.hypeauditor.com/my-network/influencer/14697963/analytics/tiktok/studyw.tok</v>
      </c>
      <c r="F107" s="3" t="str">
        <f>HYPERLINK("https://www.tiktok.com/@studyw.tok","https://www.tiktok.com/@studyw.tok")</f>
        <v>https://www.tiktok.com/@studyw.tok</v>
      </c>
      <c r="G107" t="s">
        <v>52</v>
      </c>
      <c r="H107" t="s">
        <v>255</v>
      </c>
      <c r="I107" t="s">
        <v>56</v>
      </c>
      <c r="K107" t="s">
        <v>97</v>
      </c>
      <c r="L107" t="s">
        <v>54</v>
      </c>
      <c r="M107">
        <v>688600</v>
      </c>
      <c r="N107" t="s">
        <v>552</v>
      </c>
      <c r="P107" t="s">
        <v>55</v>
      </c>
      <c r="R107" t="s">
        <v>54</v>
      </c>
      <c r="T107" t="s">
        <v>55</v>
      </c>
      <c r="X107" t="s">
        <v>55</v>
      </c>
      <c r="Z107" t="s">
        <v>54</v>
      </c>
      <c r="AB107" t="s">
        <v>55</v>
      </c>
      <c r="AD107" t="s">
        <v>55</v>
      </c>
      <c r="AF107" t="s">
        <v>55</v>
      </c>
      <c r="AH107" t="s">
        <v>55</v>
      </c>
      <c r="AJ107" t="s">
        <v>54</v>
      </c>
      <c r="AK107">
        <v>58500</v>
      </c>
      <c r="AL107">
        <v>0.0776</v>
      </c>
      <c r="AM107" t="s">
        <v>553</v>
      </c>
      <c r="AN107">
        <v>2300</v>
      </c>
      <c r="AO107" t="s">
        <v>554</v>
      </c>
      <c r="AP107" t="s">
        <v>555</v>
      </c>
      <c r="AQ107" t="s">
        <v>55</v>
      </c>
      <c r="AR107" t="s">
        <v>556</v>
      </c>
      <c r="AS107" t="s">
        <v>55</v>
      </c>
    </row>
    <row r="108" ht="25.5" customHeight="1" spans="5:48">
      <c r="E108" s="3" t="str">
        <f>HYPERLINK("https://app.hypeauditor.com/my-network/influencer/17241829/analytics/instagram/studyw.gram","https://app.hypeauditor.com/my-network/influencer/17241829/analytics/instagram/studyw.gram")</f>
        <v>https://app.hypeauditor.com/my-network/influencer/17241829/analytics/instagram/studyw.gram</v>
      </c>
      <c r="F108" s="3" t="str">
        <f>HYPERLINK("https://www.instagram.com/studyw.gram/","https://www.instagram.com/studyw.gram/")</f>
        <v>https://www.instagram.com/studyw.gram/</v>
      </c>
      <c r="G108" t="s">
        <v>52</v>
      </c>
      <c r="H108" t="s">
        <v>255</v>
      </c>
      <c r="I108" t="s">
        <v>65</v>
      </c>
      <c r="K108" t="s">
        <v>97</v>
      </c>
      <c r="L108" t="s">
        <v>54</v>
      </c>
      <c r="M108">
        <v>182300</v>
      </c>
      <c r="N108" t="s">
        <v>557</v>
      </c>
      <c r="P108" t="s">
        <v>55</v>
      </c>
      <c r="R108" t="s">
        <v>54</v>
      </c>
      <c r="T108" t="s">
        <v>55</v>
      </c>
      <c r="X108" t="s">
        <v>55</v>
      </c>
      <c r="Z108" t="s">
        <v>54</v>
      </c>
      <c r="AB108" t="s">
        <v>55</v>
      </c>
      <c r="AD108" t="s">
        <v>55</v>
      </c>
      <c r="AF108" t="s">
        <v>55</v>
      </c>
      <c r="AH108" t="s">
        <v>55</v>
      </c>
      <c r="AJ108" t="s">
        <v>54</v>
      </c>
      <c r="AK108">
        <v>43600</v>
      </c>
      <c r="AL108">
        <v>0.0043</v>
      </c>
      <c r="AM108" t="s">
        <v>558</v>
      </c>
      <c r="AO108" t="s">
        <v>559</v>
      </c>
      <c r="AP108" t="s">
        <v>184</v>
      </c>
      <c r="AQ108" t="s">
        <v>185</v>
      </c>
      <c r="AR108" t="s">
        <v>184</v>
      </c>
      <c r="AS108" t="s">
        <v>185</v>
      </c>
      <c r="AV108" t="s">
        <v>551</v>
      </c>
    </row>
    <row r="109" ht="25.5" customHeight="1" spans="1:45">
      <c r="A109" t="s">
        <v>560</v>
      </c>
      <c r="C109" t="s">
        <v>131</v>
      </c>
      <c r="E109" s="3" t="str">
        <f>HYPERLINK("https://app.hypeauditor.com/my-network/influencer/12388451/analytics/tiktok/dessy_ocean","https://app.hypeauditor.com/my-network/influencer/12388451/analytics/tiktok/dessy_ocean")</f>
        <v>https://app.hypeauditor.com/my-network/influencer/12388451/analytics/tiktok/dessy_ocean</v>
      </c>
      <c r="F109" s="3" t="str">
        <f>HYPERLINK("https://www.tiktok.com/@dessy_ocean","https://www.tiktok.com/@dessy_ocean")</f>
        <v>https://www.tiktok.com/@dessy_ocean</v>
      </c>
      <c r="G109" t="s">
        <v>52</v>
      </c>
      <c r="H109" t="s">
        <v>255</v>
      </c>
      <c r="I109" t="s">
        <v>56</v>
      </c>
      <c r="J109" t="s">
        <v>57</v>
      </c>
      <c r="K109" t="s">
        <v>97</v>
      </c>
      <c r="L109" t="s">
        <v>54</v>
      </c>
      <c r="M109">
        <v>275500</v>
      </c>
      <c r="N109" t="s">
        <v>561</v>
      </c>
      <c r="P109" t="s">
        <v>55</v>
      </c>
      <c r="R109" t="s">
        <v>54</v>
      </c>
      <c r="T109" t="s">
        <v>55</v>
      </c>
      <c r="X109" t="s">
        <v>55</v>
      </c>
      <c r="Z109" t="s">
        <v>54</v>
      </c>
      <c r="AB109" t="s">
        <v>55</v>
      </c>
      <c r="AD109" t="s">
        <v>55</v>
      </c>
      <c r="AF109" t="s">
        <v>55</v>
      </c>
      <c r="AH109" t="s">
        <v>55</v>
      </c>
      <c r="AJ109" t="s">
        <v>54</v>
      </c>
      <c r="AK109">
        <v>4200</v>
      </c>
      <c r="AL109">
        <v>0.0708</v>
      </c>
      <c r="AM109" t="s">
        <v>562</v>
      </c>
      <c r="AN109">
        <v>330</v>
      </c>
      <c r="AO109" t="s">
        <v>563</v>
      </c>
      <c r="AP109" t="s">
        <v>564</v>
      </c>
      <c r="AQ109" t="s">
        <v>55</v>
      </c>
      <c r="AR109" t="s">
        <v>565</v>
      </c>
      <c r="AS109" t="s">
        <v>55</v>
      </c>
    </row>
    <row r="110" ht="25.5" customHeight="1" spans="5:48">
      <c r="E110" s="3" t="str">
        <f>HYPERLINK("https://app.hypeauditor.com/my-network/influencer/869891/analytics/instagram/dessy_ocean","https://app.hypeauditor.com/my-network/influencer/869891/analytics/instagram/dessy_ocean")</f>
        <v>https://app.hypeauditor.com/my-network/influencer/869891/analytics/instagram/dessy_ocean</v>
      </c>
      <c r="F110" s="3" t="str">
        <f>HYPERLINK("https://www.instagram.com/dessy_ocean/","https://www.instagram.com/dessy_ocean/")</f>
        <v>https://www.instagram.com/dessy_ocean/</v>
      </c>
      <c r="G110" t="s">
        <v>52</v>
      </c>
      <c r="H110" t="s">
        <v>255</v>
      </c>
      <c r="I110" t="s">
        <v>65</v>
      </c>
      <c r="J110" t="s">
        <v>116</v>
      </c>
      <c r="K110" t="s">
        <v>97</v>
      </c>
      <c r="L110" t="s">
        <v>54</v>
      </c>
      <c r="M110">
        <v>153400</v>
      </c>
      <c r="N110" t="s">
        <v>566</v>
      </c>
      <c r="P110" t="s">
        <v>55</v>
      </c>
      <c r="R110" t="s">
        <v>54</v>
      </c>
      <c r="T110" t="s">
        <v>55</v>
      </c>
      <c r="X110" t="s">
        <v>55</v>
      </c>
      <c r="Z110" t="s">
        <v>54</v>
      </c>
      <c r="AB110" t="s">
        <v>55</v>
      </c>
      <c r="AD110" t="s">
        <v>55</v>
      </c>
      <c r="AF110" t="s">
        <v>55</v>
      </c>
      <c r="AH110" t="s">
        <v>55</v>
      </c>
      <c r="AJ110" t="s">
        <v>54</v>
      </c>
      <c r="AK110">
        <v>4500</v>
      </c>
      <c r="AL110">
        <v>0.0024</v>
      </c>
      <c r="AM110" t="s">
        <v>567</v>
      </c>
      <c r="AO110" t="s">
        <v>568</v>
      </c>
      <c r="AP110" t="s">
        <v>184</v>
      </c>
      <c r="AQ110" t="s">
        <v>185</v>
      </c>
      <c r="AR110" t="s">
        <v>184</v>
      </c>
      <c r="AS110" t="s">
        <v>185</v>
      </c>
      <c r="AV110" t="s">
        <v>560</v>
      </c>
    </row>
    <row r="111" ht="25.5" customHeight="1" spans="5:48">
      <c r="E111" s="3" t="str">
        <f>HYPERLINK("https://app.hypeauditor.com/my-network/influencer/869891/analytics/instagram/dessy_ocean","https://app.hypeauditor.com/my-network/influencer/869891/analytics/instagram/dessy_ocean")</f>
        <v>https://app.hypeauditor.com/my-network/influencer/869891/analytics/instagram/dessy_ocean</v>
      </c>
      <c r="F111" s="3" t="str">
        <f>HYPERLINK("https://www.instagram.com/dessy_ocean/","https://www.instagram.com/dessy_ocean/")</f>
        <v>https://www.instagram.com/dessy_ocean/</v>
      </c>
      <c r="G111" t="s">
        <v>52</v>
      </c>
      <c r="H111" t="s">
        <v>255</v>
      </c>
      <c r="I111" t="s">
        <v>65</v>
      </c>
      <c r="J111" t="s">
        <v>569</v>
      </c>
      <c r="K111" t="s">
        <v>97</v>
      </c>
      <c r="L111" t="s">
        <v>54</v>
      </c>
      <c r="M111">
        <v>153400</v>
      </c>
      <c r="N111" t="s">
        <v>566</v>
      </c>
      <c r="P111" t="s">
        <v>55</v>
      </c>
      <c r="R111" t="s">
        <v>54</v>
      </c>
      <c r="T111" t="s">
        <v>55</v>
      </c>
      <c r="X111" t="s">
        <v>55</v>
      </c>
      <c r="Z111" t="s">
        <v>54</v>
      </c>
      <c r="AB111" t="s">
        <v>55</v>
      </c>
      <c r="AD111" t="s">
        <v>55</v>
      </c>
      <c r="AF111" t="s">
        <v>55</v>
      </c>
      <c r="AH111" t="s">
        <v>55</v>
      </c>
      <c r="AJ111" t="s">
        <v>54</v>
      </c>
      <c r="AK111">
        <v>4500</v>
      </c>
      <c r="AL111">
        <v>0.0024</v>
      </c>
      <c r="AM111" t="s">
        <v>567</v>
      </c>
      <c r="AO111" t="s">
        <v>568</v>
      </c>
      <c r="AP111" t="s">
        <v>184</v>
      </c>
      <c r="AQ111" t="s">
        <v>185</v>
      </c>
      <c r="AR111" t="s">
        <v>184</v>
      </c>
      <c r="AS111" t="s">
        <v>185</v>
      </c>
      <c r="AV111" t="s">
        <v>560</v>
      </c>
    </row>
    <row r="112" ht="25.5" customHeight="1" spans="1:45">
      <c r="A112" t="s">
        <v>570</v>
      </c>
      <c r="C112" t="s">
        <v>82</v>
      </c>
      <c r="E112" s="3" t="str">
        <f>HYPERLINK("https://app.hypeauditor.com/my-network/influencer/4248028/analytics/instagram/techtabloid","https://app.hypeauditor.com/my-network/influencer/4248028/analytics/instagram/techtabloid")</f>
        <v>https://app.hypeauditor.com/my-network/influencer/4248028/analytics/instagram/techtabloid</v>
      </c>
      <c r="F112" s="3" t="str">
        <f>HYPERLINK("https://www.instagram.com/techtabloid/","https://www.instagram.com/techtabloid/")</f>
        <v>https://www.instagram.com/techtabloid/</v>
      </c>
      <c r="G112" t="s">
        <v>52</v>
      </c>
      <c r="H112" t="s">
        <v>571</v>
      </c>
      <c r="I112" t="s">
        <v>65</v>
      </c>
      <c r="K112" t="s">
        <v>97</v>
      </c>
      <c r="L112" t="s">
        <v>54</v>
      </c>
      <c r="M112">
        <v>142000</v>
      </c>
      <c r="N112" t="s">
        <v>572</v>
      </c>
      <c r="P112" t="s">
        <v>55</v>
      </c>
      <c r="R112" t="s">
        <v>54</v>
      </c>
      <c r="T112" t="s">
        <v>55</v>
      </c>
      <c r="X112" t="s">
        <v>55</v>
      </c>
      <c r="Z112" t="s">
        <v>54</v>
      </c>
      <c r="AB112" t="s">
        <v>55</v>
      </c>
      <c r="AD112" t="s">
        <v>55</v>
      </c>
      <c r="AF112" t="s">
        <v>55</v>
      </c>
      <c r="AH112" t="s">
        <v>55</v>
      </c>
      <c r="AJ112" t="s">
        <v>54</v>
      </c>
      <c r="AL112">
        <v>0.0012</v>
      </c>
      <c r="AM112" t="s">
        <v>573</v>
      </c>
      <c r="AN112">
        <v>50</v>
      </c>
      <c r="AO112" t="s">
        <v>574</v>
      </c>
      <c r="AR112" t="s">
        <v>575</v>
      </c>
      <c r="AS112" t="s">
        <v>55</v>
      </c>
    </row>
    <row r="113" ht="25.5" customHeight="1" spans="1:45">
      <c r="A113" t="s">
        <v>576</v>
      </c>
      <c r="C113" t="s">
        <v>72</v>
      </c>
      <c r="E113" s="3" t="str">
        <f>HYPERLINK("https://app.hypeauditor.com/my-network/influencer/31604947/analytics/tiktok/gtpcs_","https://app.hypeauditor.com/my-network/influencer/31604947/analytics/tiktok/gtpcs_")</f>
        <v>https://app.hypeauditor.com/my-network/influencer/31604947/analytics/tiktok/gtpcs_</v>
      </c>
      <c r="F113" s="3" t="str">
        <f>HYPERLINK("https://www.tiktok.com/@gtpcs_","https://www.tiktok.com/@gtpcs_")</f>
        <v>https://www.tiktok.com/@gtpcs_</v>
      </c>
      <c r="G113" t="s">
        <v>52</v>
      </c>
      <c r="H113" t="s">
        <v>255</v>
      </c>
      <c r="I113" t="s">
        <v>56</v>
      </c>
      <c r="J113" t="s">
        <v>57</v>
      </c>
      <c r="K113" t="s">
        <v>455</v>
      </c>
      <c r="L113" t="s">
        <v>54</v>
      </c>
      <c r="P113" t="s">
        <v>55</v>
      </c>
      <c r="R113" t="s">
        <v>54</v>
      </c>
      <c r="T113" t="s">
        <v>55</v>
      </c>
      <c r="X113" t="s">
        <v>55</v>
      </c>
      <c r="Z113" t="s">
        <v>54</v>
      </c>
      <c r="AB113" t="s">
        <v>55</v>
      </c>
      <c r="AD113" t="s">
        <v>55</v>
      </c>
      <c r="AF113" t="s">
        <v>55</v>
      </c>
      <c r="AH113" t="s">
        <v>55</v>
      </c>
      <c r="AJ113" t="s">
        <v>54</v>
      </c>
      <c r="AK113">
        <v>44400</v>
      </c>
      <c r="AL113">
        <v>0.0796</v>
      </c>
      <c r="AM113" t="s">
        <v>577</v>
      </c>
      <c r="AN113">
        <v>400</v>
      </c>
      <c r="AO113" t="s">
        <v>578</v>
      </c>
      <c r="AP113" t="s">
        <v>579</v>
      </c>
      <c r="AQ113" t="s">
        <v>580</v>
      </c>
      <c r="AR113" t="s">
        <v>546</v>
      </c>
      <c r="AS113" t="s">
        <v>581</v>
      </c>
    </row>
    <row r="114" ht="25.5" customHeight="1" spans="1:45">
      <c r="A114" t="s">
        <v>582</v>
      </c>
      <c r="C114" t="s">
        <v>72</v>
      </c>
      <c r="E114" s="3" t="str">
        <f>HYPERLINK("https://app.hypeauditor.com/my-network/influencer/837100/analytics/tiktok/phonerepairguru","https://app.hypeauditor.com/my-network/influencer/837100/analytics/tiktok/phonerepairguru")</f>
        <v>https://app.hypeauditor.com/my-network/influencer/837100/analytics/tiktok/phonerepairguru</v>
      </c>
      <c r="F114" s="3" t="str">
        <f>HYPERLINK("https://www.tiktok.com/@phonerepairguru","https://www.tiktok.com/@phonerepairguru")</f>
        <v>https://www.tiktok.com/@phonerepairguru</v>
      </c>
      <c r="G114" t="s">
        <v>52</v>
      </c>
      <c r="H114" t="s">
        <v>255</v>
      </c>
      <c r="I114" t="s">
        <v>56</v>
      </c>
      <c r="J114" t="s">
        <v>57</v>
      </c>
      <c r="K114" t="s">
        <v>455</v>
      </c>
      <c r="L114" t="s">
        <v>54</v>
      </c>
      <c r="M114">
        <v>9500000</v>
      </c>
      <c r="N114" t="s">
        <v>185</v>
      </c>
      <c r="P114" t="s">
        <v>55</v>
      </c>
      <c r="R114" t="s">
        <v>54</v>
      </c>
      <c r="T114" t="s">
        <v>55</v>
      </c>
      <c r="X114" t="s">
        <v>55</v>
      </c>
      <c r="Z114" t="s">
        <v>54</v>
      </c>
      <c r="AB114" t="s">
        <v>55</v>
      </c>
      <c r="AD114" t="s">
        <v>55</v>
      </c>
      <c r="AF114" t="s">
        <v>55</v>
      </c>
      <c r="AH114" t="s">
        <v>55</v>
      </c>
      <c r="AJ114" t="s">
        <v>54</v>
      </c>
      <c r="AK114">
        <v>150100</v>
      </c>
      <c r="AL114">
        <v>0.0536</v>
      </c>
      <c r="AM114" t="s">
        <v>583</v>
      </c>
      <c r="AN114">
        <v>1500</v>
      </c>
      <c r="AO114" t="s">
        <v>584</v>
      </c>
      <c r="AP114" t="s">
        <v>585</v>
      </c>
      <c r="AQ114" t="s">
        <v>586</v>
      </c>
      <c r="AR114" t="s">
        <v>587</v>
      </c>
      <c r="AS114" t="s">
        <v>588</v>
      </c>
    </row>
    <row r="115" ht="25.5" customHeight="1" spans="1:45">
      <c r="A115" t="s">
        <v>589</v>
      </c>
      <c r="C115" t="s">
        <v>82</v>
      </c>
      <c r="E115" s="3" t="str">
        <f>HYPERLINK("https://app.hypeauditor.com/my-network/influencer/30146721/analytics/tiktok/ailiceun","https://app.hypeauditor.com/my-network/influencer/30146721/analytics/tiktok/ailiceun")</f>
        <v>https://app.hypeauditor.com/my-network/influencer/30146721/analytics/tiktok/ailiceun</v>
      </c>
      <c r="F115" s="3" t="str">
        <f>HYPERLINK("https://www.tiktok.com/@ailiceun","https://www.tiktok.com/@ailiceun")</f>
        <v>https://www.tiktok.com/@ailiceun</v>
      </c>
      <c r="G115" t="s">
        <v>52</v>
      </c>
      <c r="H115" t="s">
        <v>53</v>
      </c>
      <c r="I115" t="s">
        <v>56</v>
      </c>
      <c r="J115" t="s">
        <v>57</v>
      </c>
      <c r="K115" t="s">
        <v>58</v>
      </c>
      <c r="L115" t="s">
        <v>59</v>
      </c>
      <c r="M115">
        <v>137500</v>
      </c>
      <c r="N115" t="s">
        <v>590</v>
      </c>
      <c r="P115" t="s">
        <v>55</v>
      </c>
      <c r="R115" t="s">
        <v>54</v>
      </c>
      <c r="T115" t="s">
        <v>55</v>
      </c>
      <c r="X115" t="s">
        <v>55</v>
      </c>
      <c r="Z115" t="s">
        <v>54</v>
      </c>
      <c r="AB115" t="s">
        <v>55</v>
      </c>
      <c r="AD115" t="s">
        <v>55</v>
      </c>
      <c r="AF115" t="s">
        <v>55</v>
      </c>
      <c r="AH115" t="s">
        <v>55</v>
      </c>
      <c r="AJ115" t="s">
        <v>54</v>
      </c>
      <c r="AK115">
        <v>23300</v>
      </c>
      <c r="AL115">
        <v>0.1391</v>
      </c>
      <c r="AM115" t="s">
        <v>591</v>
      </c>
      <c r="AN115">
        <v>250</v>
      </c>
      <c r="AO115" t="s">
        <v>592</v>
      </c>
      <c r="AP115" t="s">
        <v>593</v>
      </c>
      <c r="AQ115" t="s">
        <v>594</v>
      </c>
      <c r="AR115" t="s">
        <v>173</v>
      </c>
      <c r="AS115" t="s">
        <v>595</v>
      </c>
    </row>
    <row r="116" ht="25.5" customHeight="1" spans="1:48">
      <c r="A116" t="s">
        <v>596</v>
      </c>
      <c r="C116" t="s">
        <v>82</v>
      </c>
      <c r="E116" s="3" t="str">
        <f>HYPERLINK("https://app.hypeauditor.com/my-network/influencer/30095670/analytics/instagram/ailice.un","https://app.hypeauditor.com/my-network/influencer/30095670/analytics/instagram/ailice.un")</f>
        <v>https://app.hypeauditor.com/my-network/influencer/30095670/analytics/instagram/ailice.un</v>
      </c>
      <c r="F116" s="3" t="str">
        <f>HYPERLINK("https://www.instagram.com/ailice.un/reels/","https://www.instagram.com/ailice.un/reels/")</f>
        <v>https://www.instagram.com/ailice.un/reels/</v>
      </c>
      <c r="G116" t="s">
        <v>52</v>
      </c>
      <c r="H116" t="s">
        <v>53</v>
      </c>
      <c r="I116" t="s">
        <v>65</v>
      </c>
      <c r="J116" t="s">
        <v>116</v>
      </c>
      <c r="K116" t="s">
        <v>58</v>
      </c>
      <c r="L116" t="s">
        <v>59</v>
      </c>
      <c r="M116">
        <v>113700</v>
      </c>
      <c r="N116" t="s">
        <v>597</v>
      </c>
      <c r="P116" t="s">
        <v>55</v>
      </c>
      <c r="R116" t="s">
        <v>54</v>
      </c>
      <c r="T116" t="s">
        <v>55</v>
      </c>
      <c r="X116" t="s">
        <v>55</v>
      </c>
      <c r="Z116" t="s">
        <v>54</v>
      </c>
      <c r="AB116" t="s">
        <v>55</v>
      </c>
      <c r="AD116" t="s">
        <v>55</v>
      </c>
      <c r="AF116" t="s">
        <v>55</v>
      </c>
      <c r="AH116" t="s">
        <v>55</v>
      </c>
      <c r="AJ116" t="s">
        <v>54</v>
      </c>
      <c r="AK116">
        <v>50000</v>
      </c>
      <c r="AL116">
        <v>0.0544</v>
      </c>
      <c r="AM116" t="s">
        <v>598</v>
      </c>
      <c r="AN116">
        <v>250</v>
      </c>
      <c r="AO116" t="s">
        <v>599</v>
      </c>
      <c r="AP116" t="s">
        <v>600</v>
      </c>
      <c r="AQ116" t="s">
        <v>601</v>
      </c>
      <c r="AR116" t="s">
        <v>602</v>
      </c>
      <c r="AS116" t="s">
        <v>603</v>
      </c>
      <c r="AV116" t="s">
        <v>589</v>
      </c>
    </row>
    <row r="117" ht="25.5" customHeight="1" spans="1:45">
      <c r="A117" t="s">
        <v>604</v>
      </c>
      <c r="C117" t="s">
        <v>144</v>
      </c>
      <c r="E117" s="3" t="str">
        <f>HYPERLINK("https://app.hypeauditor.com/my-network/influencer/191554/analytics/instagram/words_worth_billions","https://app.hypeauditor.com/my-network/influencer/191554/analytics/instagram/words_worth_billions")</f>
        <v>https://app.hypeauditor.com/my-network/influencer/191554/analytics/instagram/words_worth_billions</v>
      </c>
      <c r="F117" s="3" t="str">
        <f>HYPERLINK("https://www.instagram.com/words_worth_billions/","https://www.instagram.com/words_worth_billions/")</f>
        <v>https://www.instagram.com/words_worth_billions/</v>
      </c>
      <c r="G117" t="s">
        <v>52</v>
      </c>
      <c r="H117" t="s">
        <v>255</v>
      </c>
      <c r="I117" t="s">
        <v>65</v>
      </c>
      <c r="J117" t="s">
        <v>116</v>
      </c>
      <c r="K117" t="s">
        <v>455</v>
      </c>
      <c r="L117" t="s">
        <v>54</v>
      </c>
      <c r="M117">
        <v>6800000</v>
      </c>
      <c r="N117" t="s">
        <v>185</v>
      </c>
      <c r="P117" t="s">
        <v>55</v>
      </c>
      <c r="R117" t="s">
        <v>54</v>
      </c>
      <c r="T117" t="s">
        <v>55</v>
      </c>
      <c r="X117" t="s">
        <v>55</v>
      </c>
      <c r="Z117" t="s">
        <v>54</v>
      </c>
      <c r="AB117" t="s">
        <v>55</v>
      </c>
      <c r="AD117" t="s">
        <v>55</v>
      </c>
      <c r="AF117" t="s">
        <v>55</v>
      </c>
      <c r="AH117" t="s">
        <v>55</v>
      </c>
      <c r="AJ117" t="s">
        <v>54</v>
      </c>
      <c r="AK117">
        <v>123700</v>
      </c>
      <c r="AL117">
        <v>0.0026</v>
      </c>
      <c r="AM117" t="s">
        <v>605</v>
      </c>
      <c r="AN117">
        <v>800</v>
      </c>
      <c r="AO117" t="s">
        <v>606</v>
      </c>
      <c r="AP117" t="s">
        <v>607</v>
      </c>
      <c r="AQ117" t="s">
        <v>608</v>
      </c>
      <c r="AR117" t="s">
        <v>609</v>
      </c>
      <c r="AS117" t="s">
        <v>610</v>
      </c>
    </row>
    <row r="118" ht="25.5" customHeight="1" spans="1:45">
      <c r="A118" t="s">
        <v>611</v>
      </c>
      <c r="C118" t="s">
        <v>72</v>
      </c>
      <c r="E118" s="3" t="str">
        <f>HYPERLINK("https://app.hypeauditor.com/my-network/influencer/2714581/analytics/instagram/mattia.dichiara","https://app.hypeauditor.com/my-network/influencer/2714581/analytics/instagram/mattia.dichiara")</f>
        <v>https://app.hypeauditor.com/my-network/influencer/2714581/analytics/instagram/mattia.dichiara</v>
      </c>
      <c r="F118" s="3" t="str">
        <f>HYPERLINK("https://www.instagram.com/mattia.dichiara/reels/","https://www.instagram.com/mattia.dichiara/reels/")</f>
        <v>https://www.instagram.com/mattia.dichiara/reels/</v>
      </c>
      <c r="G118" t="s">
        <v>52</v>
      </c>
      <c r="H118" t="s">
        <v>571</v>
      </c>
      <c r="I118" t="s">
        <v>612</v>
      </c>
      <c r="K118" t="s">
        <v>89</v>
      </c>
      <c r="L118" t="s">
        <v>54</v>
      </c>
      <c r="M118">
        <v>370000</v>
      </c>
      <c r="N118" t="s">
        <v>613</v>
      </c>
      <c r="P118" t="s">
        <v>55</v>
      </c>
      <c r="R118" t="s">
        <v>54</v>
      </c>
      <c r="T118" t="s">
        <v>55</v>
      </c>
      <c r="X118" t="s">
        <v>55</v>
      </c>
      <c r="Z118" t="s">
        <v>54</v>
      </c>
      <c r="AB118" t="s">
        <v>55</v>
      </c>
      <c r="AD118" t="s">
        <v>55</v>
      </c>
      <c r="AF118" t="s">
        <v>55</v>
      </c>
      <c r="AH118" t="s">
        <v>55</v>
      </c>
      <c r="AJ118" t="s">
        <v>54</v>
      </c>
      <c r="AK118">
        <v>160000</v>
      </c>
      <c r="AL118">
        <v>0.0058</v>
      </c>
      <c r="AM118" t="s">
        <v>614</v>
      </c>
      <c r="AO118" t="s">
        <v>615</v>
      </c>
      <c r="AP118" t="s">
        <v>184</v>
      </c>
      <c r="AQ118" t="s">
        <v>185</v>
      </c>
      <c r="AR118" t="s">
        <v>184</v>
      </c>
      <c r="AS118" t="s">
        <v>185</v>
      </c>
    </row>
    <row r="119" ht="25.5" customHeight="1" spans="1:45">
      <c r="A119" t="s">
        <v>616</v>
      </c>
      <c r="C119" t="s">
        <v>82</v>
      </c>
      <c r="E119" s="3" t="str">
        <f>HYPERLINK("https://app.hypeauditor.com/my-network/influencer/19872523/analytics/instagram/kristel_tech","https://app.hypeauditor.com/my-network/influencer/19872523/analytics/instagram/kristel_tech")</f>
        <v>https://app.hypeauditor.com/my-network/influencer/19872523/analytics/instagram/kristel_tech</v>
      </c>
      <c r="F119" s="3" t="str">
        <f>HYPERLINK("https://www.instagram.com/kristel_tech/reels/","https://www.instagram.com/kristel_tech/reels/")</f>
        <v>https://www.instagram.com/kristel_tech/reels/</v>
      </c>
      <c r="G119" t="s">
        <v>52</v>
      </c>
      <c r="H119" t="s">
        <v>53</v>
      </c>
      <c r="I119" t="s">
        <v>65</v>
      </c>
      <c r="J119" t="s">
        <v>116</v>
      </c>
      <c r="K119" t="s">
        <v>89</v>
      </c>
      <c r="L119" t="s">
        <v>54</v>
      </c>
      <c r="M119">
        <v>76200</v>
      </c>
      <c r="N119" t="s">
        <v>55</v>
      </c>
      <c r="P119" t="s">
        <v>55</v>
      </c>
      <c r="R119" t="s">
        <v>54</v>
      </c>
      <c r="T119" t="s">
        <v>55</v>
      </c>
      <c r="X119" t="s">
        <v>55</v>
      </c>
      <c r="Z119" t="s">
        <v>54</v>
      </c>
      <c r="AB119" t="s">
        <v>55</v>
      </c>
      <c r="AD119" t="s">
        <v>55</v>
      </c>
      <c r="AF119" t="s">
        <v>55</v>
      </c>
      <c r="AH119" t="s">
        <v>55</v>
      </c>
      <c r="AJ119" t="s">
        <v>54</v>
      </c>
      <c r="AK119">
        <v>22000</v>
      </c>
      <c r="AL119">
        <v>0.0127</v>
      </c>
      <c r="AM119" t="s">
        <v>617</v>
      </c>
      <c r="AN119">
        <v>300</v>
      </c>
      <c r="AO119" t="s">
        <v>618</v>
      </c>
      <c r="AP119" t="s">
        <v>619</v>
      </c>
      <c r="AQ119" t="s">
        <v>620</v>
      </c>
      <c r="AR119" t="s">
        <v>621</v>
      </c>
      <c r="AS119" t="s">
        <v>55</v>
      </c>
    </row>
    <row r="120" ht="25.5" customHeight="1" spans="1:48">
      <c r="A120" t="s">
        <v>616</v>
      </c>
      <c r="C120" t="s">
        <v>82</v>
      </c>
      <c r="E120" s="3" t="str">
        <f>HYPERLINK("https://app.hypeauditor.com/my-network/influencer/19872523/analytics/tiktok/kristel_tech","https://app.hypeauditor.com/my-network/influencer/19872523/analytics/tiktok/kristel_tech")</f>
        <v>https://app.hypeauditor.com/my-network/influencer/19872523/analytics/tiktok/kristel_tech</v>
      </c>
      <c r="F120" s="3" t="str">
        <f>HYPERLINK("https://www.tiktok.com/@kristel_tech","https://www.tiktok.com/@kristel_tech")</f>
        <v>https://www.tiktok.com/@kristel_tech</v>
      </c>
      <c r="G120" t="s">
        <v>52</v>
      </c>
      <c r="H120" t="s">
        <v>53</v>
      </c>
      <c r="I120" t="s">
        <v>56</v>
      </c>
      <c r="J120" t="s">
        <v>57</v>
      </c>
      <c r="K120" t="s">
        <v>89</v>
      </c>
      <c r="L120" t="s">
        <v>54</v>
      </c>
      <c r="M120">
        <v>92700</v>
      </c>
      <c r="N120" t="s">
        <v>55</v>
      </c>
      <c r="P120" t="s">
        <v>55</v>
      </c>
      <c r="R120" t="s">
        <v>54</v>
      </c>
      <c r="T120" t="s">
        <v>55</v>
      </c>
      <c r="X120" t="s">
        <v>55</v>
      </c>
      <c r="Z120" t="s">
        <v>54</v>
      </c>
      <c r="AB120" t="s">
        <v>55</v>
      </c>
      <c r="AD120" t="s">
        <v>55</v>
      </c>
      <c r="AF120" t="s">
        <v>55</v>
      </c>
      <c r="AH120" t="s">
        <v>55</v>
      </c>
      <c r="AJ120" t="s">
        <v>54</v>
      </c>
      <c r="AK120">
        <v>1600</v>
      </c>
      <c r="AL120">
        <v>0.0644</v>
      </c>
      <c r="AM120" t="s">
        <v>622</v>
      </c>
      <c r="AN120">
        <v>50</v>
      </c>
      <c r="AO120" t="s">
        <v>623</v>
      </c>
      <c r="AP120" t="s">
        <v>624</v>
      </c>
      <c r="AQ120" t="s">
        <v>55</v>
      </c>
      <c r="AR120" t="s">
        <v>625</v>
      </c>
      <c r="AS120" t="s">
        <v>55</v>
      </c>
      <c r="AV120" t="s">
        <v>616</v>
      </c>
    </row>
    <row r="121" ht="25.5" customHeight="1" spans="1:41">
      <c r="A121" t="s">
        <v>626</v>
      </c>
      <c r="C121" t="s">
        <v>144</v>
      </c>
      <c r="E121" s="3" t="str">
        <f>HYPERLINK("https://app.hypeauditor.com/my-network/influencer/501088/analytics/instagram/universitaria.estresada","https://app.hypeauditor.com/my-network/influencer/501088/analytics/instagram/universitaria.estresada")</f>
        <v>https://app.hypeauditor.com/my-network/influencer/501088/analytics/instagram/universitaria.estresada</v>
      </c>
      <c r="F121" s="3" t="str">
        <f>HYPERLINK("https://www.instagram.com/universitaria.estresada/reels/","https://www.instagram.com/universitaria.estresada/reels/")</f>
        <v>https://www.instagram.com/universitaria.estresada/reels/</v>
      </c>
      <c r="G121" t="s">
        <v>52</v>
      </c>
      <c r="H121" t="s">
        <v>53</v>
      </c>
      <c r="L121" t="s">
        <v>54</v>
      </c>
      <c r="P121" t="s">
        <v>55</v>
      </c>
      <c r="R121" t="s">
        <v>54</v>
      </c>
      <c r="T121" t="s">
        <v>55</v>
      </c>
      <c r="X121" t="s">
        <v>55</v>
      </c>
      <c r="Z121" t="s">
        <v>54</v>
      </c>
      <c r="AB121" t="s">
        <v>55</v>
      </c>
      <c r="AD121" t="s">
        <v>55</v>
      </c>
      <c r="AF121" t="s">
        <v>55</v>
      </c>
      <c r="AH121" t="s">
        <v>55</v>
      </c>
      <c r="AJ121" t="s">
        <v>54</v>
      </c>
      <c r="AM121" t="s">
        <v>54</v>
      </c>
      <c r="AO121" t="s">
        <v>54</v>
      </c>
    </row>
    <row r="122" ht="25.5" customHeight="1" spans="1:43">
      <c r="A122" t="s">
        <v>627</v>
      </c>
      <c r="C122" t="s">
        <v>144</v>
      </c>
      <c r="E122" s="3" t="str">
        <f>HYPERLINK("https://app.hypeauditor.com/my-network?search=ekonomigurun%40gmail.com","https://app.hypeauditor.com/my-network?search=ekonomigurun%40gmail.com")</f>
        <v>https://app.hypeauditor.com/my-network?search=ekonomigurun%40gmail.com</v>
      </c>
      <c r="F122" s="3" t="str">
        <f>HYPERLINK("https://www.instagram.com/ekonomigurun/reels/","https://www.instagram.com/ekonomigurun/reels/")</f>
        <v>https://www.instagram.com/ekonomigurun/reels/</v>
      </c>
      <c r="G122" t="s">
        <v>52</v>
      </c>
      <c r="H122" t="s">
        <v>53</v>
      </c>
      <c r="I122" t="s">
        <v>65</v>
      </c>
      <c r="K122" t="s">
        <v>97</v>
      </c>
      <c r="L122" t="s">
        <v>54</v>
      </c>
      <c r="M122">
        <v>207000</v>
      </c>
      <c r="N122" t="s">
        <v>628</v>
      </c>
      <c r="P122" t="s">
        <v>55</v>
      </c>
      <c r="R122" t="s">
        <v>54</v>
      </c>
      <c r="T122" t="s">
        <v>55</v>
      </c>
      <c r="X122" t="s">
        <v>55</v>
      </c>
      <c r="Z122" t="s">
        <v>54</v>
      </c>
      <c r="AB122" t="s">
        <v>55</v>
      </c>
      <c r="AD122" t="s">
        <v>55</v>
      </c>
      <c r="AF122" t="s">
        <v>55</v>
      </c>
      <c r="AH122" t="s">
        <v>55</v>
      </c>
      <c r="AJ122" t="s">
        <v>54</v>
      </c>
      <c r="AK122">
        <v>200000</v>
      </c>
      <c r="AM122" t="s">
        <v>54</v>
      </c>
      <c r="AO122" t="s">
        <v>54</v>
      </c>
      <c r="AP122" t="s">
        <v>184</v>
      </c>
      <c r="AQ122" t="s">
        <v>185</v>
      </c>
    </row>
    <row r="123" ht="25.5" customHeight="1" spans="1:48">
      <c r="A123" t="s">
        <v>627</v>
      </c>
      <c r="C123" t="s">
        <v>144</v>
      </c>
      <c r="E123" s="3" t="str">
        <f>HYPERLINK("https://app.hypeauditor.com/my-network/influencer/37347/analytics/tiktok/ekonomigurun","https://app.hypeauditor.com/my-network/influencer/37347/analytics/tiktok/ekonomigurun")</f>
        <v>https://app.hypeauditor.com/my-network/influencer/37347/analytics/tiktok/ekonomigurun</v>
      </c>
      <c r="F123" s="3" t="str">
        <f>HYPERLINK("https://www.tiktok.com/@ekonomigurun","https://www.tiktok.com/@ekonomigurun")</f>
        <v>https://www.tiktok.com/@ekonomigurun</v>
      </c>
      <c r="G123" t="s">
        <v>52</v>
      </c>
      <c r="H123" t="s">
        <v>53</v>
      </c>
      <c r="L123" t="s">
        <v>54</v>
      </c>
      <c r="P123" t="s">
        <v>55</v>
      </c>
      <c r="R123" t="s">
        <v>54</v>
      </c>
      <c r="T123" t="s">
        <v>55</v>
      </c>
      <c r="X123" t="s">
        <v>55</v>
      </c>
      <c r="Z123" t="s">
        <v>54</v>
      </c>
      <c r="AB123" t="s">
        <v>55</v>
      </c>
      <c r="AD123" t="s">
        <v>55</v>
      </c>
      <c r="AF123" t="s">
        <v>55</v>
      </c>
      <c r="AH123" t="s">
        <v>55</v>
      </c>
      <c r="AJ123" t="s">
        <v>54</v>
      </c>
      <c r="AM123" t="s">
        <v>54</v>
      </c>
      <c r="AO123" t="s">
        <v>54</v>
      </c>
      <c r="AV123" t="s">
        <v>627</v>
      </c>
    </row>
    <row r="124" ht="25.5" customHeight="1" spans="1:45">
      <c r="A124" t="s">
        <v>629</v>
      </c>
      <c r="C124" t="s">
        <v>82</v>
      </c>
      <c r="E124" s="3" t="str">
        <f>HYPERLINK("https://app.hypeauditor.com/my-network/influencer/8997226/analytics/tiktok/san.shapes","https://app.hypeauditor.com/my-network/influencer/8997226/analytics/tiktok/san.shapes")</f>
        <v>https://app.hypeauditor.com/my-network/influencer/8997226/analytics/tiktok/san.shapes</v>
      </c>
      <c r="F124" s="3" t="str">
        <f>HYPERLINK("https://www.tiktok.com/@san.shapes","https://www.tiktok.com/@san.shapes")</f>
        <v>https://www.tiktok.com/@san.shapes</v>
      </c>
      <c r="G124" t="s">
        <v>52</v>
      </c>
      <c r="H124" t="s">
        <v>630</v>
      </c>
      <c r="I124" t="s">
        <v>56</v>
      </c>
      <c r="K124" t="s">
        <v>631</v>
      </c>
      <c r="L124" t="s">
        <v>54</v>
      </c>
      <c r="M124">
        <v>353300</v>
      </c>
      <c r="N124" t="s">
        <v>632</v>
      </c>
      <c r="P124" t="s">
        <v>55</v>
      </c>
      <c r="R124" t="s">
        <v>54</v>
      </c>
      <c r="T124" t="s">
        <v>55</v>
      </c>
      <c r="X124" t="s">
        <v>55</v>
      </c>
      <c r="Z124" t="s">
        <v>54</v>
      </c>
      <c r="AB124" t="s">
        <v>55</v>
      </c>
      <c r="AD124" t="s">
        <v>55</v>
      </c>
      <c r="AF124" t="s">
        <v>55</v>
      </c>
      <c r="AH124" t="s">
        <v>55</v>
      </c>
      <c r="AJ124" t="s">
        <v>54</v>
      </c>
      <c r="AK124">
        <v>15000</v>
      </c>
      <c r="AL124">
        <v>0.068</v>
      </c>
      <c r="AM124" t="s">
        <v>633</v>
      </c>
      <c r="AN124">
        <v>200</v>
      </c>
      <c r="AO124" t="s">
        <v>634</v>
      </c>
      <c r="AP124" t="s">
        <v>635</v>
      </c>
      <c r="AQ124" t="s">
        <v>636</v>
      </c>
      <c r="AR124" t="s">
        <v>637</v>
      </c>
      <c r="AS124" t="s">
        <v>638</v>
      </c>
    </row>
    <row r="125" ht="25.5" customHeight="1" spans="1:43">
      <c r="A125" t="s">
        <v>639</v>
      </c>
      <c r="C125" t="s">
        <v>72</v>
      </c>
      <c r="E125" s="3" t="str">
        <f>HYPERLINK("https://app.hypeauditor.com/my-network/influencer/94202/analytics/instagram/sarahemmerich","https://app.hypeauditor.com/my-network/influencer/94202/analytics/instagram/sarahemmerich")</f>
        <v>https://app.hypeauditor.com/my-network/influencer/94202/analytics/instagram/sarahemmerich</v>
      </c>
      <c r="F125" s="3" t="str">
        <f>HYPERLINK("https://www.instagram.com/sarahemmerich/reels/","https://www.instagram.com/sarahemmerich/reels/")</f>
        <v>https://www.instagram.com/sarahemmerich/reels/</v>
      </c>
      <c r="G125" t="s">
        <v>52</v>
      </c>
      <c r="H125" t="s">
        <v>53</v>
      </c>
      <c r="I125" t="s">
        <v>65</v>
      </c>
      <c r="K125" t="s">
        <v>89</v>
      </c>
      <c r="L125" t="s">
        <v>54</v>
      </c>
      <c r="M125">
        <v>37400</v>
      </c>
      <c r="N125" t="s">
        <v>55</v>
      </c>
      <c r="P125" t="s">
        <v>55</v>
      </c>
      <c r="R125" t="s">
        <v>54</v>
      </c>
      <c r="T125" t="s">
        <v>55</v>
      </c>
      <c r="X125" t="s">
        <v>55</v>
      </c>
      <c r="Z125" t="s">
        <v>54</v>
      </c>
      <c r="AB125" t="s">
        <v>55</v>
      </c>
      <c r="AD125" t="s">
        <v>55</v>
      </c>
      <c r="AF125" t="s">
        <v>55</v>
      </c>
      <c r="AH125" t="s">
        <v>55</v>
      </c>
      <c r="AJ125" t="s">
        <v>54</v>
      </c>
      <c r="AK125">
        <v>5000</v>
      </c>
      <c r="AM125" t="s">
        <v>54</v>
      </c>
      <c r="AN125">
        <v>50</v>
      </c>
      <c r="AO125" t="s">
        <v>54</v>
      </c>
      <c r="AP125" t="s">
        <v>139</v>
      </c>
      <c r="AQ125" t="s">
        <v>140</v>
      </c>
    </row>
    <row r="126" ht="25.5" customHeight="1" spans="1:45">
      <c r="A126" t="s">
        <v>640</v>
      </c>
      <c r="C126" t="s">
        <v>72</v>
      </c>
      <c r="E126" s="3" t="str">
        <f>HYPERLINK("https://app.hypeauditor.com/my-network/influencer/30935642/analytics/instagram/deryakba","https://app.hypeauditor.com/my-network/influencer/30935642/analytics/instagram/deryakba")</f>
        <v>https://app.hypeauditor.com/my-network/influencer/30935642/analytics/instagram/deryakba</v>
      </c>
      <c r="F126" s="3" t="str">
        <f>HYPERLINK("https://www.instagram.com/deryakba/reels/","https://www.instagram.com/deryakba/reels/")</f>
        <v>https://www.instagram.com/deryakba/reels/</v>
      </c>
      <c r="G126" t="s">
        <v>52</v>
      </c>
      <c r="H126" t="s">
        <v>630</v>
      </c>
      <c r="I126" t="s">
        <v>65</v>
      </c>
      <c r="K126" t="s">
        <v>455</v>
      </c>
      <c r="L126" t="s">
        <v>54</v>
      </c>
      <c r="M126">
        <v>136000</v>
      </c>
      <c r="N126" t="s">
        <v>641</v>
      </c>
      <c r="P126" t="s">
        <v>55</v>
      </c>
      <c r="R126" t="s">
        <v>54</v>
      </c>
      <c r="T126" t="s">
        <v>55</v>
      </c>
      <c r="X126" t="s">
        <v>55</v>
      </c>
      <c r="Z126" t="s">
        <v>54</v>
      </c>
      <c r="AB126" t="s">
        <v>55</v>
      </c>
      <c r="AD126" t="s">
        <v>55</v>
      </c>
      <c r="AF126" t="s">
        <v>55</v>
      </c>
      <c r="AH126" t="s">
        <v>55</v>
      </c>
      <c r="AJ126" t="s">
        <v>54</v>
      </c>
      <c r="AK126">
        <v>40000</v>
      </c>
      <c r="AL126">
        <v>0.0163</v>
      </c>
      <c r="AM126" t="s">
        <v>642</v>
      </c>
      <c r="AO126" t="s">
        <v>643</v>
      </c>
      <c r="AP126" t="s">
        <v>184</v>
      </c>
      <c r="AQ126" t="s">
        <v>185</v>
      </c>
      <c r="AR126" t="s">
        <v>184</v>
      </c>
      <c r="AS126" t="s">
        <v>185</v>
      </c>
    </row>
    <row r="127" ht="25.5" customHeight="1" spans="1:45">
      <c r="A127" t="s">
        <v>644</v>
      </c>
      <c r="C127" t="s">
        <v>82</v>
      </c>
      <c r="E127" s="3" t="str">
        <f>HYPERLINK("https://app.hypeauditor.com/my-network/influencer/30115626/analytics/tiktok/sheffield.g","https://app.hypeauditor.com/my-network/influencer/30115626/analytics/tiktok/sheffield.g")</f>
        <v>https://app.hypeauditor.com/my-network/influencer/30115626/analytics/tiktok/sheffield.g</v>
      </c>
      <c r="F127" s="3" t="str">
        <f>HYPERLINK("https://www.tiktok.com/@sheffield.g","https://www.tiktok.com/@sheffield.g")</f>
        <v>https://www.tiktok.com/@sheffield.g</v>
      </c>
      <c r="G127" t="s">
        <v>52</v>
      </c>
      <c r="H127" t="s">
        <v>53</v>
      </c>
      <c r="I127" t="s">
        <v>56</v>
      </c>
      <c r="K127" t="s">
        <v>58</v>
      </c>
      <c r="L127" t="s">
        <v>59</v>
      </c>
      <c r="M127">
        <v>75500</v>
      </c>
      <c r="N127" t="s">
        <v>55</v>
      </c>
      <c r="P127" t="s">
        <v>55</v>
      </c>
      <c r="R127" t="s">
        <v>54</v>
      </c>
      <c r="T127" t="s">
        <v>55</v>
      </c>
      <c r="X127" t="s">
        <v>55</v>
      </c>
      <c r="Z127" t="s">
        <v>54</v>
      </c>
      <c r="AB127" t="s">
        <v>55</v>
      </c>
      <c r="AD127" t="s">
        <v>55</v>
      </c>
      <c r="AF127" t="s">
        <v>55</v>
      </c>
      <c r="AH127" t="s">
        <v>55</v>
      </c>
      <c r="AJ127" t="s">
        <v>54</v>
      </c>
      <c r="AK127">
        <v>55700</v>
      </c>
      <c r="AL127">
        <v>0.1693</v>
      </c>
      <c r="AM127" t="s">
        <v>645</v>
      </c>
      <c r="AN127">
        <v>200</v>
      </c>
      <c r="AO127" t="s">
        <v>646</v>
      </c>
      <c r="AP127" t="s">
        <v>647</v>
      </c>
      <c r="AQ127" t="s">
        <v>648</v>
      </c>
      <c r="AR127" t="s">
        <v>649</v>
      </c>
      <c r="AS127" t="s">
        <v>650</v>
      </c>
    </row>
    <row r="128" ht="25.5" customHeight="1" spans="1:43">
      <c r="A128" t="s">
        <v>651</v>
      </c>
      <c r="C128" t="s">
        <v>72</v>
      </c>
      <c r="E128" s="3" t="str">
        <f>HYPERLINK("https://app.hypeauditor.com/my-network/influencer/29885643/analytics/tiktok/mintedmindset1","https://app.hypeauditor.com/my-network/influencer/29885643/analytics/tiktok/mintedmindset1")</f>
        <v>https://app.hypeauditor.com/my-network/influencer/29885643/analytics/tiktok/mintedmindset1</v>
      </c>
      <c r="F128" s="3" t="str">
        <f>HYPERLINK("https://www.tiktok.com/@mintedmindset1","https://www.tiktok.com/@mintedmindset1")</f>
        <v>https://www.tiktok.com/@mintedmindset1</v>
      </c>
      <c r="G128" t="s">
        <v>52</v>
      </c>
      <c r="H128" t="s">
        <v>255</v>
      </c>
      <c r="I128" t="s">
        <v>56</v>
      </c>
      <c r="K128" t="s">
        <v>455</v>
      </c>
      <c r="L128" t="s">
        <v>54</v>
      </c>
      <c r="M128">
        <v>66800</v>
      </c>
      <c r="N128" t="s">
        <v>55</v>
      </c>
      <c r="P128" t="s">
        <v>55</v>
      </c>
      <c r="R128" t="s">
        <v>54</v>
      </c>
      <c r="T128" t="s">
        <v>55</v>
      </c>
      <c r="X128" t="s">
        <v>55</v>
      </c>
      <c r="Z128" t="s">
        <v>54</v>
      </c>
      <c r="AB128" t="s">
        <v>55</v>
      </c>
      <c r="AD128" t="s">
        <v>55</v>
      </c>
      <c r="AF128" t="s">
        <v>55</v>
      </c>
      <c r="AH128" t="s">
        <v>55</v>
      </c>
      <c r="AJ128" t="s">
        <v>54</v>
      </c>
      <c r="AK128">
        <v>5200</v>
      </c>
      <c r="AM128" t="s">
        <v>54</v>
      </c>
      <c r="AN128">
        <v>50</v>
      </c>
      <c r="AO128" t="s">
        <v>54</v>
      </c>
      <c r="AP128" t="s">
        <v>652</v>
      </c>
      <c r="AQ128" t="s">
        <v>653</v>
      </c>
    </row>
    <row r="129" ht="25.5" customHeight="1" spans="1:45">
      <c r="A129" t="s">
        <v>654</v>
      </c>
      <c r="C129" t="s">
        <v>72</v>
      </c>
      <c r="E129" s="3" t="str">
        <f>HYPERLINK("https://app.hypeauditor.com/my-network/influencer/28106309/analytics/instagram/jessramosdata","https://app.hypeauditor.com/my-network/influencer/28106309/analytics/instagram/jessramosdata")</f>
        <v>https://app.hypeauditor.com/my-network/influencer/28106309/analytics/instagram/jessramosdata</v>
      </c>
      <c r="F129" s="3" t="str">
        <f>HYPERLINK("https://www.instagram.com/jessramosdata/","https://www.instagram.com/jessramosdata/")</f>
        <v>https://www.instagram.com/jessramosdata/</v>
      </c>
      <c r="G129" t="s">
        <v>52</v>
      </c>
      <c r="H129" t="s">
        <v>255</v>
      </c>
      <c r="I129" t="s">
        <v>65</v>
      </c>
      <c r="K129" t="s">
        <v>455</v>
      </c>
      <c r="L129" t="s">
        <v>54</v>
      </c>
      <c r="M129">
        <v>89400</v>
      </c>
      <c r="N129" t="s">
        <v>55</v>
      </c>
      <c r="P129" t="s">
        <v>55</v>
      </c>
      <c r="R129" t="s">
        <v>54</v>
      </c>
      <c r="T129" t="s">
        <v>55</v>
      </c>
      <c r="X129" t="s">
        <v>55</v>
      </c>
      <c r="Z129" t="s">
        <v>54</v>
      </c>
      <c r="AB129" t="s">
        <v>55</v>
      </c>
      <c r="AD129" t="s">
        <v>55</v>
      </c>
      <c r="AF129" t="s">
        <v>55</v>
      </c>
      <c r="AH129" t="s">
        <v>55</v>
      </c>
      <c r="AJ129" t="s">
        <v>54</v>
      </c>
      <c r="AK129">
        <v>12200</v>
      </c>
      <c r="AL129">
        <v>0.0048</v>
      </c>
      <c r="AM129" t="s">
        <v>655</v>
      </c>
      <c r="AN129">
        <v>100</v>
      </c>
      <c r="AO129" t="s">
        <v>656</v>
      </c>
      <c r="AP129" t="s">
        <v>657</v>
      </c>
      <c r="AQ129" t="s">
        <v>658</v>
      </c>
      <c r="AR129" t="s">
        <v>659</v>
      </c>
      <c r="AS129" t="s">
        <v>55</v>
      </c>
    </row>
    <row r="130" ht="25.5" customHeight="1" spans="5:48">
      <c r="E130" s="3" t="str">
        <f>HYPERLINK("https://app.hypeauditor.com/my-network/influencer/28106309/analytics/tiktok/jessramosdata","https://app.hypeauditor.com/my-network/influencer/28106309/analytics/tiktok/jessramosdata")</f>
        <v>https://app.hypeauditor.com/my-network/influencer/28106309/analytics/tiktok/jessramosdata</v>
      </c>
      <c r="F130" s="3"/>
      <c r="G130" t="s">
        <v>52</v>
      </c>
      <c r="H130" t="s">
        <v>255</v>
      </c>
      <c r="I130" t="s">
        <v>56</v>
      </c>
      <c r="L130" t="s">
        <v>54</v>
      </c>
      <c r="M130">
        <v>22500</v>
      </c>
      <c r="N130" t="s">
        <v>55</v>
      </c>
      <c r="P130" t="s">
        <v>55</v>
      </c>
      <c r="R130" t="s">
        <v>54</v>
      </c>
      <c r="T130" t="s">
        <v>55</v>
      </c>
      <c r="X130" t="s">
        <v>55</v>
      </c>
      <c r="Z130" t="s">
        <v>54</v>
      </c>
      <c r="AB130" t="s">
        <v>55</v>
      </c>
      <c r="AD130" t="s">
        <v>55</v>
      </c>
      <c r="AF130" t="s">
        <v>55</v>
      </c>
      <c r="AH130" t="s">
        <v>55</v>
      </c>
      <c r="AJ130" t="s">
        <v>54</v>
      </c>
      <c r="AK130">
        <v>2200</v>
      </c>
      <c r="AL130">
        <v>0.0512</v>
      </c>
      <c r="AM130" t="s">
        <v>660</v>
      </c>
      <c r="AN130">
        <v>20</v>
      </c>
      <c r="AO130" t="s">
        <v>661</v>
      </c>
      <c r="AP130" t="s">
        <v>662</v>
      </c>
      <c r="AQ130" t="s">
        <v>663</v>
      </c>
      <c r="AR130" t="s">
        <v>664</v>
      </c>
      <c r="AS130" t="s">
        <v>665</v>
      </c>
      <c r="AV130" t="s">
        <v>654</v>
      </c>
    </row>
    <row r="131" ht="25.5" customHeight="1" spans="1:45">
      <c r="A131" t="s">
        <v>666</v>
      </c>
      <c r="C131" t="s">
        <v>82</v>
      </c>
      <c r="E131" s="3" t="str">
        <f>HYPERLINK("https://app.hypeauditor.com/my-network/influencer/32744889/analytics/instagram/namikazetech","https://app.hypeauditor.com/my-network/influencer/32744889/analytics/instagram/namikazetech")</f>
        <v>https://app.hypeauditor.com/my-network/influencer/32744889/analytics/instagram/namikazetech</v>
      </c>
      <c r="F131" s="3" t="str">
        <f>HYPERLINK("https://www.instagram.com/namikazetech/reels/","https://www.instagram.com/namikazetech/reels/")</f>
        <v>https://www.instagram.com/namikazetech/reels/</v>
      </c>
      <c r="G131" t="s">
        <v>52</v>
      </c>
      <c r="H131" t="s">
        <v>53</v>
      </c>
      <c r="I131" t="s">
        <v>65</v>
      </c>
      <c r="K131" t="s">
        <v>89</v>
      </c>
      <c r="L131" t="s">
        <v>54</v>
      </c>
      <c r="M131">
        <v>90900</v>
      </c>
      <c r="N131" t="s">
        <v>55</v>
      </c>
      <c r="P131" t="s">
        <v>55</v>
      </c>
      <c r="R131" t="s">
        <v>54</v>
      </c>
      <c r="T131" t="s">
        <v>55</v>
      </c>
      <c r="X131" t="s">
        <v>55</v>
      </c>
      <c r="Z131" t="s">
        <v>54</v>
      </c>
      <c r="AB131" t="s">
        <v>55</v>
      </c>
      <c r="AD131" t="s">
        <v>55</v>
      </c>
      <c r="AF131" t="s">
        <v>55</v>
      </c>
      <c r="AH131" t="s">
        <v>55</v>
      </c>
      <c r="AJ131" t="s">
        <v>54</v>
      </c>
      <c r="AK131">
        <v>25000</v>
      </c>
      <c r="AL131">
        <v>0.0053</v>
      </c>
      <c r="AM131" t="s">
        <v>667</v>
      </c>
      <c r="AN131">
        <v>230</v>
      </c>
      <c r="AO131" t="s">
        <v>668</v>
      </c>
      <c r="AP131" t="s">
        <v>669</v>
      </c>
      <c r="AQ131" t="s">
        <v>670</v>
      </c>
      <c r="AR131" t="s">
        <v>671</v>
      </c>
      <c r="AS131" t="s">
        <v>55</v>
      </c>
    </row>
    <row r="132" ht="25.5" customHeight="1" spans="1:48">
      <c r="A132" t="s">
        <v>666</v>
      </c>
      <c r="C132" t="s">
        <v>82</v>
      </c>
      <c r="E132" s="3" t="str">
        <f>HYPERLINK("https://app.hypeauditor.com/my-network/influencer/30350562/analytics/tiktok/namikazetech","https://app.hypeauditor.com/my-network/influencer/30350562/analytics/tiktok/namikazetech")</f>
        <v>https://app.hypeauditor.com/my-network/influencer/30350562/analytics/tiktok/namikazetech</v>
      </c>
      <c r="F132" s="3" t="str">
        <f>HYPERLINK("https://www.tiktok.com/@namikazetech","https://www.tiktok.com/@namikazetech")</f>
        <v>https://www.tiktok.com/@namikazetech</v>
      </c>
      <c r="G132" t="s">
        <v>52</v>
      </c>
      <c r="H132" t="s">
        <v>53</v>
      </c>
      <c r="I132" t="s">
        <v>56</v>
      </c>
      <c r="K132" t="s">
        <v>89</v>
      </c>
      <c r="L132" t="s">
        <v>54</v>
      </c>
      <c r="M132">
        <v>81300</v>
      </c>
      <c r="N132" t="s">
        <v>55</v>
      </c>
      <c r="P132" t="s">
        <v>55</v>
      </c>
      <c r="R132" t="s">
        <v>54</v>
      </c>
      <c r="T132" t="s">
        <v>55</v>
      </c>
      <c r="X132" t="s">
        <v>55</v>
      </c>
      <c r="Z132" t="s">
        <v>54</v>
      </c>
      <c r="AB132" t="s">
        <v>55</v>
      </c>
      <c r="AD132" t="s">
        <v>55</v>
      </c>
      <c r="AF132" t="s">
        <v>55</v>
      </c>
      <c r="AH132" t="s">
        <v>55</v>
      </c>
      <c r="AJ132" t="s">
        <v>54</v>
      </c>
      <c r="AK132">
        <v>2700</v>
      </c>
      <c r="AL132">
        <v>0.0566</v>
      </c>
      <c r="AM132" t="s">
        <v>672</v>
      </c>
      <c r="AN132">
        <v>20</v>
      </c>
      <c r="AO132" t="s">
        <v>673</v>
      </c>
      <c r="AP132" t="s">
        <v>674</v>
      </c>
      <c r="AQ132" t="s">
        <v>675</v>
      </c>
      <c r="AR132" t="s">
        <v>200</v>
      </c>
      <c r="AS132" t="s">
        <v>676</v>
      </c>
      <c r="AV132" t="s">
        <v>666</v>
      </c>
    </row>
    <row r="133" ht="25.5" customHeight="1" spans="1:45">
      <c r="A133" t="s">
        <v>677</v>
      </c>
      <c r="C133" t="s">
        <v>72</v>
      </c>
      <c r="E133" s="3" t="str">
        <f>HYPERLINK("https://app.hypeauditor.com/my-network/influencer/27888646/analytics/tiktok/mrblakew","https://app.hypeauditor.com/my-network/influencer/27888646/analytics/tiktok/mrblakew")</f>
        <v>https://app.hypeauditor.com/my-network/influencer/27888646/analytics/tiktok/mrblakew</v>
      </c>
      <c r="F133" s="3" t="str">
        <f>HYPERLINK("https://www.tiktok.com/@mrblakew","https://www.tiktok.com/@mrblakew")</f>
        <v>https://www.tiktok.com/@mrblakew</v>
      </c>
      <c r="G133" t="s">
        <v>52</v>
      </c>
      <c r="H133" t="s">
        <v>255</v>
      </c>
      <c r="I133" t="s">
        <v>56</v>
      </c>
      <c r="K133" t="s">
        <v>455</v>
      </c>
      <c r="L133" t="s">
        <v>54</v>
      </c>
      <c r="M133">
        <v>296900</v>
      </c>
      <c r="N133" t="s">
        <v>678</v>
      </c>
      <c r="P133" t="s">
        <v>55</v>
      </c>
      <c r="R133" t="s">
        <v>54</v>
      </c>
      <c r="T133" t="s">
        <v>55</v>
      </c>
      <c r="X133" t="s">
        <v>55</v>
      </c>
      <c r="Z133" t="s">
        <v>54</v>
      </c>
      <c r="AB133" t="s">
        <v>55</v>
      </c>
      <c r="AD133" t="s">
        <v>55</v>
      </c>
      <c r="AF133" t="s">
        <v>55</v>
      </c>
      <c r="AH133" t="s">
        <v>55</v>
      </c>
      <c r="AJ133" t="s">
        <v>54</v>
      </c>
      <c r="AK133">
        <v>17400</v>
      </c>
      <c r="AL133">
        <v>0.1166</v>
      </c>
      <c r="AM133" t="s">
        <v>679</v>
      </c>
      <c r="AN133">
        <v>150</v>
      </c>
      <c r="AO133" t="s">
        <v>680</v>
      </c>
      <c r="AP133" t="s">
        <v>681</v>
      </c>
      <c r="AQ133" t="s">
        <v>682</v>
      </c>
      <c r="AR133" t="s">
        <v>683</v>
      </c>
      <c r="AS133" t="s">
        <v>684</v>
      </c>
    </row>
    <row r="134" ht="25.5" customHeight="1" spans="1:45">
      <c r="A134" t="s">
        <v>685</v>
      </c>
      <c r="C134" t="s">
        <v>72</v>
      </c>
      <c r="E134" s="3" t="str">
        <f>HYPERLINK("https://app.hypeauditor.com/my-network/influencer/2926493/analytics/instagram/digitalrajas","https://app.hypeauditor.com/my-network/influencer/2926493/analytics/instagram/digitalrajas")</f>
        <v>https://app.hypeauditor.com/my-network/influencer/2926493/analytics/instagram/digitalrajas</v>
      </c>
      <c r="F134" s="3" t="str">
        <f>HYPERLINK("https://www.instagram.com/digitalrajas/reels/","https://www.instagram.com/digitalrajas/reels/")</f>
        <v>https://www.instagram.com/digitalrajas/reels/</v>
      </c>
      <c r="G134" t="s">
        <v>52</v>
      </c>
      <c r="H134" t="s">
        <v>255</v>
      </c>
      <c r="I134" t="s">
        <v>65</v>
      </c>
      <c r="K134" t="s">
        <v>455</v>
      </c>
      <c r="L134" t="s">
        <v>54</v>
      </c>
      <c r="M134">
        <v>184700</v>
      </c>
      <c r="N134" t="s">
        <v>686</v>
      </c>
      <c r="P134" t="s">
        <v>55</v>
      </c>
      <c r="R134" t="s">
        <v>54</v>
      </c>
      <c r="T134" t="s">
        <v>55</v>
      </c>
      <c r="X134" t="s">
        <v>55</v>
      </c>
      <c r="Z134" t="s">
        <v>54</v>
      </c>
      <c r="AB134" t="s">
        <v>55</v>
      </c>
      <c r="AD134" t="s">
        <v>55</v>
      </c>
      <c r="AF134" t="s">
        <v>55</v>
      </c>
      <c r="AH134" t="s">
        <v>55</v>
      </c>
      <c r="AJ134" t="s">
        <v>54</v>
      </c>
      <c r="AK134">
        <v>8600</v>
      </c>
      <c r="AL134">
        <v>0.0016</v>
      </c>
      <c r="AM134" t="s">
        <v>687</v>
      </c>
      <c r="AN134">
        <v>80</v>
      </c>
      <c r="AO134" t="s">
        <v>688</v>
      </c>
      <c r="AP134" t="s">
        <v>689</v>
      </c>
      <c r="AQ134" t="s">
        <v>690</v>
      </c>
      <c r="AR134" t="s">
        <v>691</v>
      </c>
      <c r="AS134" t="s">
        <v>55</v>
      </c>
    </row>
    <row r="135" ht="25.5" customHeight="1" spans="1:43">
      <c r="A135" t="s">
        <v>692</v>
      </c>
      <c r="C135" t="s">
        <v>144</v>
      </c>
      <c r="E135" s="3" t="str">
        <f>HYPERLINK("https://app.hypeauditor.com/my-network/influencer/14725066/analytics/tiktok/bengreenfield","https://app.hypeauditor.com/my-network/influencer/14725066/analytics/tiktok/bengreenfield")</f>
        <v>https://app.hypeauditor.com/my-network/influencer/14725066/analytics/tiktok/bengreenfield</v>
      </c>
      <c r="F135" s="3" t="str">
        <f>HYPERLINK("https://www.tiktok.com/@bengreenfield","https://www.tiktok.com/@bengreenfield")</f>
        <v>https://www.tiktok.com/@bengreenfield</v>
      </c>
      <c r="G135" t="s">
        <v>52</v>
      </c>
      <c r="H135" t="s">
        <v>255</v>
      </c>
      <c r="I135" t="s">
        <v>56</v>
      </c>
      <c r="K135" t="s">
        <v>455</v>
      </c>
      <c r="L135" t="s">
        <v>54</v>
      </c>
      <c r="M135">
        <v>2000</v>
      </c>
      <c r="N135" t="s">
        <v>55</v>
      </c>
      <c r="P135" t="s">
        <v>55</v>
      </c>
      <c r="R135" t="s">
        <v>54</v>
      </c>
      <c r="T135" t="s">
        <v>55</v>
      </c>
      <c r="X135" t="s">
        <v>55</v>
      </c>
      <c r="Z135" t="s">
        <v>54</v>
      </c>
      <c r="AB135" t="s">
        <v>55</v>
      </c>
      <c r="AD135" t="s">
        <v>55</v>
      </c>
      <c r="AF135" t="s">
        <v>55</v>
      </c>
      <c r="AH135" t="s">
        <v>55</v>
      </c>
      <c r="AJ135" t="s">
        <v>54</v>
      </c>
      <c r="AK135">
        <v>322</v>
      </c>
      <c r="AM135" t="s">
        <v>54</v>
      </c>
      <c r="AO135" t="s">
        <v>54</v>
      </c>
      <c r="AP135" t="s">
        <v>184</v>
      </c>
      <c r="AQ135" t="s">
        <v>185</v>
      </c>
    </row>
    <row r="136" ht="25.5" customHeight="1" spans="1:45">
      <c r="A136" t="s">
        <v>693</v>
      </c>
      <c r="C136" t="s">
        <v>72</v>
      </c>
      <c r="E136" s="3" t="str">
        <f>HYPERLINK("https://app.hypeauditor.com/my-network/influencer/7722134/analytics/instagram/ipcisco","https://app.hypeauditor.com/my-network/influencer/7722134/analytics/instagram/ipcisco")</f>
        <v>https://app.hypeauditor.com/my-network/influencer/7722134/analytics/instagram/ipcisco</v>
      </c>
      <c r="F136" s="3" t="str">
        <f>HYPERLINK("https://www.instagram.com/ipcisco/reels/","https://www.instagram.com/ipcisco/reels/")</f>
        <v>https://www.instagram.com/ipcisco/reels/</v>
      </c>
      <c r="G136" t="s">
        <v>52</v>
      </c>
      <c r="H136" t="s">
        <v>255</v>
      </c>
      <c r="I136" t="s">
        <v>65</v>
      </c>
      <c r="K136" t="s">
        <v>455</v>
      </c>
      <c r="L136" t="s">
        <v>54</v>
      </c>
      <c r="M136">
        <v>127400</v>
      </c>
      <c r="N136" t="s">
        <v>694</v>
      </c>
      <c r="P136" t="s">
        <v>55</v>
      </c>
      <c r="R136" t="s">
        <v>54</v>
      </c>
      <c r="T136" t="s">
        <v>55</v>
      </c>
      <c r="X136" t="s">
        <v>55</v>
      </c>
      <c r="Z136" t="s">
        <v>54</v>
      </c>
      <c r="AB136" t="s">
        <v>55</v>
      </c>
      <c r="AD136" t="s">
        <v>55</v>
      </c>
      <c r="AF136" t="s">
        <v>55</v>
      </c>
      <c r="AH136" t="s">
        <v>55</v>
      </c>
      <c r="AJ136" t="s">
        <v>54</v>
      </c>
      <c r="AK136">
        <v>18100</v>
      </c>
      <c r="AL136">
        <v>0.0044</v>
      </c>
      <c r="AM136" t="s">
        <v>695</v>
      </c>
      <c r="AN136">
        <v>190</v>
      </c>
      <c r="AO136" t="s">
        <v>696</v>
      </c>
      <c r="AP136" t="s">
        <v>697</v>
      </c>
      <c r="AQ136" t="s">
        <v>698</v>
      </c>
      <c r="AR136" t="s">
        <v>699</v>
      </c>
      <c r="AS136" t="s">
        <v>55</v>
      </c>
    </row>
    <row r="137" ht="25.5" customHeight="1" spans="5:48">
      <c r="E137" s="3" t="str">
        <f>HYPERLINK("https://app.hypeauditor.com/my-network/influencer/7722134/analytics/tiktok/ipcisco","https://app.hypeauditor.com/my-network/influencer/7722134/analytics/tiktok/ipcisco")</f>
        <v>https://app.hypeauditor.com/my-network/influencer/7722134/analytics/tiktok/ipcisco</v>
      </c>
      <c r="F137" s="3" t="str">
        <f>HYPERLINK("https://www.tiktok.com/@ipcisco","https://www.tiktok.com/@ipcisco")</f>
        <v>https://www.tiktok.com/@ipcisco</v>
      </c>
      <c r="G137" t="s">
        <v>52</v>
      </c>
      <c r="H137" t="s">
        <v>255</v>
      </c>
      <c r="I137" t="s">
        <v>56</v>
      </c>
      <c r="L137" t="s">
        <v>54</v>
      </c>
      <c r="M137">
        <v>70400</v>
      </c>
      <c r="N137" t="s">
        <v>55</v>
      </c>
      <c r="P137" t="s">
        <v>55</v>
      </c>
      <c r="R137" t="s">
        <v>54</v>
      </c>
      <c r="T137" t="s">
        <v>55</v>
      </c>
      <c r="X137" t="s">
        <v>55</v>
      </c>
      <c r="Z137" t="s">
        <v>54</v>
      </c>
      <c r="AB137" t="s">
        <v>55</v>
      </c>
      <c r="AD137" t="s">
        <v>55</v>
      </c>
      <c r="AF137" t="s">
        <v>55</v>
      </c>
      <c r="AH137" t="s">
        <v>55</v>
      </c>
      <c r="AJ137" t="s">
        <v>54</v>
      </c>
      <c r="AK137">
        <v>1900</v>
      </c>
      <c r="AL137">
        <v>0.0389</v>
      </c>
      <c r="AM137" t="s">
        <v>700</v>
      </c>
      <c r="AN137">
        <v>10</v>
      </c>
      <c r="AO137" t="s">
        <v>701</v>
      </c>
      <c r="AP137" t="s">
        <v>702</v>
      </c>
      <c r="AQ137" t="s">
        <v>703</v>
      </c>
      <c r="AR137" t="s">
        <v>704</v>
      </c>
      <c r="AS137" t="s">
        <v>705</v>
      </c>
      <c r="AV137" t="s">
        <v>693</v>
      </c>
    </row>
    <row r="138" ht="25.5" customHeight="1" spans="1:45">
      <c r="A138" t="s">
        <v>706</v>
      </c>
      <c r="C138" t="s">
        <v>51</v>
      </c>
      <c r="E138" s="3" t="str">
        <f>HYPERLINK("https://app.hypeauditor.com/my-network/influencer/6718148/analytics/instagram/soyadrian.ramirez","https://app.hypeauditor.com/my-network/influencer/6718148/analytics/instagram/soyadrian.ramirez")</f>
        <v>https://app.hypeauditor.com/my-network/influencer/6718148/analytics/instagram/soyadrian.ramirez</v>
      </c>
      <c r="F138" s="3" t="str">
        <f>HYPERLINK("https://www.tiktok.com/@soyadrianramirez","https://www.tiktok.com/@soyadrianramirez")</f>
        <v>https://www.tiktok.com/@soyadrianramirez</v>
      </c>
      <c r="G138" t="s">
        <v>52</v>
      </c>
      <c r="H138" t="s">
        <v>317</v>
      </c>
      <c r="I138" t="s">
        <v>56</v>
      </c>
      <c r="K138" t="s">
        <v>97</v>
      </c>
      <c r="L138" t="s">
        <v>54</v>
      </c>
      <c r="M138">
        <v>395600</v>
      </c>
      <c r="N138" t="s">
        <v>707</v>
      </c>
      <c r="P138" t="s">
        <v>55</v>
      </c>
      <c r="R138" t="s">
        <v>54</v>
      </c>
      <c r="T138" t="s">
        <v>55</v>
      </c>
      <c r="X138" t="s">
        <v>55</v>
      </c>
      <c r="Z138" t="s">
        <v>54</v>
      </c>
      <c r="AB138" t="s">
        <v>55</v>
      </c>
      <c r="AD138" t="s">
        <v>55</v>
      </c>
      <c r="AF138" t="s">
        <v>55</v>
      </c>
      <c r="AH138" t="s">
        <v>55</v>
      </c>
      <c r="AJ138" t="s">
        <v>54</v>
      </c>
      <c r="AK138">
        <v>30000</v>
      </c>
      <c r="AL138">
        <v>0.0374</v>
      </c>
      <c r="AM138" t="s">
        <v>708</v>
      </c>
      <c r="AN138">
        <v>50</v>
      </c>
      <c r="AO138" t="s">
        <v>709</v>
      </c>
      <c r="AP138" t="s">
        <v>710</v>
      </c>
      <c r="AQ138" t="s">
        <v>711</v>
      </c>
      <c r="AR138" t="s">
        <v>308</v>
      </c>
      <c r="AS138" t="s">
        <v>712</v>
      </c>
    </row>
    <row r="139" ht="25.5" customHeight="1" spans="1:41">
      <c r="A139" t="s">
        <v>713</v>
      </c>
      <c r="C139" t="s">
        <v>51</v>
      </c>
      <c r="E139" s="3" t="str">
        <f>HYPERLINK("https://app.hypeauditor.com/my-network/influencer/757064/analytics/tiktok/inspiredanalyst","https://app.hypeauditor.com/my-network/influencer/757064/analytics/tiktok/inspiredanalyst")</f>
        <v>https://app.hypeauditor.com/my-network/influencer/757064/analytics/tiktok/inspiredanalyst</v>
      </c>
      <c r="F139" s="3" t="str">
        <f>HYPERLINK("https://app.hypeauditor.com/my-network/influencer/757064/analytics/tiktok/inspiredanalyst","https://app.hypeauditor.com/my-network/influencer/757064/analytics/tiktok/inspiredanalyst")</f>
        <v>https://app.hypeauditor.com/my-network/influencer/757064/analytics/tiktok/inspiredanalyst</v>
      </c>
      <c r="G139" t="s">
        <v>52</v>
      </c>
      <c r="H139" t="s">
        <v>317</v>
      </c>
      <c r="I139" t="s">
        <v>56</v>
      </c>
      <c r="K139" t="s">
        <v>58</v>
      </c>
      <c r="L139" t="s">
        <v>59</v>
      </c>
      <c r="M139">
        <v>995800</v>
      </c>
      <c r="N139" t="s">
        <v>714</v>
      </c>
      <c r="P139" t="s">
        <v>55</v>
      </c>
      <c r="R139" t="s">
        <v>54</v>
      </c>
      <c r="T139" t="s">
        <v>55</v>
      </c>
      <c r="X139" t="s">
        <v>55</v>
      </c>
      <c r="Z139" t="s">
        <v>54</v>
      </c>
      <c r="AB139" t="s">
        <v>55</v>
      </c>
      <c r="AD139" t="s">
        <v>55</v>
      </c>
      <c r="AF139" t="s">
        <v>55</v>
      </c>
      <c r="AH139" t="s">
        <v>55</v>
      </c>
      <c r="AJ139" t="s">
        <v>54</v>
      </c>
      <c r="AM139" t="s">
        <v>54</v>
      </c>
      <c r="AO139" t="s">
        <v>54</v>
      </c>
    </row>
    <row r="140" ht="25.5" customHeight="1" spans="1:41">
      <c r="A140" t="s">
        <v>715</v>
      </c>
      <c r="E140" s="3"/>
      <c r="F140" s="3"/>
      <c r="G140" t="s">
        <v>52</v>
      </c>
      <c r="H140" t="s">
        <v>53</v>
      </c>
      <c r="L140" t="s">
        <v>54</v>
      </c>
      <c r="P140" t="s">
        <v>55</v>
      </c>
      <c r="R140" t="s">
        <v>54</v>
      </c>
      <c r="T140" t="s">
        <v>55</v>
      </c>
      <c r="X140" t="s">
        <v>55</v>
      </c>
      <c r="Z140" t="s">
        <v>54</v>
      </c>
      <c r="AB140" t="s">
        <v>55</v>
      </c>
      <c r="AD140" t="s">
        <v>55</v>
      </c>
      <c r="AF140" t="s">
        <v>55</v>
      </c>
      <c r="AH140" t="s">
        <v>55</v>
      </c>
      <c r="AJ140" t="s">
        <v>54</v>
      </c>
      <c r="AM140" t="s">
        <v>54</v>
      </c>
      <c r="AO140" t="s">
        <v>54</v>
      </c>
    </row>
    <row r="141" ht="25.5" customHeight="1" spans="1:48">
      <c r="A141" t="s">
        <v>716</v>
      </c>
      <c r="E141" s="3" t="str">
        <f>HYPERLINK("https://app.hypeauditor.com/my-network/influencer/612370/analytics/tiktok/marcustechnology","https://app.hypeauditor.com/my-network/influencer/612370/analytics/tiktok/marcustechnology")</f>
        <v>https://app.hypeauditor.com/my-network/influencer/612370/analytics/tiktok/marcustechnology</v>
      </c>
      <c r="F141" s="3" t="str">
        <f>HYPERLINK("https://www.tiktok.com/@marcustechnology","https://www.tiktok.com/@marcustechnology")</f>
        <v>https://www.tiktok.com/@marcustechnology</v>
      </c>
      <c r="G141" t="s">
        <v>52</v>
      </c>
      <c r="H141" t="s">
        <v>53</v>
      </c>
      <c r="I141" t="s">
        <v>56</v>
      </c>
      <c r="K141" t="s">
        <v>97</v>
      </c>
      <c r="L141" t="s">
        <v>54</v>
      </c>
      <c r="M141">
        <v>340100</v>
      </c>
      <c r="N141" t="s">
        <v>717</v>
      </c>
      <c r="P141" t="s">
        <v>55</v>
      </c>
      <c r="R141" t="s">
        <v>54</v>
      </c>
      <c r="T141" t="s">
        <v>55</v>
      </c>
      <c r="X141" t="s">
        <v>55</v>
      </c>
      <c r="Z141" t="s">
        <v>54</v>
      </c>
      <c r="AB141" t="s">
        <v>55</v>
      </c>
      <c r="AD141" t="s">
        <v>55</v>
      </c>
      <c r="AF141" t="s">
        <v>55</v>
      </c>
      <c r="AH141" t="s">
        <v>55</v>
      </c>
      <c r="AJ141" t="s">
        <v>54</v>
      </c>
      <c r="AK141">
        <v>4300</v>
      </c>
      <c r="AL141">
        <v>0.0396</v>
      </c>
      <c r="AM141" t="s">
        <v>718</v>
      </c>
      <c r="AN141">
        <v>43</v>
      </c>
      <c r="AO141" t="s">
        <v>719</v>
      </c>
      <c r="AP141" t="s">
        <v>139</v>
      </c>
      <c r="AQ141" t="s">
        <v>140</v>
      </c>
      <c r="AR141" t="s">
        <v>720</v>
      </c>
      <c r="AS141" t="s">
        <v>55</v>
      </c>
      <c r="AV141" t="s">
        <v>715</v>
      </c>
    </row>
    <row r="142" ht="25.5" customHeight="1" spans="1:48">
      <c r="A142" t="s">
        <v>721</v>
      </c>
      <c r="E142" s="3" t="str">
        <f>HYPERLINK("https://app.hypeauditor.com/my-network/influencer/669479/analytics/tiktok/dream.pc0","https://app.hypeauditor.com/my-network/influencer/669479/analytics/tiktok/dream.pc0")</f>
        <v>https://app.hypeauditor.com/my-network/influencer/669479/analytics/tiktok/dream.pc0</v>
      </c>
      <c r="F142" s="3" t="str">
        <f>HYPERLINK("https://www.tiktok.com/@dream.pc0","https://www.tiktok.com/@dream.pc0")</f>
        <v>https://www.tiktok.com/@dream.pc0</v>
      </c>
      <c r="G142" t="s">
        <v>52</v>
      </c>
      <c r="H142" t="s">
        <v>53</v>
      </c>
      <c r="I142" t="s">
        <v>56</v>
      </c>
      <c r="K142" t="s">
        <v>58</v>
      </c>
      <c r="L142" t="s">
        <v>59</v>
      </c>
      <c r="M142">
        <v>908600</v>
      </c>
      <c r="N142" t="s">
        <v>722</v>
      </c>
      <c r="P142" t="s">
        <v>55</v>
      </c>
      <c r="R142" t="s">
        <v>54</v>
      </c>
      <c r="T142" t="s">
        <v>55</v>
      </c>
      <c r="X142" t="s">
        <v>55</v>
      </c>
      <c r="Z142" t="s">
        <v>54</v>
      </c>
      <c r="AB142" t="s">
        <v>55</v>
      </c>
      <c r="AD142" t="s">
        <v>55</v>
      </c>
      <c r="AF142" t="s">
        <v>55</v>
      </c>
      <c r="AH142" t="s">
        <v>55</v>
      </c>
      <c r="AJ142" t="s">
        <v>54</v>
      </c>
      <c r="AK142">
        <v>4300</v>
      </c>
      <c r="AL142">
        <v>0.0201</v>
      </c>
      <c r="AM142" t="s">
        <v>723</v>
      </c>
      <c r="AN142">
        <v>45</v>
      </c>
      <c r="AO142" t="s">
        <v>724</v>
      </c>
      <c r="AP142" t="s">
        <v>725</v>
      </c>
      <c r="AQ142" t="s">
        <v>726</v>
      </c>
      <c r="AR142" t="s">
        <v>727</v>
      </c>
      <c r="AS142" t="s">
        <v>55</v>
      </c>
      <c r="AV142" t="s">
        <v>715</v>
      </c>
    </row>
    <row r="143" ht="25.5" customHeight="1" spans="1:48">
      <c r="A143" t="s">
        <v>728</v>
      </c>
      <c r="C143" t="s">
        <v>82</v>
      </c>
      <c r="E143" s="3" t="str">
        <f>HYPERLINK("https://app.hypeauditor.com/my-network/influencer/32110820/analytics/tiktok/carlo_weaver","https://app.hypeauditor.com/my-network/influencer/32110820/analytics/tiktok/carlo_weaver")</f>
        <v>https://app.hypeauditor.com/my-network/influencer/32110820/analytics/tiktok/carlo_weaver</v>
      </c>
      <c r="F143" s="3" t="str">
        <f>HYPERLINK("https://www.tiktok.com/@carlo_weaver","https://www.tiktok.com/@carlo_weaver")</f>
        <v>https://www.tiktok.com/@carlo_weaver</v>
      </c>
      <c r="G143" t="s">
        <v>52</v>
      </c>
      <c r="H143" t="s">
        <v>53</v>
      </c>
      <c r="I143" t="s">
        <v>56</v>
      </c>
      <c r="K143" t="s">
        <v>58</v>
      </c>
      <c r="L143" t="s">
        <v>59</v>
      </c>
      <c r="M143">
        <v>19200</v>
      </c>
      <c r="N143" t="s">
        <v>55</v>
      </c>
      <c r="P143" t="s">
        <v>55</v>
      </c>
      <c r="R143" t="s">
        <v>54</v>
      </c>
      <c r="T143" t="s">
        <v>55</v>
      </c>
      <c r="X143" t="s">
        <v>55</v>
      </c>
      <c r="Z143" t="s">
        <v>54</v>
      </c>
      <c r="AB143" t="s">
        <v>55</v>
      </c>
      <c r="AD143" t="s">
        <v>55</v>
      </c>
      <c r="AF143" t="s">
        <v>55</v>
      </c>
      <c r="AH143" t="s">
        <v>55</v>
      </c>
      <c r="AJ143" t="s">
        <v>54</v>
      </c>
      <c r="AK143">
        <v>12500</v>
      </c>
      <c r="AL143">
        <v>0.0583</v>
      </c>
      <c r="AM143" t="s">
        <v>729</v>
      </c>
      <c r="AN143">
        <v>250</v>
      </c>
      <c r="AO143" t="s">
        <v>730</v>
      </c>
      <c r="AP143" t="s">
        <v>731</v>
      </c>
      <c r="AQ143" t="s">
        <v>55</v>
      </c>
      <c r="AR143" t="s">
        <v>732</v>
      </c>
      <c r="AS143" t="s">
        <v>55</v>
      </c>
      <c r="AV143" t="s">
        <v>715</v>
      </c>
    </row>
    <row r="144" ht="25.5" customHeight="1" spans="1:48">
      <c r="A144" t="s">
        <v>733</v>
      </c>
      <c r="E144" s="3"/>
      <c r="F144" s="3" t="str">
        <f>HYPERLINK("https://www.instagram.com/mybankingcareer/reels/","https://www.instagram.com/mybankingcareer/reels/")</f>
        <v>https://www.instagram.com/mybankingcareer/reels/</v>
      </c>
      <c r="G144" t="s">
        <v>52</v>
      </c>
      <c r="H144" t="s">
        <v>53</v>
      </c>
      <c r="I144" t="s">
        <v>56</v>
      </c>
      <c r="K144" t="s">
        <v>58</v>
      </c>
      <c r="L144" t="s">
        <v>59</v>
      </c>
      <c r="M144">
        <v>13900</v>
      </c>
      <c r="N144" t="s">
        <v>55</v>
      </c>
      <c r="P144" t="s">
        <v>55</v>
      </c>
      <c r="R144" t="s">
        <v>54</v>
      </c>
      <c r="T144" t="s">
        <v>55</v>
      </c>
      <c r="X144" t="s">
        <v>55</v>
      </c>
      <c r="Z144" t="s">
        <v>54</v>
      </c>
      <c r="AB144" t="s">
        <v>55</v>
      </c>
      <c r="AD144" t="s">
        <v>55</v>
      </c>
      <c r="AF144" t="s">
        <v>55</v>
      </c>
      <c r="AH144" t="s">
        <v>55</v>
      </c>
      <c r="AJ144" t="s">
        <v>54</v>
      </c>
      <c r="AK144">
        <v>8000</v>
      </c>
      <c r="AM144" t="s">
        <v>54</v>
      </c>
      <c r="AN144">
        <v>80</v>
      </c>
      <c r="AO144" t="s">
        <v>54</v>
      </c>
      <c r="AP144" t="s">
        <v>139</v>
      </c>
      <c r="AQ144" t="s">
        <v>140</v>
      </c>
      <c r="AV144" t="s">
        <v>715</v>
      </c>
    </row>
    <row r="145" ht="25.5" customHeight="1" spans="1:48">
      <c r="A145" t="s">
        <v>733</v>
      </c>
      <c r="E145" s="3" t="str">
        <f>HYPERLINK("https://app.hypeauditor.com/my-network/influencer/33254950/analytics/instagram/mybankingcareer","https://app.hypeauditor.com/my-network/influencer/33254950/analytics/instagram/mybankingcareer")</f>
        <v>https://app.hypeauditor.com/my-network/influencer/33254950/analytics/instagram/mybankingcareer</v>
      </c>
      <c r="F145" s="3" t="str">
        <f>HYPERLINK("https://www.tiktok.com/@mybankingcareer","https://www.tiktok.com/@mybankingcareer")</f>
        <v>https://www.tiktok.com/@mybankingcareer</v>
      </c>
      <c r="G145" t="s">
        <v>52</v>
      </c>
      <c r="H145" t="s">
        <v>53</v>
      </c>
      <c r="I145" t="s">
        <v>65</v>
      </c>
      <c r="K145" t="s">
        <v>58</v>
      </c>
      <c r="L145" t="s">
        <v>59</v>
      </c>
      <c r="M145">
        <v>2107</v>
      </c>
      <c r="N145" t="s">
        <v>55</v>
      </c>
      <c r="P145" t="s">
        <v>55</v>
      </c>
      <c r="R145" t="s">
        <v>54</v>
      </c>
      <c r="T145" t="s">
        <v>55</v>
      </c>
      <c r="X145" t="s">
        <v>55</v>
      </c>
      <c r="Z145" t="s">
        <v>54</v>
      </c>
      <c r="AB145" t="s">
        <v>55</v>
      </c>
      <c r="AD145" t="s">
        <v>55</v>
      </c>
      <c r="AF145" t="s">
        <v>55</v>
      </c>
      <c r="AH145" t="s">
        <v>55</v>
      </c>
      <c r="AJ145" t="s">
        <v>54</v>
      </c>
      <c r="AK145">
        <v>1800</v>
      </c>
      <c r="AL145">
        <v>0.0467</v>
      </c>
      <c r="AM145" t="s">
        <v>734</v>
      </c>
      <c r="AN145">
        <v>18</v>
      </c>
      <c r="AO145" t="s">
        <v>735</v>
      </c>
      <c r="AP145" t="s">
        <v>139</v>
      </c>
      <c r="AQ145" t="s">
        <v>140</v>
      </c>
      <c r="AR145" t="s">
        <v>736</v>
      </c>
      <c r="AS145" t="s">
        <v>737</v>
      </c>
      <c r="AV145" t="s">
        <v>733</v>
      </c>
    </row>
    <row r="146" ht="25.5" customHeight="1" spans="1:48">
      <c r="A146" t="s">
        <v>738</v>
      </c>
      <c r="E146" s="3" t="str">
        <f>HYPERLINK("https://app.hypeauditor.com/my-network/influencer/31132673/analytics/tiktok/azandriz","https://app.hypeauditor.com/my-network/influencer/31132673/analytics/tiktok/azandriz")</f>
        <v>https://app.hypeauditor.com/my-network/influencer/31132673/analytics/tiktok/azandriz</v>
      </c>
      <c r="F146" s="3" t="str">
        <f>HYPERLINK("https://www.tiktok.com/@azandriz","https://www.tiktok.com/@azandriz")</f>
        <v>https://www.tiktok.com/@azandriz</v>
      </c>
      <c r="G146" t="s">
        <v>52</v>
      </c>
      <c r="H146" t="s">
        <v>53</v>
      </c>
      <c r="I146" t="s">
        <v>56</v>
      </c>
      <c r="K146" t="s">
        <v>58</v>
      </c>
      <c r="L146" t="s">
        <v>59</v>
      </c>
      <c r="M146">
        <v>35400</v>
      </c>
      <c r="N146" t="s">
        <v>55</v>
      </c>
      <c r="P146" t="s">
        <v>55</v>
      </c>
      <c r="R146" t="s">
        <v>54</v>
      </c>
      <c r="T146" t="s">
        <v>55</v>
      </c>
      <c r="X146" t="s">
        <v>55</v>
      </c>
      <c r="Z146" t="s">
        <v>54</v>
      </c>
      <c r="AB146" t="s">
        <v>55</v>
      </c>
      <c r="AD146" t="s">
        <v>55</v>
      </c>
      <c r="AF146" t="s">
        <v>55</v>
      </c>
      <c r="AH146" t="s">
        <v>55</v>
      </c>
      <c r="AJ146" t="s">
        <v>54</v>
      </c>
      <c r="AK146">
        <v>4500</v>
      </c>
      <c r="AL146">
        <v>0.0347</v>
      </c>
      <c r="AM146" t="s">
        <v>739</v>
      </c>
      <c r="AN146">
        <v>50</v>
      </c>
      <c r="AO146" t="s">
        <v>740</v>
      </c>
      <c r="AP146" t="s">
        <v>741</v>
      </c>
      <c r="AQ146" t="s">
        <v>742</v>
      </c>
      <c r="AR146" t="s">
        <v>743</v>
      </c>
      <c r="AS146" t="s">
        <v>55</v>
      </c>
      <c r="AV146" t="s">
        <v>715</v>
      </c>
    </row>
    <row r="147" ht="25.5" customHeight="1" spans="1:48">
      <c r="A147" t="s">
        <v>744</v>
      </c>
      <c r="C147" t="s">
        <v>82</v>
      </c>
      <c r="E147" s="3" t="str">
        <f>HYPERLINK("https://app.hypeauditor.com/my-network/influencer/2551847/analytics/tiktok/revishaan","https://app.hypeauditor.com/my-network/influencer/2551847/analytics/tiktok/revishaan")</f>
        <v>https://app.hypeauditor.com/my-network/influencer/2551847/analytics/tiktok/revishaan</v>
      </c>
      <c r="F147" s="3" t="str">
        <f>HYPERLINK("https://www.tiktok.com/@revishaan","https://www.tiktok.com/@revishaan")</f>
        <v>https://www.tiktok.com/@revishaan</v>
      </c>
      <c r="G147" t="s">
        <v>52</v>
      </c>
      <c r="H147" t="s">
        <v>53</v>
      </c>
      <c r="I147" t="s">
        <v>56</v>
      </c>
      <c r="K147" t="s">
        <v>58</v>
      </c>
      <c r="L147" t="s">
        <v>59</v>
      </c>
      <c r="M147">
        <v>401300</v>
      </c>
      <c r="N147" t="s">
        <v>745</v>
      </c>
      <c r="P147" t="s">
        <v>55</v>
      </c>
      <c r="R147" t="s">
        <v>54</v>
      </c>
      <c r="T147" t="s">
        <v>55</v>
      </c>
      <c r="X147" t="s">
        <v>55</v>
      </c>
      <c r="Z147" t="s">
        <v>54</v>
      </c>
      <c r="AB147" t="s">
        <v>55</v>
      </c>
      <c r="AD147" t="s">
        <v>55</v>
      </c>
      <c r="AF147" t="s">
        <v>55</v>
      </c>
      <c r="AH147" t="s">
        <v>55</v>
      </c>
      <c r="AJ147" t="s">
        <v>54</v>
      </c>
      <c r="AK147">
        <v>74900</v>
      </c>
      <c r="AL147">
        <v>0.0318</v>
      </c>
      <c r="AM147" t="s">
        <v>746</v>
      </c>
      <c r="AN147">
        <v>750</v>
      </c>
      <c r="AO147" t="s">
        <v>747</v>
      </c>
      <c r="AP147" t="s">
        <v>748</v>
      </c>
      <c r="AQ147" t="s">
        <v>749</v>
      </c>
      <c r="AR147" t="s">
        <v>359</v>
      </c>
      <c r="AS147" t="s">
        <v>55</v>
      </c>
      <c r="AV147" t="s">
        <v>715</v>
      </c>
    </row>
    <row r="148" ht="25.5" customHeight="1" spans="1:45">
      <c r="A148" t="s">
        <v>750</v>
      </c>
      <c r="C148" t="s">
        <v>72</v>
      </c>
      <c r="E148" s="3" t="str">
        <f>HYPERLINK("https://app.hypeauditor.com/my-network/influencer/5225598/analytics/tiktok/careerwithboris","https://app.hypeauditor.com/my-network/influencer/5225598/analytics/tiktok/careerwithboris")</f>
        <v>https://app.hypeauditor.com/my-network/influencer/5225598/analytics/tiktok/careerwithboris</v>
      </c>
      <c r="F148" s="3" t="str">
        <f>HYPERLINK("https://www.tiktok.com/@careerwithboris","https://www.tiktok.com/@careerwithboris")</f>
        <v>https://www.tiktok.com/@careerwithboris</v>
      </c>
      <c r="G148" t="s">
        <v>52</v>
      </c>
      <c r="H148" t="s">
        <v>255</v>
      </c>
      <c r="I148" t="s">
        <v>56</v>
      </c>
      <c r="K148" t="s">
        <v>455</v>
      </c>
      <c r="L148" t="s">
        <v>54</v>
      </c>
      <c r="M148">
        <v>642100</v>
      </c>
      <c r="N148" t="s">
        <v>751</v>
      </c>
      <c r="P148" t="s">
        <v>55</v>
      </c>
      <c r="R148" t="s">
        <v>54</v>
      </c>
      <c r="T148" t="s">
        <v>55</v>
      </c>
      <c r="X148" t="s">
        <v>55</v>
      </c>
      <c r="Z148" t="s">
        <v>54</v>
      </c>
      <c r="AB148" t="s">
        <v>55</v>
      </c>
      <c r="AD148" t="s">
        <v>55</v>
      </c>
      <c r="AF148" t="s">
        <v>55</v>
      </c>
      <c r="AH148" t="s">
        <v>55</v>
      </c>
      <c r="AJ148" t="s">
        <v>54</v>
      </c>
      <c r="AK148">
        <v>12600</v>
      </c>
      <c r="AL148">
        <v>0.0466</v>
      </c>
      <c r="AM148" t="s">
        <v>752</v>
      </c>
      <c r="AN148">
        <v>120</v>
      </c>
      <c r="AO148" t="s">
        <v>753</v>
      </c>
      <c r="AP148" t="s">
        <v>334</v>
      </c>
      <c r="AQ148" t="s">
        <v>754</v>
      </c>
      <c r="AR148" t="s">
        <v>755</v>
      </c>
      <c r="AS148" t="s">
        <v>756</v>
      </c>
    </row>
    <row r="149" ht="25.5" customHeight="1" spans="1:45">
      <c r="A149" t="s">
        <v>757</v>
      </c>
      <c r="C149" t="s">
        <v>72</v>
      </c>
      <c r="E149" s="3" t="str">
        <f>HYPERLINK("https://app.hypeauditor.com/my-network/influencer/29616042/analytics/tiktok/drrads","https://app.hypeauditor.com/my-network/influencer/29616042/analytics/tiktok/drrads")</f>
        <v>https://app.hypeauditor.com/my-network/influencer/29616042/analytics/tiktok/drrads</v>
      </c>
      <c r="F149" s="3"/>
      <c r="G149" t="s">
        <v>52</v>
      </c>
      <c r="H149" t="s">
        <v>255</v>
      </c>
      <c r="I149" t="s">
        <v>56</v>
      </c>
      <c r="K149" t="s">
        <v>455</v>
      </c>
      <c r="L149" t="s">
        <v>54</v>
      </c>
      <c r="M149">
        <v>11400</v>
      </c>
      <c r="N149" t="s">
        <v>55</v>
      </c>
      <c r="P149" t="s">
        <v>55</v>
      </c>
      <c r="R149" t="s">
        <v>54</v>
      </c>
      <c r="T149" t="s">
        <v>55</v>
      </c>
      <c r="X149" t="s">
        <v>55</v>
      </c>
      <c r="Z149" t="s">
        <v>54</v>
      </c>
      <c r="AB149" t="s">
        <v>55</v>
      </c>
      <c r="AD149" t="s">
        <v>55</v>
      </c>
      <c r="AF149" t="s">
        <v>55</v>
      </c>
      <c r="AH149" t="s">
        <v>55</v>
      </c>
      <c r="AJ149" t="s">
        <v>54</v>
      </c>
      <c r="AK149">
        <v>17100</v>
      </c>
      <c r="AL149">
        <v>0.045</v>
      </c>
      <c r="AM149" t="s">
        <v>758</v>
      </c>
      <c r="AN149">
        <v>100</v>
      </c>
      <c r="AO149" t="s">
        <v>759</v>
      </c>
      <c r="AP149" t="s">
        <v>760</v>
      </c>
      <c r="AQ149" t="s">
        <v>761</v>
      </c>
      <c r="AR149" t="s">
        <v>762</v>
      </c>
      <c r="AS149" t="s">
        <v>763</v>
      </c>
    </row>
    <row r="150" ht="25.5" customHeight="1" spans="1:45">
      <c r="A150" t="s">
        <v>764</v>
      </c>
      <c r="C150" t="s">
        <v>82</v>
      </c>
      <c r="E150" s="3" t="str">
        <f>HYPERLINK("https://app.hypeauditor.com/my-network/influencer/analytics/tiktok/minute?from=suggester","https://app.hypeauditor.com/my-network/influencer/analytics/tiktok/minute?from=suggester")</f>
        <v>https://app.hypeauditor.com/my-network/influencer/analytics/tiktok/minute?from=suggester</v>
      </c>
      <c r="F150" s="3" t="str">
        <f>HYPERLINK("https://www.tiktok.com/@minute","https://www.tiktok.com/@minute")</f>
        <v>https://www.tiktok.com/@minute</v>
      </c>
      <c r="G150" t="s">
        <v>52</v>
      </c>
      <c r="H150" t="s">
        <v>317</v>
      </c>
      <c r="I150" t="s">
        <v>56</v>
      </c>
      <c r="K150" t="s">
        <v>58</v>
      </c>
      <c r="L150" t="s">
        <v>59</v>
      </c>
      <c r="M150">
        <v>193800</v>
      </c>
      <c r="N150" t="s">
        <v>765</v>
      </c>
      <c r="P150" t="s">
        <v>55</v>
      </c>
      <c r="R150" t="s">
        <v>54</v>
      </c>
      <c r="T150" t="s">
        <v>55</v>
      </c>
      <c r="X150" t="s">
        <v>55</v>
      </c>
      <c r="Z150" t="s">
        <v>54</v>
      </c>
      <c r="AB150" t="s">
        <v>55</v>
      </c>
      <c r="AD150" t="s">
        <v>55</v>
      </c>
      <c r="AF150" t="s">
        <v>55</v>
      </c>
      <c r="AH150" t="s">
        <v>55</v>
      </c>
      <c r="AJ150" t="s">
        <v>54</v>
      </c>
      <c r="AK150">
        <v>43400</v>
      </c>
      <c r="AL150">
        <v>0.058</v>
      </c>
      <c r="AM150" t="s">
        <v>766</v>
      </c>
      <c r="AN150">
        <v>550</v>
      </c>
      <c r="AO150" t="s">
        <v>767</v>
      </c>
      <c r="AP150" t="s">
        <v>768</v>
      </c>
      <c r="AQ150" t="s">
        <v>769</v>
      </c>
      <c r="AR150" t="s">
        <v>770</v>
      </c>
      <c r="AS150" t="s">
        <v>771</v>
      </c>
    </row>
    <row r="151" ht="25.5" customHeight="1" spans="1:41">
      <c r="A151" t="s">
        <v>772</v>
      </c>
      <c r="C151" t="s">
        <v>72</v>
      </c>
      <c r="E151" s="3" t="str">
        <f>HYPERLINK("https://app.hypeauditor.com/my-network/influencer/32791441/analytics/tiktok/alefietech","https://app.hypeauditor.com/my-network/influencer/32791441/analytics/tiktok/alefietech")</f>
        <v>https://app.hypeauditor.com/my-network/influencer/32791441/analytics/tiktok/alefietech</v>
      </c>
      <c r="F151" s="3"/>
      <c r="G151" t="s">
        <v>52</v>
      </c>
      <c r="H151" t="s">
        <v>773</v>
      </c>
      <c r="I151" t="s">
        <v>56</v>
      </c>
      <c r="L151" t="s">
        <v>54</v>
      </c>
      <c r="P151" t="s">
        <v>55</v>
      </c>
      <c r="R151" t="s">
        <v>54</v>
      </c>
      <c r="T151" t="s">
        <v>55</v>
      </c>
      <c r="X151" t="s">
        <v>55</v>
      </c>
      <c r="Z151" t="s">
        <v>54</v>
      </c>
      <c r="AB151" t="s">
        <v>55</v>
      </c>
      <c r="AD151" t="s">
        <v>55</v>
      </c>
      <c r="AF151" t="s">
        <v>55</v>
      </c>
      <c r="AH151" t="s">
        <v>55</v>
      </c>
      <c r="AJ151" t="s">
        <v>54</v>
      </c>
      <c r="AM151" t="s">
        <v>54</v>
      </c>
      <c r="AO151" t="s">
        <v>54</v>
      </c>
    </row>
    <row r="152" ht="25.5" customHeight="1" spans="5:41">
      <c r="E152" s="3"/>
      <c r="F152" s="3"/>
      <c r="G152" t="s">
        <v>52</v>
      </c>
      <c r="H152" t="s">
        <v>317</v>
      </c>
      <c r="K152" t="s">
        <v>58</v>
      </c>
      <c r="L152" t="s">
        <v>59</v>
      </c>
      <c r="P152" t="s">
        <v>55</v>
      </c>
      <c r="R152" t="s">
        <v>54</v>
      </c>
      <c r="T152" t="s">
        <v>55</v>
      </c>
      <c r="X152" t="s">
        <v>55</v>
      </c>
      <c r="Z152" t="s">
        <v>54</v>
      </c>
      <c r="AB152" t="s">
        <v>55</v>
      </c>
      <c r="AD152" t="s">
        <v>55</v>
      </c>
      <c r="AF152" t="s">
        <v>55</v>
      </c>
      <c r="AH152" t="s">
        <v>55</v>
      </c>
      <c r="AJ152" t="s">
        <v>54</v>
      </c>
      <c r="AM152" t="s">
        <v>54</v>
      </c>
      <c r="AO152" t="s">
        <v>54</v>
      </c>
    </row>
    <row r="153" ht="25.5" customHeight="1" spans="1:41">
      <c r="A153" t="s">
        <v>774</v>
      </c>
      <c r="C153" t="s">
        <v>72</v>
      </c>
      <c r="E153" s="3" t="str">
        <f>HYPERLINK("https://app.hypeauditor.com/my-network/influencer/29159037/analytics/tiktok/jakebeau_","https://app.hypeauditor.com/my-network/influencer/29159037/analytics/tiktok/jakebeau_")</f>
        <v>https://app.hypeauditor.com/my-network/influencer/29159037/analytics/tiktok/jakebeau_</v>
      </c>
      <c r="F153" s="3" t="str">
        <f>HYPERLINK("https://www.tiktok.com/@jakebeau_","https://www.tiktok.com/@jakebeau_")</f>
        <v>https://www.tiktok.com/@jakebeau_</v>
      </c>
      <c r="G153" t="s">
        <v>52</v>
      </c>
      <c r="H153" t="s">
        <v>255</v>
      </c>
      <c r="I153" t="s">
        <v>56</v>
      </c>
      <c r="K153" t="s">
        <v>455</v>
      </c>
      <c r="L153" t="s">
        <v>54</v>
      </c>
      <c r="M153">
        <v>1800</v>
      </c>
      <c r="N153" t="s">
        <v>55</v>
      </c>
      <c r="P153" t="s">
        <v>55</v>
      </c>
      <c r="R153" t="s">
        <v>54</v>
      </c>
      <c r="T153" t="s">
        <v>55</v>
      </c>
      <c r="X153" t="s">
        <v>55</v>
      </c>
      <c r="Z153" t="s">
        <v>54</v>
      </c>
      <c r="AB153" t="s">
        <v>55</v>
      </c>
      <c r="AD153" t="s">
        <v>55</v>
      </c>
      <c r="AF153" t="s">
        <v>55</v>
      </c>
      <c r="AH153" t="s">
        <v>55</v>
      </c>
      <c r="AJ153" t="s">
        <v>54</v>
      </c>
      <c r="AL153">
        <v>0.0726</v>
      </c>
      <c r="AM153" t="s">
        <v>54</v>
      </c>
      <c r="AN153">
        <v>20</v>
      </c>
      <c r="AO153" t="s">
        <v>54</v>
      </c>
    </row>
    <row r="154" ht="25.5" customHeight="1" spans="1:45">
      <c r="A154" t="s">
        <v>775</v>
      </c>
      <c r="C154" t="s">
        <v>72</v>
      </c>
      <c r="E154" s="3" t="str">
        <f>HYPERLINK("https://app.hypeauditor.com/my-network/influencer/571667/analytics/tiktok/lough","https://app.hypeauditor.com/my-network/influencer/571667/analytics/tiktok/lough")</f>
        <v>https://app.hypeauditor.com/my-network/influencer/571667/analytics/tiktok/lough</v>
      </c>
      <c r="F154" s="3" t="str">
        <f>HYPERLINK("https://www.tiktok.com/@lough","https://www.tiktok.com/@lough")</f>
        <v>https://www.tiktok.com/@lough</v>
      </c>
      <c r="G154" t="s">
        <v>52</v>
      </c>
      <c r="H154" t="s">
        <v>255</v>
      </c>
      <c r="I154" t="s">
        <v>56</v>
      </c>
      <c r="K154" t="s">
        <v>455</v>
      </c>
      <c r="L154" t="s">
        <v>54</v>
      </c>
      <c r="M154">
        <v>1300000</v>
      </c>
      <c r="N154" t="s">
        <v>776</v>
      </c>
      <c r="P154" t="s">
        <v>55</v>
      </c>
      <c r="R154" t="s">
        <v>54</v>
      </c>
      <c r="T154" t="s">
        <v>55</v>
      </c>
      <c r="X154" t="s">
        <v>55</v>
      </c>
      <c r="Z154" t="s">
        <v>54</v>
      </c>
      <c r="AB154" t="s">
        <v>55</v>
      </c>
      <c r="AD154" t="s">
        <v>55</v>
      </c>
      <c r="AF154" t="s">
        <v>55</v>
      </c>
      <c r="AH154" t="s">
        <v>55</v>
      </c>
      <c r="AJ154" t="s">
        <v>54</v>
      </c>
      <c r="AK154">
        <v>19400</v>
      </c>
      <c r="AL154">
        <v>0.092</v>
      </c>
      <c r="AM154" t="s">
        <v>777</v>
      </c>
      <c r="AN154">
        <v>600</v>
      </c>
      <c r="AO154" t="s">
        <v>778</v>
      </c>
      <c r="AP154" t="s">
        <v>779</v>
      </c>
      <c r="AQ154" t="s">
        <v>55</v>
      </c>
      <c r="AR154" t="s">
        <v>780</v>
      </c>
      <c r="AS154" t="s">
        <v>55</v>
      </c>
    </row>
    <row r="155" ht="25.5" customHeight="1" spans="5:48">
      <c r="E155" s="3" t="str">
        <f>HYPERLINK("https://app.hypeauditor.com/my-network/influencer/571667/analytics/instagram/loganlrobles","https://app.hypeauditor.com/my-network/influencer/571667/analytics/instagram/loganlrobles")</f>
        <v>https://app.hypeauditor.com/my-network/influencer/571667/analytics/instagram/loganlrobles</v>
      </c>
      <c r="F155" s="3"/>
      <c r="G155" t="s">
        <v>52</v>
      </c>
      <c r="H155" t="s">
        <v>255</v>
      </c>
      <c r="I155" t="s">
        <v>65</v>
      </c>
      <c r="K155" t="s">
        <v>455</v>
      </c>
      <c r="L155" t="s">
        <v>54</v>
      </c>
      <c r="M155">
        <v>168600</v>
      </c>
      <c r="N155" t="s">
        <v>781</v>
      </c>
      <c r="P155" t="s">
        <v>55</v>
      </c>
      <c r="R155" t="s">
        <v>54</v>
      </c>
      <c r="T155" t="s">
        <v>55</v>
      </c>
      <c r="X155" t="s">
        <v>55</v>
      </c>
      <c r="Z155" t="s">
        <v>54</v>
      </c>
      <c r="AB155" t="s">
        <v>55</v>
      </c>
      <c r="AD155" t="s">
        <v>55</v>
      </c>
      <c r="AF155" t="s">
        <v>55</v>
      </c>
      <c r="AH155" t="s">
        <v>55</v>
      </c>
      <c r="AJ155" t="s">
        <v>54</v>
      </c>
      <c r="AK155">
        <v>45000</v>
      </c>
      <c r="AL155">
        <v>0.0253</v>
      </c>
      <c r="AM155" t="s">
        <v>782</v>
      </c>
      <c r="AO155" t="s">
        <v>783</v>
      </c>
      <c r="AP155" t="s">
        <v>184</v>
      </c>
      <c r="AQ155" t="s">
        <v>185</v>
      </c>
      <c r="AR155" t="s">
        <v>184</v>
      </c>
      <c r="AS155" t="s">
        <v>185</v>
      </c>
      <c r="AV155" t="s">
        <v>775</v>
      </c>
    </row>
    <row r="156" ht="25.5" customHeight="1" spans="1:45">
      <c r="A156" t="s">
        <v>784</v>
      </c>
      <c r="C156" t="s">
        <v>82</v>
      </c>
      <c r="E156" s="3" t="str">
        <f>HYPERLINK("https://app.hypeauditor.com/my-network/influencer/32674469/analytics/tiktok/tech_updt","https://app.hypeauditor.com/my-network/influencer/32674469/analytics/tiktok/tech_updt")</f>
        <v>https://app.hypeauditor.com/my-network/influencer/32674469/analytics/tiktok/tech_updt</v>
      </c>
      <c r="F156" s="3" t="str">
        <f>HYPERLINK("https://www.tiktok.com/@tech_updt","https://www.tiktok.com/@tech_updt")</f>
        <v>https://www.tiktok.com/@tech_updt</v>
      </c>
      <c r="G156" t="s">
        <v>52</v>
      </c>
      <c r="H156" t="s">
        <v>773</v>
      </c>
      <c r="I156" t="s">
        <v>785</v>
      </c>
      <c r="K156" t="s">
        <v>455</v>
      </c>
      <c r="L156" t="s">
        <v>54</v>
      </c>
      <c r="M156">
        <v>40100</v>
      </c>
      <c r="N156" t="s">
        <v>55</v>
      </c>
      <c r="P156" t="s">
        <v>55</v>
      </c>
      <c r="R156" t="s">
        <v>54</v>
      </c>
      <c r="T156" t="s">
        <v>55</v>
      </c>
      <c r="X156" t="s">
        <v>55</v>
      </c>
      <c r="Z156" t="s">
        <v>54</v>
      </c>
      <c r="AB156" t="s">
        <v>55</v>
      </c>
      <c r="AD156" t="s">
        <v>55</v>
      </c>
      <c r="AF156" t="s">
        <v>55</v>
      </c>
      <c r="AH156" t="s">
        <v>55</v>
      </c>
      <c r="AJ156" t="s">
        <v>54</v>
      </c>
      <c r="AK156">
        <v>29700</v>
      </c>
      <c r="AL156">
        <v>0.0657</v>
      </c>
      <c r="AM156" t="s">
        <v>786</v>
      </c>
      <c r="AN156">
        <v>140</v>
      </c>
      <c r="AO156" t="s">
        <v>787</v>
      </c>
      <c r="AP156" t="s">
        <v>788</v>
      </c>
      <c r="AQ156" t="s">
        <v>789</v>
      </c>
      <c r="AR156" t="s">
        <v>790</v>
      </c>
      <c r="AS156" t="s">
        <v>791</v>
      </c>
    </row>
    <row r="157" ht="25.5" customHeight="1" spans="1:45">
      <c r="A157" t="s">
        <v>792</v>
      </c>
      <c r="C157" t="s">
        <v>72</v>
      </c>
      <c r="E157" s="3" t="str">
        <f>HYPERLINK("https://app.hypeauditor.com/my-network/influencer/754098/analytics/tiktok/mykemetzger","https://app.hypeauditor.com/my-network/influencer/754098/analytics/tiktok/mykemetzger")</f>
        <v>https://app.hypeauditor.com/my-network/influencer/754098/analytics/tiktok/mykemetzger</v>
      </c>
      <c r="F157" s="3" t="str">
        <f>HYPERLINK("https://www.tiktok.com/@mykemetzger","https://www.tiktok.com/@mykemetzger")</f>
        <v>https://www.tiktok.com/@mykemetzger</v>
      </c>
      <c r="G157" t="s">
        <v>52</v>
      </c>
      <c r="H157" t="s">
        <v>255</v>
      </c>
      <c r="I157" t="s">
        <v>56</v>
      </c>
      <c r="K157" t="s">
        <v>455</v>
      </c>
      <c r="L157" t="s">
        <v>54</v>
      </c>
      <c r="M157">
        <v>181600</v>
      </c>
      <c r="N157" t="s">
        <v>793</v>
      </c>
      <c r="P157" t="s">
        <v>55</v>
      </c>
      <c r="R157" t="s">
        <v>54</v>
      </c>
      <c r="T157" t="s">
        <v>55</v>
      </c>
      <c r="X157" t="s">
        <v>55</v>
      </c>
      <c r="Z157" t="s">
        <v>54</v>
      </c>
      <c r="AB157" t="s">
        <v>55</v>
      </c>
      <c r="AD157" t="s">
        <v>55</v>
      </c>
      <c r="AF157" t="s">
        <v>55</v>
      </c>
      <c r="AH157" t="s">
        <v>55</v>
      </c>
      <c r="AJ157" t="s">
        <v>54</v>
      </c>
      <c r="AK157">
        <v>1100</v>
      </c>
      <c r="AL157">
        <v>0.0551</v>
      </c>
      <c r="AM157" t="s">
        <v>794</v>
      </c>
      <c r="AN157">
        <v>20</v>
      </c>
      <c r="AO157" t="s">
        <v>795</v>
      </c>
      <c r="AP157" t="s">
        <v>796</v>
      </c>
      <c r="AQ157" t="s">
        <v>797</v>
      </c>
      <c r="AR157" t="s">
        <v>798</v>
      </c>
      <c r="AS157" t="s">
        <v>55</v>
      </c>
    </row>
    <row r="158" ht="25.5" customHeight="1" spans="5:48">
      <c r="E158" s="3" t="str">
        <f>HYPERLINK("https://app.hypeauditor.com/my-network/influencer/754098/analytics/youtube/UChECC-XNypXMs5R7kkIDX4A","https://app.hypeauditor.com/my-network/influencer/754098/analytics/youtube/UChECC-XNypXMs5R7kkIDX4A")</f>
        <v>https://app.hypeauditor.com/my-network/influencer/754098/analytics/youtube/UChECC-XNypXMs5R7kkIDX4A</v>
      </c>
      <c r="F158" s="3"/>
      <c r="G158" t="s">
        <v>52</v>
      </c>
      <c r="H158" t="s">
        <v>255</v>
      </c>
      <c r="I158" t="s">
        <v>269</v>
      </c>
      <c r="K158" t="s">
        <v>455</v>
      </c>
      <c r="L158" t="s">
        <v>54</v>
      </c>
      <c r="M158">
        <v>1700</v>
      </c>
      <c r="N158" t="s">
        <v>55</v>
      </c>
      <c r="P158" t="s">
        <v>55</v>
      </c>
      <c r="R158" t="s">
        <v>54</v>
      </c>
      <c r="T158" t="s">
        <v>55</v>
      </c>
      <c r="X158" t="s">
        <v>55</v>
      </c>
      <c r="Z158" t="s">
        <v>54</v>
      </c>
      <c r="AB158" t="s">
        <v>55</v>
      </c>
      <c r="AD158" t="s">
        <v>55</v>
      </c>
      <c r="AF158" t="s">
        <v>55</v>
      </c>
      <c r="AH158" t="s">
        <v>55</v>
      </c>
      <c r="AJ158" t="s">
        <v>54</v>
      </c>
      <c r="AK158">
        <v>292</v>
      </c>
      <c r="AL158">
        <v>0.0386</v>
      </c>
      <c r="AM158" t="s">
        <v>799</v>
      </c>
      <c r="AO158" t="s">
        <v>800</v>
      </c>
      <c r="AP158" t="s">
        <v>184</v>
      </c>
      <c r="AQ158" t="s">
        <v>185</v>
      </c>
      <c r="AR158" t="s">
        <v>184</v>
      </c>
      <c r="AS158" t="s">
        <v>185</v>
      </c>
      <c r="AV158" t="s">
        <v>792</v>
      </c>
    </row>
    <row r="159" ht="25.5" customHeight="1" spans="5:48">
      <c r="E159" s="3" t="str">
        <f>HYPERLINK("https://app.hypeauditor.com/my-network/influencer/754098/analytics/instagram/mykemetzger","https://app.hypeauditor.com/my-network/influencer/754098/analytics/instagram/mykemetzger")</f>
        <v>https://app.hypeauditor.com/my-network/influencer/754098/analytics/instagram/mykemetzger</v>
      </c>
      <c r="F159" s="3"/>
      <c r="G159" t="s">
        <v>52</v>
      </c>
      <c r="H159" t="s">
        <v>255</v>
      </c>
      <c r="I159" t="s">
        <v>65</v>
      </c>
      <c r="K159" t="s">
        <v>455</v>
      </c>
      <c r="L159" t="s">
        <v>54</v>
      </c>
      <c r="M159">
        <v>13000</v>
      </c>
      <c r="N159" t="s">
        <v>55</v>
      </c>
      <c r="P159" t="s">
        <v>55</v>
      </c>
      <c r="R159" t="s">
        <v>54</v>
      </c>
      <c r="T159" t="s">
        <v>55</v>
      </c>
      <c r="X159" t="s">
        <v>55</v>
      </c>
      <c r="Z159" t="s">
        <v>54</v>
      </c>
      <c r="AB159" t="s">
        <v>55</v>
      </c>
      <c r="AD159" t="s">
        <v>55</v>
      </c>
      <c r="AF159" t="s">
        <v>55</v>
      </c>
      <c r="AH159" t="s">
        <v>55</v>
      </c>
      <c r="AJ159" t="s">
        <v>54</v>
      </c>
      <c r="AK159">
        <v>844</v>
      </c>
      <c r="AL159">
        <v>0.0028</v>
      </c>
      <c r="AM159" t="s">
        <v>801</v>
      </c>
      <c r="AO159" t="s">
        <v>802</v>
      </c>
      <c r="AP159" t="s">
        <v>184</v>
      </c>
      <c r="AQ159" t="s">
        <v>185</v>
      </c>
      <c r="AR159" t="s">
        <v>184</v>
      </c>
      <c r="AS159" t="s">
        <v>185</v>
      </c>
      <c r="AV159" t="s">
        <v>792</v>
      </c>
    </row>
    <row r="160" ht="25.5" customHeight="1" spans="1:45">
      <c r="A160" t="s">
        <v>803</v>
      </c>
      <c r="C160" t="s">
        <v>72</v>
      </c>
      <c r="E160" s="3" t="str">
        <f>HYPERLINK("https://app.hypeauditor.com/my-network/influencer/32160165/analytics/tiktok/lplucasarts","https://app.hypeauditor.com/my-network/influencer/32160165/analytics/tiktok/lplucasarts")</f>
        <v>https://app.hypeauditor.com/my-network/influencer/32160165/analytics/tiktok/lplucasarts</v>
      </c>
      <c r="F160" s="3" t="str">
        <f>HYPERLINK("https://www.tiktok.com/@lplucasarts","https://www.tiktok.com/@lplucasarts")</f>
        <v>https://www.tiktok.com/@lplucasarts</v>
      </c>
      <c r="G160" t="s">
        <v>52</v>
      </c>
      <c r="H160" t="s">
        <v>255</v>
      </c>
      <c r="I160" t="s">
        <v>56</v>
      </c>
      <c r="K160" t="s">
        <v>89</v>
      </c>
      <c r="L160" t="s">
        <v>54</v>
      </c>
      <c r="M160">
        <v>161900</v>
      </c>
      <c r="N160" t="s">
        <v>804</v>
      </c>
      <c r="P160" t="s">
        <v>55</v>
      </c>
      <c r="R160" t="s">
        <v>54</v>
      </c>
      <c r="T160" t="s">
        <v>55</v>
      </c>
      <c r="X160" t="s">
        <v>55</v>
      </c>
      <c r="Z160" t="s">
        <v>54</v>
      </c>
      <c r="AB160" t="s">
        <v>55</v>
      </c>
      <c r="AD160" t="s">
        <v>55</v>
      </c>
      <c r="AF160" t="s">
        <v>55</v>
      </c>
      <c r="AH160" t="s">
        <v>55</v>
      </c>
      <c r="AJ160" t="s">
        <v>54</v>
      </c>
      <c r="AK160">
        <v>33800</v>
      </c>
      <c r="AL160">
        <v>0.0921</v>
      </c>
      <c r="AM160" t="s">
        <v>805</v>
      </c>
      <c r="AN160">
        <v>650</v>
      </c>
      <c r="AO160" t="s">
        <v>806</v>
      </c>
      <c r="AP160" t="s">
        <v>807</v>
      </c>
      <c r="AQ160" t="s">
        <v>808</v>
      </c>
      <c r="AR160" t="s">
        <v>809</v>
      </c>
      <c r="AS160" t="s">
        <v>810</v>
      </c>
    </row>
    <row r="161" ht="25.5" customHeight="1" spans="5:48">
      <c r="E161" s="3" t="str">
        <f>HYPERLINK("https://app.hypeauditor.com/my-network/influencer/32160165/analytics/instagram/lplucas","https://app.hypeauditor.com/my-network/influencer/32160165/analytics/instagram/lplucas")</f>
        <v>https://app.hypeauditor.com/my-network/influencer/32160165/analytics/instagram/lplucas</v>
      </c>
      <c r="F161" s="3" t="str">
        <f>HYPERLINK("https://www.instagram.com/lplucas/","https://www.instagram.com/lplucas/")</f>
        <v>https://www.instagram.com/lplucas/</v>
      </c>
      <c r="G161" t="s">
        <v>52</v>
      </c>
      <c r="H161" t="s">
        <v>255</v>
      </c>
      <c r="I161" t="s">
        <v>65</v>
      </c>
      <c r="L161" t="s">
        <v>54</v>
      </c>
      <c r="M161">
        <v>113400</v>
      </c>
      <c r="N161" t="s">
        <v>811</v>
      </c>
      <c r="P161" t="s">
        <v>55</v>
      </c>
      <c r="R161" t="s">
        <v>54</v>
      </c>
      <c r="T161" t="s">
        <v>55</v>
      </c>
      <c r="X161" t="s">
        <v>55</v>
      </c>
      <c r="Z161" t="s">
        <v>54</v>
      </c>
      <c r="AB161" t="s">
        <v>55</v>
      </c>
      <c r="AD161" t="s">
        <v>55</v>
      </c>
      <c r="AF161" t="s">
        <v>55</v>
      </c>
      <c r="AH161" t="s">
        <v>55</v>
      </c>
      <c r="AJ161" t="s">
        <v>54</v>
      </c>
      <c r="AK161">
        <v>63400</v>
      </c>
      <c r="AL161">
        <v>0.0123</v>
      </c>
      <c r="AM161" t="s">
        <v>812</v>
      </c>
      <c r="AO161" t="s">
        <v>813</v>
      </c>
      <c r="AP161" t="s">
        <v>184</v>
      </c>
      <c r="AQ161" t="s">
        <v>185</v>
      </c>
      <c r="AR161" t="s">
        <v>184</v>
      </c>
      <c r="AS161" t="s">
        <v>185</v>
      </c>
      <c r="AV161" t="s">
        <v>803</v>
      </c>
    </row>
    <row r="162" ht="25.5" customHeight="1" spans="5:48">
      <c r="E162" s="3" t="str">
        <f>HYPERLINK("https://app.hypeauditor.com/my-network/influencer/32160165/analytics/youtube/UCNKhMknsO0BgJODI-RbCJsQ","https://app.hypeauditor.com/my-network/influencer/32160165/analytics/youtube/UCNKhMknsO0BgJODI-RbCJsQ")</f>
        <v>https://app.hypeauditor.com/my-network/influencer/32160165/analytics/youtube/UCNKhMknsO0BgJODI-RbCJsQ</v>
      </c>
      <c r="F162" s="3" t="str">
        <f>HYPERLINK("https://www.youtube.com/channel/UCNKhMknsO0BgJODI-RbCJsQ","https://www.youtube.com/channel/UCNKhMknsO0BgJODI-RbCJsQ")</f>
        <v>https://www.youtube.com/channel/UCNKhMknsO0BgJODI-RbCJsQ</v>
      </c>
      <c r="G162" t="s">
        <v>52</v>
      </c>
      <c r="H162" t="s">
        <v>255</v>
      </c>
      <c r="I162" t="s">
        <v>269</v>
      </c>
      <c r="L162" t="s">
        <v>54</v>
      </c>
      <c r="M162">
        <v>303100</v>
      </c>
      <c r="N162" t="s">
        <v>814</v>
      </c>
      <c r="P162" t="s">
        <v>55</v>
      </c>
      <c r="R162" t="s">
        <v>54</v>
      </c>
      <c r="T162" t="s">
        <v>55</v>
      </c>
      <c r="X162" t="s">
        <v>55</v>
      </c>
      <c r="Z162" t="s">
        <v>54</v>
      </c>
      <c r="AB162" t="s">
        <v>55</v>
      </c>
      <c r="AD162" t="s">
        <v>55</v>
      </c>
      <c r="AF162" t="s">
        <v>55</v>
      </c>
      <c r="AH162" t="s">
        <v>55</v>
      </c>
      <c r="AJ162" t="s">
        <v>54</v>
      </c>
      <c r="AK162">
        <v>486300</v>
      </c>
      <c r="AL162">
        <v>0.0757</v>
      </c>
      <c r="AM162" t="s">
        <v>815</v>
      </c>
      <c r="AO162" t="s">
        <v>816</v>
      </c>
      <c r="AP162" t="s">
        <v>184</v>
      </c>
      <c r="AQ162" t="s">
        <v>185</v>
      </c>
      <c r="AR162" t="s">
        <v>184</v>
      </c>
      <c r="AS162" t="s">
        <v>185</v>
      </c>
      <c r="AV162" t="s">
        <v>803</v>
      </c>
    </row>
    <row r="163" ht="25.5" customHeight="1" spans="1:45">
      <c r="A163" t="s">
        <v>817</v>
      </c>
      <c r="C163" t="s">
        <v>72</v>
      </c>
      <c r="E163" s="3" t="str">
        <f>HYPERLINK("https://app.hypeauditor.com/my-network/influencer/486102/analytics/tiktok/productnationco","https://app.hypeauditor.com/my-network/influencer/486102/analytics/tiktok/productnationco")</f>
        <v>https://app.hypeauditor.com/my-network/influencer/486102/analytics/tiktok/productnationco</v>
      </c>
      <c r="F163" s="3" t="str">
        <f>HYPERLINK("https://www.tiktok.com/@productnationco","https://www.tiktok.com/@productnationco")</f>
        <v>https://www.tiktok.com/@productnationco</v>
      </c>
      <c r="G163" t="s">
        <v>52</v>
      </c>
      <c r="H163" t="s">
        <v>255</v>
      </c>
      <c r="I163" t="s">
        <v>56</v>
      </c>
      <c r="K163" t="s">
        <v>455</v>
      </c>
      <c r="L163" t="s">
        <v>54</v>
      </c>
      <c r="M163">
        <v>195300</v>
      </c>
      <c r="N163" t="s">
        <v>818</v>
      </c>
      <c r="P163" t="s">
        <v>55</v>
      </c>
      <c r="R163" t="s">
        <v>54</v>
      </c>
      <c r="T163" t="s">
        <v>55</v>
      </c>
      <c r="X163" t="s">
        <v>55</v>
      </c>
      <c r="Z163" t="s">
        <v>54</v>
      </c>
      <c r="AB163" t="s">
        <v>55</v>
      </c>
      <c r="AD163" t="s">
        <v>55</v>
      </c>
      <c r="AF163" t="s">
        <v>55</v>
      </c>
      <c r="AH163" t="s">
        <v>55</v>
      </c>
      <c r="AJ163" t="s">
        <v>54</v>
      </c>
      <c r="AK163">
        <v>17900</v>
      </c>
      <c r="AL163">
        <v>0.0293</v>
      </c>
      <c r="AM163" t="s">
        <v>819</v>
      </c>
      <c r="AN163">
        <v>170</v>
      </c>
      <c r="AO163" t="s">
        <v>820</v>
      </c>
      <c r="AP163" t="s">
        <v>821</v>
      </c>
      <c r="AQ163" t="s">
        <v>822</v>
      </c>
      <c r="AR163" t="s">
        <v>823</v>
      </c>
      <c r="AS163" t="s">
        <v>55</v>
      </c>
    </row>
    <row r="164" ht="25.5" customHeight="1" spans="5:48">
      <c r="E164" s="3" t="str">
        <f>HYPERLINK("https://app.hypeauditor.com/my-network/influencer/486101/analytics/instagram/productnationco","https://app.hypeauditor.com/my-network/influencer/486101/analytics/instagram/productnationco")</f>
        <v>https://app.hypeauditor.com/my-network/influencer/486101/analytics/instagram/productnationco</v>
      </c>
      <c r="F164" s="3"/>
      <c r="G164" t="s">
        <v>52</v>
      </c>
      <c r="H164" t="s">
        <v>255</v>
      </c>
      <c r="I164" t="s">
        <v>65</v>
      </c>
      <c r="L164" t="s">
        <v>54</v>
      </c>
      <c r="M164">
        <v>40400</v>
      </c>
      <c r="N164" t="s">
        <v>55</v>
      </c>
      <c r="P164" t="s">
        <v>55</v>
      </c>
      <c r="R164" t="s">
        <v>54</v>
      </c>
      <c r="T164" t="s">
        <v>55</v>
      </c>
      <c r="X164" t="s">
        <v>55</v>
      </c>
      <c r="Z164" t="s">
        <v>54</v>
      </c>
      <c r="AB164" t="s">
        <v>55</v>
      </c>
      <c r="AD164" t="s">
        <v>55</v>
      </c>
      <c r="AF164" t="s">
        <v>55</v>
      </c>
      <c r="AH164" t="s">
        <v>55</v>
      </c>
      <c r="AJ164" t="s">
        <v>54</v>
      </c>
      <c r="AK164">
        <v>9100</v>
      </c>
      <c r="AL164">
        <v>0.0033</v>
      </c>
      <c r="AM164" t="s">
        <v>824</v>
      </c>
      <c r="AN164">
        <v>80</v>
      </c>
      <c r="AO164" t="s">
        <v>825</v>
      </c>
      <c r="AP164" t="s">
        <v>826</v>
      </c>
      <c r="AQ164" t="s">
        <v>827</v>
      </c>
      <c r="AR164" t="s">
        <v>635</v>
      </c>
      <c r="AS164" t="s">
        <v>55</v>
      </c>
      <c r="AV164" t="s">
        <v>817</v>
      </c>
    </row>
    <row r="165" ht="25.5" customHeight="1" spans="1:45">
      <c r="A165" t="s">
        <v>828</v>
      </c>
      <c r="C165" t="s">
        <v>72</v>
      </c>
      <c r="E165" s="3" t="str">
        <f>HYPERLINK("https://app.hypeauditor.com/my-network/influencer/849613/analytics/tiktok/justinserran","https://app.hypeauditor.com/my-network/influencer/849613/analytics/tiktok/justinserran")</f>
        <v>https://app.hypeauditor.com/my-network/influencer/849613/analytics/tiktok/justinserran</v>
      </c>
      <c r="F165" s="3" t="str">
        <f>HYPERLINK("https://www.tiktok.com/@justinserran","https://www.tiktok.com/@justinserran")</f>
        <v>https://www.tiktok.com/@justinserran</v>
      </c>
      <c r="G165" t="s">
        <v>52</v>
      </c>
      <c r="H165" t="s">
        <v>255</v>
      </c>
      <c r="I165" t="s">
        <v>56</v>
      </c>
      <c r="L165" t="s">
        <v>54</v>
      </c>
      <c r="M165">
        <v>110500</v>
      </c>
      <c r="N165" t="s">
        <v>829</v>
      </c>
      <c r="P165" t="s">
        <v>55</v>
      </c>
      <c r="R165" t="s">
        <v>54</v>
      </c>
      <c r="T165" t="s">
        <v>55</v>
      </c>
      <c r="X165" t="s">
        <v>55</v>
      </c>
      <c r="Z165" t="s">
        <v>54</v>
      </c>
      <c r="AB165" t="s">
        <v>55</v>
      </c>
      <c r="AD165" t="s">
        <v>55</v>
      </c>
      <c r="AF165" t="s">
        <v>55</v>
      </c>
      <c r="AH165" t="s">
        <v>55</v>
      </c>
      <c r="AJ165" t="s">
        <v>54</v>
      </c>
      <c r="AK165">
        <v>4000</v>
      </c>
      <c r="AL165">
        <v>0.0435</v>
      </c>
      <c r="AM165" t="s">
        <v>830</v>
      </c>
      <c r="AN165">
        <v>40</v>
      </c>
      <c r="AO165" t="s">
        <v>831</v>
      </c>
      <c r="AP165" t="s">
        <v>139</v>
      </c>
      <c r="AQ165" t="s">
        <v>140</v>
      </c>
      <c r="AR165" t="s">
        <v>832</v>
      </c>
      <c r="AS165" t="s">
        <v>55</v>
      </c>
    </row>
    <row r="166" ht="25.5" customHeight="1" spans="5:48">
      <c r="E166" s="3"/>
      <c r="F166" s="3"/>
      <c r="G166" t="s">
        <v>52</v>
      </c>
      <c r="H166" t="s">
        <v>255</v>
      </c>
      <c r="I166" t="s">
        <v>65</v>
      </c>
      <c r="L166" t="s">
        <v>54</v>
      </c>
      <c r="M166">
        <v>174300</v>
      </c>
      <c r="N166" t="s">
        <v>833</v>
      </c>
      <c r="P166" t="s">
        <v>55</v>
      </c>
      <c r="R166" t="s">
        <v>54</v>
      </c>
      <c r="T166" t="s">
        <v>55</v>
      </c>
      <c r="X166" t="s">
        <v>55</v>
      </c>
      <c r="Z166" t="s">
        <v>54</v>
      </c>
      <c r="AB166" t="s">
        <v>55</v>
      </c>
      <c r="AD166" t="s">
        <v>55</v>
      </c>
      <c r="AF166" t="s">
        <v>55</v>
      </c>
      <c r="AH166" t="s">
        <v>55</v>
      </c>
      <c r="AJ166" t="s">
        <v>54</v>
      </c>
      <c r="AK166">
        <v>20100</v>
      </c>
      <c r="AL166">
        <v>0.0019</v>
      </c>
      <c r="AM166" t="s">
        <v>834</v>
      </c>
      <c r="AN166">
        <v>200</v>
      </c>
      <c r="AO166" t="s">
        <v>835</v>
      </c>
      <c r="AP166" t="s">
        <v>836</v>
      </c>
      <c r="AQ166" t="s">
        <v>837</v>
      </c>
      <c r="AR166" t="s">
        <v>838</v>
      </c>
      <c r="AS166" t="s">
        <v>55</v>
      </c>
      <c r="AV166" t="s">
        <v>828</v>
      </c>
    </row>
    <row r="167" ht="25.5" customHeight="1" spans="5:48">
      <c r="E167" s="3" t="str">
        <f>HYPERLINK("https://app.hypeauditor.com/my-network/influencer/849613/analytics/youtube/UCw6UTjha4OBnjMtzfVrlT2g","https://app.hypeauditor.com/my-network/influencer/849613/analytics/youtube/UCw6UTjha4OBnjMtzfVrlT2g")</f>
        <v>https://app.hypeauditor.com/my-network/influencer/849613/analytics/youtube/UCw6UTjha4OBnjMtzfVrlT2g</v>
      </c>
      <c r="F167" s="3"/>
      <c r="G167" t="s">
        <v>52</v>
      </c>
      <c r="H167" t="s">
        <v>255</v>
      </c>
      <c r="I167" t="s">
        <v>269</v>
      </c>
      <c r="L167" t="s">
        <v>54</v>
      </c>
      <c r="M167">
        <v>41800</v>
      </c>
      <c r="N167" t="s">
        <v>55</v>
      </c>
      <c r="P167" t="s">
        <v>55</v>
      </c>
      <c r="R167" t="s">
        <v>54</v>
      </c>
      <c r="T167" t="s">
        <v>55</v>
      </c>
      <c r="X167" t="s">
        <v>55</v>
      </c>
      <c r="Z167" t="s">
        <v>54</v>
      </c>
      <c r="AB167" t="s">
        <v>55</v>
      </c>
      <c r="AD167" t="s">
        <v>55</v>
      </c>
      <c r="AF167" t="s">
        <v>55</v>
      </c>
      <c r="AH167" t="s">
        <v>55</v>
      </c>
      <c r="AJ167" t="s">
        <v>54</v>
      </c>
      <c r="AK167">
        <v>1800</v>
      </c>
      <c r="AL167">
        <v>0.055</v>
      </c>
      <c r="AM167" t="s">
        <v>839</v>
      </c>
      <c r="AN167">
        <v>10</v>
      </c>
      <c r="AO167" t="s">
        <v>840</v>
      </c>
      <c r="AP167" t="s">
        <v>841</v>
      </c>
      <c r="AQ167" t="s">
        <v>842</v>
      </c>
      <c r="AR167" t="s">
        <v>843</v>
      </c>
      <c r="AS167" t="s">
        <v>844</v>
      </c>
      <c r="AV167" t="s">
        <v>828</v>
      </c>
    </row>
    <row r="168" ht="25.5" customHeight="1" spans="1:45">
      <c r="A168" t="s">
        <v>845</v>
      </c>
      <c r="C168" t="s">
        <v>72</v>
      </c>
      <c r="E168" s="3" t="str">
        <f>HYPERLINK("https://app.hypeauditor.com/my-network/influencer/26004489/analytics/tiktok/techbykalen","https://app.hypeauditor.com/my-network/influencer/26004489/analytics/tiktok/techbykalen")</f>
        <v>https://app.hypeauditor.com/my-network/influencer/26004489/analytics/tiktok/techbykalen</v>
      </c>
      <c r="F168" s="3" t="str">
        <f>HYPERLINK("https://www.tiktok.com/@techbykalen","https://www.tiktok.com/@techbykalen")</f>
        <v>https://www.tiktok.com/@techbykalen</v>
      </c>
      <c r="G168" t="s">
        <v>52</v>
      </c>
      <c r="H168" t="s">
        <v>773</v>
      </c>
      <c r="I168" t="s">
        <v>56</v>
      </c>
      <c r="K168" t="s">
        <v>89</v>
      </c>
      <c r="L168" t="s">
        <v>54</v>
      </c>
      <c r="M168">
        <v>11100</v>
      </c>
      <c r="N168" t="s">
        <v>55</v>
      </c>
      <c r="P168" t="s">
        <v>55</v>
      </c>
      <c r="R168" t="s">
        <v>54</v>
      </c>
      <c r="T168" t="s">
        <v>55</v>
      </c>
      <c r="X168" t="s">
        <v>55</v>
      </c>
      <c r="Z168" t="s">
        <v>54</v>
      </c>
      <c r="AB168" t="s">
        <v>55</v>
      </c>
      <c r="AD168" t="s">
        <v>55</v>
      </c>
      <c r="AF168" t="s">
        <v>55</v>
      </c>
      <c r="AH168" t="s">
        <v>55</v>
      </c>
      <c r="AJ168" t="s">
        <v>54</v>
      </c>
      <c r="AK168">
        <v>5000</v>
      </c>
      <c r="AL168">
        <v>0.0439</v>
      </c>
      <c r="AM168" t="s">
        <v>846</v>
      </c>
      <c r="AO168" t="s">
        <v>847</v>
      </c>
      <c r="AP168" t="s">
        <v>184</v>
      </c>
      <c r="AQ168" t="s">
        <v>185</v>
      </c>
      <c r="AR168" t="s">
        <v>184</v>
      </c>
      <c r="AS168" t="s">
        <v>185</v>
      </c>
    </row>
    <row r="169" ht="25.5" customHeight="1" spans="1:45">
      <c r="A169" t="s">
        <v>848</v>
      </c>
      <c r="C169" t="s">
        <v>144</v>
      </c>
      <c r="E169" s="3" t="str">
        <f>HYPERLINK("https://app.hypeauditor.com/my-network/influencer/32451225/analytics/tiktok/creationsinguliere","https://app.hypeauditor.com/my-network/influencer/32451225/analytics/tiktok/creationsinguliere")</f>
        <v>https://app.hypeauditor.com/my-network/influencer/32451225/analytics/tiktok/creationsinguliere</v>
      </c>
      <c r="F169" s="3" t="str">
        <f>HYPERLINK("https://www.tiktok.com/@creationsinguliere","https://www.tiktok.com/@creationsinguliere")</f>
        <v>https://www.tiktok.com/@creationsinguliere</v>
      </c>
      <c r="G169" t="s">
        <v>52</v>
      </c>
      <c r="H169" t="s">
        <v>773</v>
      </c>
      <c r="I169" t="s">
        <v>56</v>
      </c>
      <c r="K169" t="s">
        <v>58</v>
      </c>
      <c r="L169" t="s">
        <v>59</v>
      </c>
      <c r="M169">
        <v>168600</v>
      </c>
      <c r="N169" t="s">
        <v>781</v>
      </c>
      <c r="P169" t="s">
        <v>55</v>
      </c>
      <c r="R169" t="s">
        <v>54</v>
      </c>
      <c r="T169" t="s">
        <v>55</v>
      </c>
      <c r="X169" t="s">
        <v>55</v>
      </c>
      <c r="Z169" t="s">
        <v>54</v>
      </c>
      <c r="AB169" t="s">
        <v>55</v>
      </c>
      <c r="AD169" t="s">
        <v>55</v>
      </c>
      <c r="AF169" t="s">
        <v>55</v>
      </c>
      <c r="AH169" t="s">
        <v>55</v>
      </c>
      <c r="AJ169" t="s">
        <v>54</v>
      </c>
      <c r="AK169">
        <v>20000</v>
      </c>
      <c r="AL169">
        <v>0.0496</v>
      </c>
      <c r="AM169" t="s">
        <v>849</v>
      </c>
      <c r="AN169">
        <v>350</v>
      </c>
      <c r="AO169" t="s">
        <v>850</v>
      </c>
      <c r="AP169" t="s">
        <v>851</v>
      </c>
      <c r="AQ169" t="s">
        <v>852</v>
      </c>
      <c r="AR169" t="s">
        <v>853</v>
      </c>
      <c r="AS169" t="s">
        <v>55</v>
      </c>
    </row>
    <row r="170" ht="25.5" customHeight="1" spans="1:45">
      <c r="A170" t="s">
        <v>854</v>
      </c>
      <c r="C170" t="s">
        <v>72</v>
      </c>
      <c r="E170" s="3" t="str">
        <f>HYPERLINK("https://app.hypeauditor.com/my-network/influencer/4160320/analytics/instagram/authorinmyhead","https://app.hypeauditor.com/my-network/influencer/4160320/analytics/instagram/authorinmyhead")</f>
        <v>https://app.hypeauditor.com/my-network/influencer/4160320/analytics/instagram/authorinmyhead</v>
      </c>
      <c r="F170" s="3" t="str">
        <f>HYPERLINK("https://www.instagram.com/authorinmyhead/","https://www.instagram.com/authorinmyhead/")</f>
        <v>https://www.instagram.com/authorinmyhead/</v>
      </c>
      <c r="G170" t="s">
        <v>52</v>
      </c>
      <c r="H170" t="s">
        <v>773</v>
      </c>
      <c r="I170" t="s">
        <v>65</v>
      </c>
      <c r="K170" t="s">
        <v>58</v>
      </c>
      <c r="L170" t="s">
        <v>59</v>
      </c>
      <c r="M170">
        <v>90200</v>
      </c>
      <c r="N170" t="s">
        <v>55</v>
      </c>
      <c r="P170" t="s">
        <v>55</v>
      </c>
      <c r="R170" t="s">
        <v>54</v>
      </c>
      <c r="T170" t="s">
        <v>55</v>
      </c>
      <c r="X170" t="s">
        <v>55</v>
      </c>
      <c r="Z170" t="s">
        <v>54</v>
      </c>
      <c r="AB170" t="s">
        <v>55</v>
      </c>
      <c r="AD170" t="s">
        <v>55</v>
      </c>
      <c r="AF170" t="s">
        <v>55</v>
      </c>
      <c r="AH170" t="s">
        <v>55</v>
      </c>
      <c r="AJ170" t="s">
        <v>54</v>
      </c>
      <c r="AK170">
        <v>14000</v>
      </c>
      <c r="AL170">
        <v>0.0904</v>
      </c>
      <c r="AM170" t="s">
        <v>855</v>
      </c>
      <c r="AN170">
        <v>80</v>
      </c>
      <c r="AO170" t="s">
        <v>856</v>
      </c>
      <c r="AP170" t="s">
        <v>857</v>
      </c>
      <c r="AQ170" t="s">
        <v>858</v>
      </c>
      <c r="AR170" t="s">
        <v>859</v>
      </c>
      <c r="AS170" t="s">
        <v>860</v>
      </c>
    </row>
    <row r="171" ht="25.5" customHeight="1" spans="1:45">
      <c r="A171" t="s">
        <v>861</v>
      </c>
      <c r="E171" s="3" t="str">
        <f>HYPERLINK("https://app.hypeauditor.com/my-network/influencer/18266910/analytics/tiktok/lordmango","https://app.hypeauditor.com/my-network/influencer/18266910/analytics/tiktok/lordmango")</f>
        <v>https://app.hypeauditor.com/my-network/influencer/18266910/analytics/tiktok/lordmango</v>
      </c>
      <c r="F171" s="3" t="str">
        <f>HYPERLINK("https://www.tiktok.com/@lordmango","https://www.tiktok.com/@lordmango")</f>
        <v>https://www.tiktok.com/@lordmango</v>
      </c>
      <c r="G171" t="s">
        <v>52</v>
      </c>
      <c r="H171" t="s">
        <v>255</v>
      </c>
      <c r="I171" t="s">
        <v>56</v>
      </c>
      <c r="L171" t="s">
        <v>54</v>
      </c>
      <c r="M171">
        <v>248500</v>
      </c>
      <c r="N171" t="s">
        <v>862</v>
      </c>
      <c r="P171" t="s">
        <v>55</v>
      </c>
      <c r="R171" t="s">
        <v>54</v>
      </c>
      <c r="T171" t="s">
        <v>55</v>
      </c>
      <c r="X171" t="s">
        <v>55</v>
      </c>
      <c r="Z171" t="s">
        <v>54</v>
      </c>
      <c r="AB171" t="s">
        <v>55</v>
      </c>
      <c r="AD171" t="s">
        <v>55</v>
      </c>
      <c r="AF171" t="s">
        <v>55</v>
      </c>
      <c r="AH171" t="s">
        <v>55</v>
      </c>
      <c r="AJ171" t="s">
        <v>54</v>
      </c>
      <c r="AK171">
        <v>748</v>
      </c>
      <c r="AL171">
        <v>0.0417</v>
      </c>
      <c r="AM171" t="s">
        <v>863</v>
      </c>
      <c r="AO171" t="s">
        <v>864</v>
      </c>
      <c r="AP171" t="s">
        <v>184</v>
      </c>
      <c r="AQ171" t="s">
        <v>185</v>
      </c>
      <c r="AR171" t="s">
        <v>184</v>
      </c>
      <c r="AS171" t="s">
        <v>185</v>
      </c>
    </row>
    <row r="172" ht="25.5" customHeight="1" spans="5:48">
      <c r="E172" s="3" t="str">
        <f>HYPERLINK("https://app.hypeauditor.com/my-network/influencer/18266910/analytics/instagram/dani.shaykho","https://app.hypeauditor.com/my-network/influencer/18266910/analytics/instagram/dani.shaykho")</f>
        <v>https://app.hypeauditor.com/my-network/influencer/18266910/analytics/instagram/dani.shaykho</v>
      </c>
      <c r="F172" s="3"/>
      <c r="G172" t="s">
        <v>52</v>
      </c>
      <c r="H172" t="s">
        <v>255</v>
      </c>
      <c r="I172" t="s">
        <v>65</v>
      </c>
      <c r="L172" t="s">
        <v>54</v>
      </c>
      <c r="M172">
        <v>273500</v>
      </c>
      <c r="N172" t="s">
        <v>865</v>
      </c>
      <c r="P172" t="s">
        <v>55</v>
      </c>
      <c r="R172" t="s">
        <v>54</v>
      </c>
      <c r="T172" t="s">
        <v>55</v>
      </c>
      <c r="X172" t="s">
        <v>55</v>
      </c>
      <c r="Z172" t="s">
        <v>54</v>
      </c>
      <c r="AB172" t="s">
        <v>55</v>
      </c>
      <c r="AD172" t="s">
        <v>55</v>
      </c>
      <c r="AF172" t="s">
        <v>55</v>
      </c>
      <c r="AH172" t="s">
        <v>55</v>
      </c>
      <c r="AJ172" t="s">
        <v>54</v>
      </c>
      <c r="AK172">
        <v>12100</v>
      </c>
      <c r="AL172">
        <v>0.0254</v>
      </c>
      <c r="AM172" t="s">
        <v>866</v>
      </c>
      <c r="AO172" t="s">
        <v>867</v>
      </c>
      <c r="AP172" t="s">
        <v>184</v>
      </c>
      <c r="AQ172" t="s">
        <v>185</v>
      </c>
      <c r="AR172" t="s">
        <v>184</v>
      </c>
      <c r="AS172" t="s">
        <v>185</v>
      </c>
      <c r="AV172" t="s">
        <v>861</v>
      </c>
    </row>
    <row r="173" ht="25.5" customHeight="1" spans="1:45">
      <c r="A173" t="s">
        <v>868</v>
      </c>
      <c r="C173" t="s">
        <v>72</v>
      </c>
      <c r="E173" s="3" t="str">
        <f>HYPERLINK("https://app.hypeauditor.com/my-network/influencer/376771/analytics/instagram/asbytofficial","https://app.hypeauditor.com/my-network/influencer/376771/analytics/instagram/asbytofficial")</f>
        <v>https://app.hypeauditor.com/my-network/influencer/376771/analytics/instagram/asbytofficial</v>
      </c>
      <c r="F173" s="3" t="str">
        <f>HYPERLINK("https://www.instagram.com/asbytofficial/","https://www.instagram.com/asbytofficial/")</f>
        <v>https://www.instagram.com/asbytofficial/</v>
      </c>
      <c r="G173" t="s">
        <v>52</v>
      </c>
      <c r="H173" t="s">
        <v>773</v>
      </c>
      <c r="I173" t="s">
        <v>65</v>
      </c>
      <c r="K173" t="s">
        <v>89</v>
      </c>
      <c r="L173" t="s">
        <v>54</v>
      </c>
      <c r="M173">
        <v>68700</v>
      </c>
      <c r="N173" t="s">
        <v>55</v>
      </c>
      <c r="P173" t="s">
        <v>55</v>
      </c>
      <c r="R173" t="s">
        <v>54</v>
      </c>
      <c r="T173" t="s">
        <v>55</v>
      </c>
      <c r="X173" t="s">
        <v>55</v>
      </c>
      <c r="Z173" t="s">
        <v>54</v>
      </c>
      <c r="AB173" t="s">
        <v>55</v>
      </c>
      <c r="AD173" t="s">
        <v>55</v>
      </c>
      <c r="AF173" t="s">
        <v>55</v>
      </c>
      <c r="AH173" t="s">
        <v>55</v>
      </c>
      <c r="AJ173" t="s">
        <v>54</v>
      </c>
      <c r="AK173">
        <v>5900</v>
      </c>
      <c r="AL173">
        <v>0.005</v>
      </c>
      <c r="AM173" t="s">
        <v>869</v>
      </c>
      <c r="AN173">
        <v>100</v>
      </c>
      <c r="AO173" t="s">
        <v>870</v>
      </c>
      <c r="AP173" t="s">
        <v>871</v>
      </c>
      <c r="AQ173" t="s">
        <v>872</v>
      </c>
      <c r="AR173" t="s">
        <v>607</v>
      </c>
      <c r="AS173" t="s">
        <v>55</v>
      </c>
    </row>
    <row r="174" ht="25.5" customHeight="1" spans="5:48">
      <c r="E174" s="3" t="str">
        <f>HYPERLINK("https://app.hypeauditor.com/my-network/influencer/30201018/analytics/tiktok/asbytofficial","https://app.hypeauditor.com/my-network/influencer/30201018/analytics/tiktok/asbytofficial")</f>
        <v>https://app.hypeauditor.com/my-network/influencer/30201018/analytics/tiktok/asbytofficial</v>
      </c>
      <c r="F174" s="3" t="str">
        <f>HYPERLINK("https://www.tiktok.com/@asbytofficial","https://www.tiktok.com/@asbytofficial")</f>
        <v>https://www.tiktok.com/@asbytofficial</v>
      </c>
      <c r="G174" t="s">
        <v>52</v>
      </c>
      <c r="H174" t="s">
        <v>773</v>
      </c>
      <c r="I174" t="s">
        <v>56</v>
      </c>
      <c r="L174" t="s">
        <v>54</v>
      </c>
      <c r="M174">
        <v>75400</v>
      </c>
      <c r="N174" t="s">
        <v>55</v>
      </c>
      <c r="P174" t="s">
        <v>55</v>
      </c>
      <c r="R174" t="s">
        <v>54</v>
      </c>
      <c r="T174" t="s">
        <v>55</v>
      </c>
      <c r="X174" t="s">
        <v>55</v>
      </c>
      <c r="Z174" t="s">
        <v>54</v>
      </c>
      <c r="AB174" t="s">
        <v>55</v>
      </c>
      <c r="AD174" t="s">
        <v>55</v>
      </c>
      <c r="AF174" t="s">
        <v>55</v>
      </c>
      <c r="AH174" t="s">
        <v>55</v>
      </c>
      <c r="AJ174" t="s">
        <v>54</v>
      </c>
      <c r="AK174">
        <v>3600</v>
      </c>
      <c r="AL174">
        <v>0.0282</v>
      </c>
      <c r="AM174" t="s">
        <v>873</v>
      </c>
      <c r="AO174" t="s">
        <v>874</v>
      </c>
      <c r="AP174" t="s">
        <v>184</v>
      </c>
      <c r="AQ174" t="s">
        <v>185</v>
      </c>
      <c r="AR174" t="s">
        <v>184</v>
      </c>
      <c r="AS174" t="s">
        <v>185</v>
      </c>
      <c r="AV174" t="s">
        <v>868</v>
      </c>
    </row>
    <row r="175" ht="25.5" customHeight="1" spans="1:45">
      <c r="A175" t="s">
        <v>875</v>
      </c>
      <c r="C175" t="s">
        <v>72</v>
      </c>
      <c r="E175" s="3" t="str">
        <f>HYPERLINK("https://app.hypeauditor.com/my-network/influencer/7968491/analytics/tiktok/skullcandy","https://app.hypeauditor.com/my-network/influencer/7968491/analytics/tiktok/skullcandy")</f>
        <v>https://app.hypeauditor.com/my-network/influencer/7968491/analytics/tiktok/skullcandy</v>
      </c>
      <c r="F175" s="3" t="str">
        <f>HYPERLINK("https://www.tiktok.com/@skullcandy","https://www.tiktok.com/@skullcandy")</f>
        <v>https://www.tiktok.com/@skullcandy</v>
      </c>
      <c r="G175" t="s">
        <v>52</v>
      </c>
      <c r="H175" t="s">
        <v>255</v>
      </c>
      <c r="I175" t="s">
        <v>56</v>
      </c>
      <c r="K175" t="s">
        <v>455</v>
      </c>
      <c r="L175" t="s">
        <v>54</v>
      </c>
      <c r="M175">
        <v>258700</v>
      </c>
      <c r="N175" t="s">
        <v>876</v>
      </c>
      <c r="P175" t="s">
        <v>55</v>
      </c>
      <c r="R175" t="s">
        <v>54</v>
      </c>
      <c r="T175" t="s">
        <v>55</v>
      </c>
      <c r="X175" t="s">
        <v>55</v>
      </c>
      <c r="Z175" t="s">
        <v>54</v>
      </c>
      <c r="AB175" t="s">
        <v>55</v>
      </c>
      <c r="AD175" t="s">
        <v>55</v>
      </c>
      <c r="AF175" t="s">
        <v>55</v>
      </c>
      <c r="AH175" t="s">
        <v>55</v>
      </c>
      <c r="AJ175" t="s">
        <v>54</v>
      </c>
      <c r="AK175">
        <v>20500</v>
      </c>
      <c r="AL175">
        <v>0.0349</v>
      </c>
      <c r="AM175" t="s">
        <v>877</v>
      </c>
      <c r="AO175" t="s">
        <v>878</v>
      </c>
      <c r="AP175" t="s">
        <v>184</v>
      </c>
      <c r="AQ175" t="s">
        <v>185</v>
      </c>
      <c r="AR175" t="s">
        <v>184</v>
      </c>
      <c r="AS175" t="s">
        <v>185</v>
      </c>
    </row>
    <row r="176" ht="25.5" customHeight="1" spans="5:48">
      <c r="E176" s="3" t="str">
        <f>HYPERLINK("https://app.hypeauditor.com/my-network/influencer/30065/analytics/instagram/skullcandy","https://app.hypeauditor.com/my-network/influencer/30065/analytics/instagram/skullcandy")</f>
        <v>https://app.hypeauditor.com/my-network/influencer/30065/analytics/instagram/skullcandy</v>
      </c>
      <c r="F176" s="3" t="str">
        <f>HYPERLINK("https://www.instagram.com/skullcandy/","https://www.instagram.com/skullcandy/")</f>
        <v>https://www.instagram.com/skullcandy/</v>
      </c>
      <c r="G176" t="s">
        <v>52</v>
      </c>
      <c r="H176" t="s">
        <v>255</v>
      </c>
      <c r="I176" t="s">
        <v>65</v>
      </c>
      <c r="L176" t="s">
        <v>54</v>
      </c>
      <c r="M176">
        <v>727300</v>
      </c>
      <c r="N176" t="s">
        <v>879</v>
      </c>
      <c r="P176" t="s">
        <v>55</v>
      </c>
      <c r="R176" t="s">
        <v>54</v>
      </c>
      <c r="T176" t="s">
        <v>55</v>
      </c>
      <c r="X176" t="s">
        <v>55</v>
      </c>
      <c r="Z176" t="s">
        <v>54</v>
      </c>
      <c r="AB176" t="s">
        <v>55</v>
      </c>
      <c r="AD176" t="s">
        <v>55</v>
      </c>
      <c r="AF176" t="s">
        <v>55</v>
      </c>
      <c r="AH176" t="s">
        <v>55</v>
      </c>
      <c r="AJ176" t="s">
        <v>54</v>
      </c>
      <c r="AK176">
        <v>32200</v>
      </c>
      <c r="AL176">
        <v>0.0075</v>
      </c>
      <c r="AM176" t="s">
        <v>880</v>
      </c>
      <c r="AO176" t="s">
        <v>881</v>
      </c>
      <c r="AP176" t="s">
        <v>184</v>
      </c>
      <c r="AQ176" t="s">
        <v>185</v>
      </c>
      <c r="AR176" t="s">
        <v>184</v>
      </c>
      <c r="AS176" t="s">
        <v>185</v>
      </c>
      <c r="AV176" t="s">
        <v>875</v>
      </c>
    </row>
    <row r="177" ht="25.5" customHeight="1" spans="5:48">
      <c r="E177" s="3" t="str">
        <f>HYPERLINK("https://app.hypeauditor.com/my-network/influencer/30065/analytics/youtube/UCSlsR78rdbVuSSf6tDryPIA","https://app.hypeauditor.com/my-network/influencer/30065/analytics/youtube/UCSlsR78rdbVuSSf6tDryPIA")</f>
        <v>https://app.hypeauditor.com/my-network/influencer/30065/analytics/youtube/UCSlsR78rdbVuSSf6tDryPIA</v>
      </c>
      <c r="F177" s="3"/>
      <c r="G177" t="s">
        <v>52</v>
      </c>
      <c r="H177" t="s">
        <v>255</v>
      </c>
      <c r="I177" t="s">
        <v>269</v>
      </c>
      <c r="J177" t="s">
        <v>423</v>
      </c>
      <c r="L177" t="s">
        <v>54</v>
      </c>
      <c r="M177">
        <v>176400</v>
      </c>
      <c r="N177" t="s">
        <v>882</v>
      </c>
      <c r="P177" t="s">
        <v>55</v>
      </c>
      <c r="R177" t="s">
        <v>54</v>
      </c>
      <c r="T177" t="s">
        <v>55</v>
      </c>
      <c r="X177" t="s">
        <v>55</v>
      </c>
      <c r="Z177" t="s">
        <v>54</v>
      </c>
      <c r="AB177" t="s">
        <v>55</v>
      </c>
      <c r="AD177" t="s">
        <v>55</v>
      </c>
      <c r="AF177" t="s">
        <v>55</v>
      </c>
      <c r="AH177" t="s">
        <v>55</v>
      </c>
      <c r="AJ177" t="s">
        <v>54</v>
      </c>
      <c r="AK177">
        <v>1400</v>
      </c>
      <c r="AL177">
        <v>0.0488</v>
      </c>
      <c r="AM177" t="s">
        <v>883</v>
      </c>
      <c r="AO177" t="s">
        <v>884</v>
      </c>
      <c r="AP177" t="s">
        <v>184</v>
      </c>
      <c r="AQ177" t="s">
        <v>185</v>
      </c>
      <c r="AR177" t="s">
        <v>184</v>
      </c>
      <c r="AS177" t="s">
        <v>185</v>
      </c>
      <c r="AV177" t="s">
        <v>875</v>
      </c>
    </row>
    <row r="178" ht="25.5" customHeight="1" spans="1:45">
      <c r="A178" t="s">
        <v>885</v>
      </c>
      <c r="C178" t="s">
        <v>72</v>
      </c>
      <c r="E178" s="3" t="str">
        <f>HYPERLINK("https://app.hypeauditor.com/my-network/influencer/863342/analytics/instagram/c74connect","https://app.hypeauditor.com/my-network/influencer/863342/analytics/instagram/c74connect")</f>
        <v>https://app.hypeauditor.com/my-network/influencer/863342/analytics/instagram/c74connect</v>
      </c>
      <c r="F178" s="3" t="str">
        <f>HYPERLINK("https://www.instagram.com/c74connect/reels/","https://www.instagram.com/c74connect/reels/")</f>
        <v>https://www.instagram.com/c74connect/reels/</v>
      </c>
      <c r="G178" t="s">
        <v>52</v>
      </c>
      <c r="H178" t="s">
        <v>255</v>
      </c>
      <c r="I178" t="s">
        <v>65</v>
      </c>
      <c r="K178" t="s">
        <v>455</v>
      </c>
      <c r="L178" t="s">
        <v>54</v>
      </c>
      <c r="M178">
        <v>37400</v>
      </c>
      <c r="N178" t="s">
        <v>55</v>
      </c>
      <c r="P178" t="s">
        <v>55</v>
      </c>
      <c r="R178" t="s">
        <v>54</v>
      </c>
      <c r="T178" t="s">
        <v>55</v>
      </c>
      <c r="X178" t="s">
        <v>55</v>
      </c>
      <c r="Z178" t="s">
        <v>54</v>
      </c>
      <c r="AB178" t="s">
        <v>55</v>
      </c>
      <c r="AD178" t="s">
        <v>55</v>
      </c>
      <c r="AF178" t="s">
        <v>55</v>
      </c>
      <c r="AH178" t="s">
        <v>55</v>
      </c>
      <c r="AJ178" t="s">
        <v>54</v>
      </c>
      <c r="AK178">
        <v>20800</v>
      </c>
      <c r="AL178">
        <v>0.0149</v>
      </c>
      <c r="AM178" t="s">
        <v>886</v>
      </c>
      <c r="AO178" t="s">
        <v>887</v>
      </c>
      <c r="AP178" t="s">
        <v>184</v>
      </c>
      <c r="AQ178" t="s">
        <v>185</v>
      </c>
      <c r="AR178" t="s">
        <v>184</v>
      </c>
      <c r="AS178" t="s">
        <v>185</v>
      </c>
    </row>
    <row r="179" ht="25.5" customHeight="1" spans="1:45">
      <c r="A179" t="s">
        <v>888</v>
      </c>
      <c r="C179" t="s">
        <v>72</v>
      </c>
      <c r="E179" s="3" t="str">
        <f>HYPERLINK("https://app.hypeauditor.com/my-network/influencer/8073715/analytics/tiktok/andystallion","https://app.hypeauditor.com/my-network/influencer/8073715/analytics/tiktok/andystallion")</f>
        <v>https://app.hypeauditor.com/my-network/influencer/8073715/analytics/tiktok/andystallion</v>
      </c>
      <c r="F179" s="3" t="str">
        <f>HYPERLINK("https://www.tiktok.com/@andystallion","https://www.tiktok.com/@andystallion")</f>
        <v>https://www.tiktok.com/@andystallion</v>
      </c>
      <c r="G179" t="s">
        <v>52</v>
      </c>
      <c r="H179" t="s">
        <v>255</v>
      </c>
      <c r="I179" t="s">
        <v>56</v>
      </c>
      <c r="K179" t="s">
        <v>97</v>
      </c>
      <c r="L179" t="s">
        <v>54</v>
      </c>
      <c r="M179">
        <v>3000000</v>
      </c>
      <c r="N179" t="s">
        <v>889</v>
      </c>
      <c r="P179" t="s">
        <v>55</v>
      </c>
      <c r="R179" t="s">
        <v>54</v>
      </c>
      <c r="T179" t="s">
        <v>55</v>
      </c>
      <c r="X179" t="s">
        <v>55</v>
      </c>
      <c r="Z179" t="s">
        <v>54</v>
      </c>
      <c r="AB179" t="s">
        <v>55</v>
      </c>
      <c r="AD179" t="s">
        <v>55</v>
      </c>
      <c r="AF179" t="s">
        <v>55</v>
      </c>
      <c r="AH179" t="s">
        <v>55</v>
      </c>
      <c r="AJ179" t="s">
        <v>54</v>
      </c>
      <c r="AK179">
        <v>22000</v>
      </c>
      <c r="AL179">
        <v>0.1108</v>
      </c>
      <c r="AM179" t="s">
        <v>890</v>
      </c>
      <c r="AO179" t="s">
        <v>891</v>
      </c>
      <c r="AP179" t="s">
        <v>184</v>
      </c>
      <c r="AQ179" t="s">
        <v>185</v>
      </c>
      <c r="AR179" t="s">
        <v>184</v>
      </c>
      <c r="AS179" t="s">
        <v>185</v>
      </c>
    </row>
    <row r="180" ht="25.5" customHeight="1" spans="1:45">
      <c r="A180" t="s">
        <v>892</v>
      </c>
      <c r="C180" t="s">
        <v>144</v>
      </c>
      <c r="E180" s="3" t="str">
        <f>HYPERLINK("https://app.hypeauditor.com/my-network/influencer/99518/analytics/tiktok/simplydigital","https://app.hypeauditor.com/my-network/influencer/99518/analytics/tiktok/simplydigital")</f>
        <v>https://app.hypeauditor.com/my-network/influencer/99518/analytics/tiktok/simplydigital</v>
      </c>
      <c r="F180" s="3" t="str">
        <f>HYPERLINK("https://www.tiktok.com/@simplydigital","https://www.tiktok.com/@simplydigital")</f>
        <v>https://www.tiktok.com/@simplydigital</v>
      </c>
      <c r="G180" t="s">
        <v>52</v>
      </c>
      <c r="H180" t="s">
        <v>773</v>
      </c>
      <c r="I180" t="s">
        <v>56</v>
      </c>
      <c r="K180" t="s">
        <v>97</v>
      </c>
      <c r="L180" t="s">
        <v>54</v>
      </c>
      <c r="M180">
        <v>2200000</v>
      </c>
      <c r="N180" t="s">
        <v>893</v>
      </c>
      <c r="P180" t="s">
        <v>55</v>
      </c>
      <c r="R180" t="s">
        <v>54</v>
      </c>
      <c r="T180" t="s">
        <v>55</v>
      </c>
      <c r="X180" t="s">
        <v>55</v>
      </c>
      <c r="Z180" t="s">
        <v>54</v>
      </c>
      <c r="AB180" t="s">
        <v>55</v>
      </c>
      <c r="AD180" t="s">
        <v>55</v>
      </c>
      <c r="AF180" t="s">
        <v>55</v>
      </c>
      <c r="AH180" t="s">
        <v>55</v>
      </c>
      <c r="AJ180" t="s">
        <v>54</v>
      </c>
      <c r="AK180">
        <v>24500</v>
      </c>
      <c r="AL180">
        <v>0.0395</v>
      </c>
      <c r="AM180" t="s">
        <v>894</v>
      </c>
      <c r="AN180">
        <v>3400</v>
      </c>
      <c r="AO180" t="s">
        <v>895</v>
      </c>
      <c r="AP180" t="s">
        <v>896</v>
      </c>
      <c r="AQ180" t="s">
        <v>55</v>
      </c>
      <c r="AR180" t="s">
        <v>897</v>
      </c>
      <c r="AS180" t="s">
        <v>55</v>
      </c>
    </row>
    <row r="181" ht="25.5" customHeight="1" spans="5:48">
      <c r="E181" s="3" t="str">
        <f>HYPERLINK("https://app.hypeauditor.com/my-network/influencer/99518/analytics/instagram/simplydigital.gr","https://app.hypeauditor.com/my-network/influencer/99518/analytics/instagram/simplydigital.gr")</f>
        <v>https://app.hypeauditor.com/my-network/influencer/99518/analytics/instagram/simplydigital.gr</v>
      </c>
      <c r="F181" s="3" t="str">
        <f>HYPERLINK("https://www.instagram.com/simplydigital.gr/","https://www.instagram.com/simplydigital.gr/")</f>
        <v>https://www.instagram.com/simplydigital.gr/</v>
      </c>
      <c r="G181" t="s">
        <v>52</v>
      </c>
      <c r="H181" t="s">
        <v>773</v>
      </c>
      <c r="I181" t="s">
        <v>65</v>
      </c>
      <c r="L181" t="s">
        <v>54</v>
      </c>
      <c r="M181">
        <v>952000</v>
      </c>
      <c r="N181" t="s">
        <v>898</v>
      </c>
      <c r="P181" t="s">
        <v>55</v>
      </c>
      <c r="R181" t="s">
        <v>54</v>
      </c>
      <c r="T181" t="s">
        <v>55</v>
      </c>
      <c r="X181" t="s">
        <v>55</v>
      </c>
      <c r="Z181" t="s">
        <v>54</v>
      </c>
      <c r="AB181" t="s">
        <v>55</v>
      </c>
      <c r="AD181" t="s">
        <v>55</v>
      </c>
      <c r="AF181" t="s">
        <v>55</v>
      </c>
      <c r="AH181" t="s">
        <v>55</v>
      </c>
      <c r="AJ181" t="s">
        <v>54</v>
      </c>
      <c r="AK181">
        <v>56700</v>
      </c>
      <c r="AL181">
        <v>0.0013</v>
      </c>
      <c r="AM181" t="s">
        <v>899</v>
      </c>
      <c r="AN181">
        <v>500</v>
      </c>
      <c r="AO181" t="s">
        <v>900</v>
      </c>
      <c r="AP181" t="s">
        <v>901</v>
      </c>
      <c r="AQ181" t="s">
        <v>902</v>
      </c>
      <c r="AR181" t="s">
        <v>903</v>
      </c>
      <c r="AS181" t="s">
        <v>55</v>
      </c>
      <c r="AV181" t="s">
        <v>892</v>
      </c>
    </row>
    <row r="182" ht="25.5" customHeight="1" spans="5:48">
      <c r="E182" s="3"/>
      <c r="F182" s="3"/>
      <c r="G182" t="s">
        <v>52</v>
      </c>
      <c r="H182" t="s">
        <v>773</v>
      </c>
      <c r="I182" t="s">
        <v>269</v>
      </c>
      <c r="L182" t="s">
        <v>54</v>
      </c>
      <c r="M182">
        <v>78900</v>
      </c>
      <c r="N182" t="s">
        <v>55</v>
      </c>
      <c r="P182" t="s">
        <v>55</v>
      </c>
      <c r="R182" t="s">
        <v>54</v>
      </c>
      <c r="T182" t="s">
        <v>55</v>
      </c>
      <c r="X182" t="s">
        <v>55</v>
      </c>
      <c r="Z182" t="s">
        <v>54</v>
      </c>
      <c r="AB182" t="s">
        <v>55</v>
      </c>
      <c r="AD182" t="s">
        <v>55</v>
      </c>
      <c r="AF182" t="s">
        <v>55</v>
      </c>
      <c r="AH182" t="s">
        <v>55</v>
      </c>
      <c r="AJ182" t="s">
        <v>54</v>
      </c>
      <c r="AK182">
        <v>1100</v>
      </c>
      <c r="AL182">
        <v>0.1095</v>
      </c>
      <c r="AM182" t="s">
        <v>904</v>
      </c>
      <c r="AO182" t="s">
        <v>905</v>
      </c>
      <c r="AP182" t="s">
        <v>184</v>
      </c>
      <c r="AQ182" t="s">
        <v>185</v>
      </c>
      <c r="AR182" t="s">
        <v>184</v>
      </c>
      <c r="AS182" t="s">
        <v>185</v>
      </c>
      <c r="AV182" t="s">
        <v>892</v>
      </c>
    </row>
    <row r="183" ht="25.5" customHeight="1" spans="1:45">
      <c r="A183" t="s">
        <v>906</v>
      </c>
      <c r="C183" t="s">
        <v>72</v>
      </c>
      <c r="E183" s="3" t="str">
        <f>HYPERLINK("https://app.hypeauditor.com/my-network/influencer/2160004/analytics/instagram/harshil_designer","https://app.hypeauditor.com/my-network/influencer/2160004/analytics/instagram/harshil_designer")</f>
        <v>https://app.hypeauditor.com/my-network/influencer/2160004/analytics/instagram/harshil_designer</v>
      </c>
      <c r="F183" s="3" t="str">
        <f>HYPERLINK("https://www.instagram.com/harshil_designer/reels/","https://www.instagram.com/harshil_designer/reels/")</f>
        <v>https://www.instagram.com/harshil_designer/reels/</v>
      </c>
      <c r="G183" t="s">
        <v>52</v>
      </c>
      <c r="H183" t="s">
        <v>317</v>
      </c>
      <c r="I183" t="s">
        <v>65</v>
      </c>
      <c r="K183" t="s">
        <v>58</v>
      </c>
      <c r="L183" t="s">
        <v>59</v>
      </c>
      <c r="M183">
        <v>168900</v>
      </c>
      <c r="N183" t="s">
        <v>907</v>
      </c>
      <c r="P183" t="s">
        <v>55</v>
      </c>
      <c r="R183" t="s">
        <v>54</v>
      </c>
      <c r="T183" t="s">
        <v>55</v>
      </c>
      <c r="X183" t="s">
        <v>55</v>
      </c>
      <c r="Z183" t="s">
        <v>54</v>
      </c>
      <c r="AB183" t="s">
        <v>55</v>
      </c>
      <c r="AD183" t="s">
        <v>55</v>
      </c>
      <c r="AF183" t="s">
        <v>55</v>
      </c>
      <c r="AH183" t="s">
        <v>55</v>
      </c>
      <c r="AJ183" t="s">
        <v>54</v>
      </c>
      <c r="AK183">
        <v>57700</v>
      </c>
      <c r="AL183">
        <v>0.0104</v>
      </c>
      <c r="AM183" t="s">
        <v>908</v>
      </c>
      <c r="AN183">
        <v>550</v>
      </c>
      <c r="AO183" t="s">
        <v>909</v>
      </c>
      <c r="AP183" t="s">
        <v>910</v>
      </c>
      <c r="AQ183" t="s">
        <v>911</v>
      </c>
      <c r="AR183" t="s">
        <v>912</v>
      </c>
      <c r="AS183" t="s">
        <v>55</v>
      </c>
    </row>
    <row r="184" ht="25.5" customHeight="1" spans="1:45">
      <c r="A184" t="s">
        <v>913</v>
      </c>
      <c r="C184" t="s">
        <v>72</v>
      </c>
      <c r="E184" s="3" t="str">
        <f>HYPERLINK("https://app.hypeauditor.com/my-network/influencer/7992940/analytics/tiktok/followmario","https://app.hypeauditor.com/my-network/influencer/7992940/analytics/tiktok/followmario")</f>
        <v>https://app.hypeauditor.com/my-network/influencer/7992940/analytics/tiktok/followmario</v>
      </c>
      <c r="F184" s="3" t="str">
        <f>HYPERLINK("https://www.tiktok.com/@followmario","https://www.tiktok.com/@followmario")</f>
        <v>https://www.tiktok.com/@followmario</v>
      </c>
      <c r="G184" t="s">
        <v>52</v>
      </c>
      <c r="H184" t="s">
        <v>317</v>
      </c>
      <c r="I184" t="s">
        <v>56</v>
      </c>
      <c r="K184" t="s">
        <v>58</v>
      </c>
      <c r="L184" t="s">
        <v>59</v>
      </c>
      <c r="M184">
        <v>179500</v>
      </c>
      <c r="N184" t="s">
        <v>914</v>
      </c>
      <c r="P184" t="s">
        <v>55</v>
      </c>
      <c r="R184" t="s">
        <v>54</v>
      </c>
      <c r="T184" t="s">
        <v>55</v>
      </c>
      <c r="X184" t="s">
        <v>55</v>
      </c>
      <c r="Z184" t="s">
        <v>54</v>
      </c>
      <c r="AB184" t="s">
        <v>55</v>
      </c>
      <c r="AD184" t="s">
        <v>55</v>
      </c>
      <c r="AF184" t="s">
        <v>55</v>
      </c>
      <c r="AH184" t="s">
        <v>55</v>
      </c>
      <c r="AJ184" t="s">
        <v>54</v>
      </c>
      <c r="AK184">
        <v>8700</v>
      </c>
      <c r="AL184">
        <v>0.1045</v>
      </c>
      <c r="AM184" t="s">
        <v>915</v>
      </c>
      <c r="AN184">
        <v>80</v>
      </c>
      <c r="AO184" t="s">
        <v>916</v>
      </c>
      <c r="AP184" t="s">
        <v>669</v>
      </c>
      <c r="AQ184" t="s">
        <v>917</v>
      </c>
      <c r="AR184" t="s">
        <v>918</v>
      </c>
      <c r="AS184" t="s">
        <v>919</v>
      </c>
    </row>
    <row r="185" ht="25.5" customHeight="1" spans="1:45">
      <c r="A185" t="s">
        <v>920</v>
      </c>
      <c r="C185" t="s">
        <v>72</v>
      </c>
      <c r="E185" s="3" t="str">
        <f>HYPERLINK("https://app.hypeauditor.com/my-network/influencer/5084233/analytics/instagram/jordanuevamedia","https://app.hypeauditor.com/my-network/influencer/5084233/analytics/instagram/jordanuevamedia")</f>
        <v>https://app.hypeauditor.com/my-network/influencer/5084233/analytics/instagram/jordanuevamedia</v>
      </c>
      <c r="F185" s="3" t="str">
        <f>HYPERLINK("https://www.instagram.com/jordanuevamedia/reels/","https://www.instagram.com/jordanuevamedia/reels/")</f>
        <v>https://www.instagram.com/jordanuevamedia/reels/</v>
      </c>
      <c r="G185" t="s">
        <v>52</v>
      </c>
      <c r="H185" t="s">
        <v>317</v>
      </c>
      <c r="I185" t="s">
        <v>65</v>
      </c>
      <c r="K185" t="s">
        <v>58</v>
      </c>
      <c r="L185" t="s">
        <v>59</v>
      </c>
      <c r="M185">
        <v>266900</v>
      </c>
      <c r="N185" t="s">
        <v>921</v>
      </c>
      <c r="P185" t="s">
        <v>55</v>
      </c>
      <c r="R185" t="s">
        <v>54</v>
      </c>
      <c r="T185" t="s">
        <v>55</v>
      </c>
      <c r="X185" t="s">
        <v>55</v>
      </c>
      <c r="Z185" t="s">
        <v>54</v>
      </c>
      <c r="AB185" t="s">
        <v>55</v>
      </c>
      <c r="AD185" t="s">
        <v>55</v>
      </c>
      <c r="AF185" t="s">
        <v>55</v>
      </c>
      <c r="AH185" t="s">
        <v>55</v>
      </c>
      <c r="AJ185" t="s">
        <v>54</v>
      </c>
      <c r="AK185">
        <v>18900</v>
      </c>
      <c r="AL185">
        <v>0.0019</v>
      </c>
      <c r="AM185" t="s">
        <v>922</v>
      </c>
      <c r="AN185">
        <v>150</v>
      </c>
      <c r="AO185" t="s">
        <v>923</v>
      </c>
      <c r="AP185" t="s">
        <v>924</v>
      </c>
      <c r="AQ185" t="s">
        <v>925</v>
      </c>
      <c r="AR185" t="s">
        <v>926</v>
      </c>
      <c r="AS185" t="s">
        <v>55</v>
      </c>
    </row>
    <row r="186" ht="25.5" customHeight="1" spans="1:48">
      <c r="A186" t="s">
        <v>927</v>
      </c>
      <c r="C186" t="s">
        <v>72</v>
      </c>
      <c r="E186" s="3"/>
      <c r="F186" s="3"/>
      <c r="G186" t="s">
        <v>52</v>
      </c>
      <c r="H186" t="s">
        <v>53</v>
      </c>
      <c r="L186" t="s">
        <v>54</v>
      </c>
      <c r="P186" t="s">
        <v>55</v>
      </c>
      <c r="R186" t="s">
        <v>54</v>
      </c>
      <c r="T186" t="s">
        <v>55</v>
      </c>
      <c r="X186" t="s">
        <v>55</v>
      </c>
      <c r="Z186" t="s">
        <v>54</v>
      </c>
      <c r="AB186" t="s">
        <v>55</v>
      </c>
      <c r="AD186" t="s">
        <v>55</v>
      </c>
      <c r="AF186" t="s">
        <v>55</v>
      </c>
      <c r="AH186" t="s">
        <v>55</v>
      </c>
      <c r="AJ186" t="s">
        <v>54</v>
      </c>
      <c r="AM186" t="s">
        <v>54</v>
      </c>
      <c r="AO186" t="s">
        <v>54</v>
      </c>
      <c r="AV186" t="s">
        <v>422</v>
      </c>
    </row>
    <row r="187" ht="25.5" customHeight="1" spans="1:48">
      <c r="A187" t="s">
        <v>928</v>
      </c>
      <c r="C187" t="s">
        <v>72</v>
      </c>
      <c r="E187" s="3"/>
      <c r="F187" s="3"/>
      <c r="G187" t="s">
        <v>52</v>
      </c>
      <c r="H187" t="s">
        <v>53</v>
      </c>
      <c r="L187" t="s">
        <v>54</v>
      </c>
      <c r="P187" t="s">
        <v>55</v>
      </c>
      <c r="R187" t="s">
        <v>54</v>
      </c>
      <c r="T187" t="s">
        <v>55</v>
      </c>
      <c r="X187" t="s">
        <v>55</v>
      </c>
      <c r="Z187" t="s">
        <v>54</v>
      </c>
      <c r="AB187" t="s">
        <v>55</v>
      </c>
      <c r="AD187" t="s">
        <v>55</v>
      </c>
      <c r="AF187" t="s">
        <v>55</v>
      </c>
      <c r="AH187" t="s">
        <v>55</v>
      </c>
      <c r="AJ187" t="s">
        <v>54</v>
      </c>
      <c r="AM187" t="s">
        <v>54</v>
      </c>
      <c r="AO187" t="s">
        <v>54</v>
      </c>
      <c r="AV187" t="s">
        <v>422</v>
      </c>
    </row>
    <row r="188" ht="25.5" customHeight="1" spans="1:48">
      <c r="A188" t="s">
        <v>929</v>
      </c>
      <c r="C188" t="s">
        <v>72</v>
      </c>
      <c r="E188" s="3"/>
      <c r="F188" s="3"/>
      <c r="G188" t="s">
        <v>52</v>
      </c>
      <c r="H188" t="s">
        <v>53</v>
      </c>
      <c r="L188" t="s">
        <v>54</v>
      </c>
      <c r="P188" t="s">
        <v>55</v>
      </c>
      <c r="R188" t="s">
        <v>54</v>
      </c>
      <c r="T188" t="s">
        <v>55</v>
      </c>
      <c r="X188" t="s">
        <v>55</v>
      </c>
      <c r="Z188" t="s">
        <v>54</v>
      </c>
      <c r="AB188" t="s">
        <v>55</v>
      </c>
      <c r="AD188" t="s">
        <v>55</v>
      </c>
      <c r="AF188" t="s">
        <v>55</v>
      </c>
      <c r="AH188" t="s">
        <v>55</v>
      </c>
      <c r="AJ188" t="s">
        <v>54</v>
      </c>
      <c r="AM188" t="s">
        <v>54</v>
      </c>
      <c r="AO188" t="s">
        <v>54</v>
      </c>
      <c r="AV188" t="s">
        <v>422</v>
      </c>
    </row>
    <row r="189" ht="25.5" customHeight="1" spans="1:48">
      <c r="A189" t="s">
        <v>930</v>
      </c>
      <c r="C189" t="s">
        <v>72</v>
      </c>
      <c r="E189" s="3"/>
      <c r="F189" s="3"/>
      <c r="G189" t="s">
        <v>52</v>
      </c>
      <c r="H189" t="s">
        <v>53</v>
      </c>
      <c r="L189" t="s">
        <v>54</v>
      </c>
      <c r="P189" t="s">
        <v>55</v>
      </c>
      <c r="R189" t="s">
        <v>54</v>
      </c>
      <c r="T189" t="s">
        <v>55</v>
      </c>
      <c r="X189" t="s">
        <v>55</v>
      </c>
      <c r="Z189" t="s">
        <v>54</v>
      </c>
      <c r="AB189" t="s">
        <v>55</v>
      </c>
      <c r="AD189" t="s">
        <v>55</v>
      </c>
      <c r="AF189" t="s">
        <v>55</v>
      </c>
      <c r="AH189" t="s">
        <v>55</v>
      </c>
      <c r="AJ189" t="s">
        <v>54</v>
      </c>
      <c r="AM189" t="s">
        <v>54</v>
      </c>
      <c r="AO189" t="s">
        <v>54</v>
      </c>
      <c r="AV189" t="s">
        <v>422</v>
      </c>
    </row>
    <row r="190" ht="25.5" customHeight="1" spans="1:48">
      <c r="A190" t="s">
        <v>931</v>
      </c>
      <c r="C190" t="s">
        <v>72</v>
      </c>
      <c r="E190" s="3"/>
      <c r="F190" s="3"/>
      <c r="G190" t="s">
        <v>52</v>
      </c>
      <c r="H190" t="s">
        <v>53</v>
      </c>
      <c r="L190" t="s">
        <v>54</v>
      </c>
      <c r="P190" t="s">
        <v>55</v>
      </c>
      <c r="R190" t="s">
        <v>54</v>
      </c>
      <c r="T190" t="s">
        <v>55</v>
      </c>
      <c r="X190" t="s">
        <v>55</v>
      </c>
      <c r="Z190" t="s">
        <v>54</v>
      </c>
      <c r="AB190" t="s">
        <v>55</v>
      </c>
      <c r="AD190" t="s">
        <v>55</v>
      </c>
      <c r="AF190" t="s">
        <v>55</v>
      </c>
      <c r="AH190" t="s">
        <v>55</v>
      </c>
      <c r="AJ190" t="s">
        <v>54</v>
      </c>
      <c r="AM190" t="s">
        <v>54</v>
      </c>
      <c r="AO190" t="s">
        <v>54</v>
      </c>
      <c r="AV190" t="s">
        <v>422</v>
      </c>
    </row>
    <row r="191" ht="25.5" customHeight="1" spans="1:48">
      <c r="A191" t="s">
        <v>932</v>
      </c>
      <c r="C191" t="s">
        <v>72</v>
      </c>
      <c r="E191" s="3"/>
      <c r="F191" s="3"/>
      <c r="G191" t="s">
        <v>52</v>
      </c>
      <c r="H191" t="s">
        <v>53</v>
      </c>
      <c r="L191" t="s">
        <v>54</v>
      </c>
      <c r="P191" t="s">
        <v>55</v>
      </c>
      <c r="R191" t="s">
        <v>54</v>
      </c>
      <c r="T191" t="s">
        <v>55</v>
      </c>
      <c r="X191" t="s">
        <v>55</v>
      </c>
      <c r="Z191" t="s">
        <v>54</v>
      </c>
      <c r="AB191" t="s">
        <v>55</v>
      </c>
      <c r="AD191" t="s">
        <v>55</v>
      </c>
      <c r="AF191" t="s">
        <v>55</v>
      </c>
      <c r="AH191" t="s">
        <v>55</v>
      </c>
      <c r="AJ191" t="s">
        <v>54</v>
      </c>
      <c r="AM191" t="s">
        <v>54</v>
      </c>
      <c r="AO191" t="s">
        <v>54</v>
      </c>
      <c r="AV191" t="s">
        <v>422</v>
      </c>
    </row>
    <row r="192" ht="25.5" customHeight="1" spans="1:48">
      <c r="A192" t="s">
        <v>933</v>
      </c>
      <c r="C192" t="s">
        <v>72</v>
      </c>
      <c r="E192" s="3"/>
      <c r="F192" s="3"/>
      <c r="G192" t="s">
        <v>52</v>
      </c>
      <c r="H192" t="s">
        <v>53</v>
      </c>
      <c r="L192" t="s">
        <v>54</v>
      </c>
      <c r="P192" t="s">
        <v>55</v>
      </c>
      <c r="R192" t="s">
        <v>54</v>
      </c>
      <c r="T192" t="s">
        <v>55</v>
      </c>
      <c r="X192" t="s">
        <v>55</v>
      </c>
      <c r="Z192" t="s">
        <v>54</v>
      </c>
      <c r="AB192" t="s">
        <v>55</v>
      </c>
      <c r="AD192" t="s">
        <v>55</v>
      </c>
      <c r="AF192" t="s">
        <v>55</v>
      </c>
      <c r="AH192" t="s">
        <v>55</v>
      </c>
      <c r="AJ192" t="s">
        <v>54</v>
      </c>
      <c r="AM192" t="s">
        <v>54</v>
      </c>
      <c r="AO192" t="s">
        <v>54</v>
      </c>
      <c r="AV192" t="s">
        <v>422</v>
      </c>
    </row>
    <row r="193" ht="25.5" customHeight="1" spans="1:48">
      <c r="A193" t="s">
        <v>934</v>
      </c>
      <c r="C193" t="s">
        <v>72</v>
      </c>
      <c r="E193" s="3"/>
      <c r="F193" s="3"/>
      <c r="G193" t="s">
        <v>52</v>
      </c>
      <c r="H193" t="s">
        <v>53</v>
      </c>
      <c r="L193" t="s">
        <v>54</v>
      </c>
      <c r="P193" t="s">
        <v>55</v>
      </c>
      <c r="R193" t="s">
        <v>54</v>
      </c>
      <c r="T193" t="s">
        <v>55</v>
      </c>
      <c r="X193" t="s">
        <v>55</v>
      </c>
      <c r="Z193" t="s">
        <v>54</v>
      </c>
      <c r="AB193" t="s">
        <v>55</v>
      </c>
      <c r="AD193" t="s">
        <v>55</v>
      </c>
      <c r="AF193" t="s">
        <v>55</v>
      </c>
      <c r="AH193" t="s">
        <v>55</v>
      </c>
      <c r="AJ193" t="s">
        <v>54</v>
      </c>
      <c r="AM193" t="s">
        <v>54</v>
      </c>
      <c r="AO193" t="s">
        <v>54</v>
      </c>
      <c r="AV193" t="s">
        <v>422</v>
      </c>
    </row>
    <row r="194" ht="25.5" customHeight="1" spans="1:48">
      <c r="A194" t="s">
        <v>935</v>
      </c>
      <c r="C194" t="s">
        <v>72</v>
      </c>
      <c r="E194" s="3"/>
      <c r="F194" s="3"/>
      <c r="G194" t="s">
        <v>52</v>
      </c>
      <c r="H194" t="s">
        <v>53</v>
      </c>
      <c r="L194" t="s">
        <v>54</v>
      </c>
      <c r="P194" t="s">
        <v>55</v>
      </c>
      <c r="R194" t="s">
        <v>54</v>
      </c>
      <c r="T194" t="s">
        <v>55</v>
      </c>
      <c r="X194" t="s">
        <v>55</v>
      </c>
      <c r="Z194" t="s">
        <v>54</v>
      </c>
      <c r="AB194" t="s">
        <v>55</v>
      </c>
      <c r="AD194" t="s">
        <v>55</v>
      </c>
      <c r="AF194" t="s">
        <v>55</v>
      </c>
      <c r="AH194" t="s">
        <v>55</v>
      </c>
      <c r="AJ194" t="s">
        <v>54</v>
      </c>
      <c r="AM194" t="s">
        <v>54</v>
      </c>
      <c r="AO194" t="s">
        <v>54</v>
      </c>
      <c r="AV194" t="s">
        <v>422</v>
      </c>
    </row>
    <row r="195" ht="25.5" customHeight="1" spans="1:45">
      <c r="A195" t="s">
        <v>936</v>
      </c>
      <c r="C195" t="s">
        <v>72</v>
      </c>
      <c r="E195" s="3" t="str">
        <f>HYPERLINK("https://app.hypeauditor.com/my-network/influencer/2138110/analytics/instagram/viegasestudio","https://app.hypeauditor.com/my-network/influencer/2138110/analytics/instagram/viegasestudio")</f>
        <v>https://app.hypeauditor.com/my-network/influencer/2138110/analytics/instagram/viegasestudio</v>
      </c>
      <c r="F195" s="3" t="str">
        <f>HYPERLINK("https://www.instagram.com/viegasestudio/reels/","https://www.instagram.com/viegasestudio/reels/")</f>
        <v>https://www.instagram.com/viegasestudio/reels/</v>
      </c>
      <c r="G195" t="s">
        <v>52</v>
      </c>
      <c r="H195" t="s">
        <v>53</v>
      </c>
      <c r="I195" t="s">
        <v>65</v>
      </c>
      <c r="K195" t="s">
        <v>89</v>
      </c>
      <c r="L195" t="s">
        <v>54</v>
      </c>
      <c r="M195">
        <v>163100</v>
      </c>
      <c r="N195" t="s">
        <v>937</v>
      </c>
      <c r="P195" t="s">
        <v>55</v>
      </c>
      <c r="R195" t="s">
        <v>54</v>
      </c>
      <c r="T195" t="s">
        <v>55</v>
      </c>
      <c r="X195" t="s">
        <v>55</v>
      </c>
      <c r="Z195" t="s">
        <v>54</v>
      </c>
      <c r="AB195" t="s">
        <v>55</v>
      </c>
      <c r="AD195" t="s">
        <v>55</v>
      </c>
      <c r="AF195" t="s">
        <v>55</v>
      </c>
      <c r="AH195" t="s">
        <v>55</v>
      </c>
      <c r="AJ195" t="s">
        <v>54</v>
      </c>
      <c r="AK195">
        <v>20000</v>
      </c>
      <c r="AL195">
        <v>0.0038</v>
      </c>
      <c r="AM195" t="s">
        <v>938</v>
      </c>
      <c r="AN195">
        <v>200</v>
      </c>
      <c r="AO195" t="s">
        <v>939</v>
      </c>
      <c r="AP195" t="s">
        <v>139</v>
      </c>
      <c r="AQ195" t="s">
        <v>140</v>
      </c>
      <c r="AR195" t="s">
        <v>141</v>
      </c>
      <c r="AS195" t="s">
        <v>55</v>
      </c>
    </row>
    <row r="196" ht="25.5" customHeight="1" spans="1:45">
      <c r="A196" t="s">
        <v>940</v>
      </c>
      <c r="C196" t="s">
        <v>72</v>
      </c>
      <c r="E196" s="3" t="str">
        <f>HYPERLINK("https://app.hypeauditor.com/my-network/influencer/445047/analytics/instagram/abcdeele","https://app.hypeauditor.com/my-network/influencer/445047/analytics/instagram/abcdeele")</f>
        <v>https://app.hypeauditor.com/my-network/influencer/445047/analytics/instagram/abcdeele</v>
      </c>
      <c r="F196" s="3" t="str">
        <f>HYPERLINK("https://www.instagram.com/abcdeele/reels/","https://www.instagram.com/abcdeele/reels/")</f>
        <v>https://www.instagram.com/abcdeele/reels/</v>
      </c>
      <c r="G196" t="s">
        <v>52</v>
      </c>
      <c r="H196" t="s">
        <v>53</v>
      </c>
      <c r="I196" t="s">
        <v>65</v>
      </c>
      <c r="K196" t="s">
        <v>89</v>
      </c>
      <c r="L196" t="s">
        <v>54</v>
      </c>
      <c r="M196">
        <v>67300</v>
      </c>
      <c r="N196" t="s">
        <v>55</v>
      </c>
      <c r="P196" t="s">
        <v>55</v>
      </c>
      <c r="R196" t="s">
        <v>54</v>
      </c>
      <c r="T196" t="s">
        <v>55</v>
      </c>
      <c r="X196" t="s">
        <v>55</v>
      </c>
      <c r="Z196" t="s">
        <v>54</v>
      </c>
      <c r="AB196" t="s">
        <v>55</v>
      </c>
      <c r="AD196" t="s">
        <v>55</v>
      </c>
      <c r="AF196" t="s">
        <v>55</v>
      </c>
      <c r="AH196" t="s">
        <v>55</v>
      </c>
      <c r="AJ196" t="s">
        <v>54</v>
      </c>
      <c r="AK196">
        <v>10000</v>
      </c>
      <c r="AL196">
        <v>0.0046</v>
      </c>
      <c r="AM196" t="s">
        <v>941</v>
      </c>
      <c r="AN196">
        <v>150</v>
      </c>
      <c r="AO196" t="s">
        <v>942</v>
      </c>
      <c r="AP196" t="s">
        <v>943</v>
      </c>
      <c r="AQ196" t="s">
        <v>944</v>
      </c>
      <c r="AR196" t="s">
        <v>945</v>
      </c>
      <c r="AS196" t="s">
        <v>55</v>
      </c>
    </row>
    <row r="197" ht="25.5" customHeight="1" spans="1:45">
      <c r="A197" t="s">
        <v>946</v>
      </c>
      <c r="C197" t="s">
        <v>72</v>
      </c>
      <c r="E197" s="3" t="str">
        <f>HYPERLINK("https://app.hypeauditor.com/my-network/influencer/2622038/analytics/instagram/letsdodizz","https://app.hypeauditor.com/my-network/influencer/2622038/analytics/instagram/letsdodizz")</f>
        <v>https://app.hypeauditor.com/my-network/influencer/2622038/analytics/instagram/letsdodizz</v>
      </c>
      <c r="F197" s="3" t="str">
        <f>HYPERLINK("https://www.instagram.com/letsdodizz/reels/","https://www.instagram.com/letsdodizz/reels/")</f>
        <v>https://www.instagram.com/letsdodizz/reels/</v>
      </c>
      <c r="G197" t="s">
        <v>52</v>
      </c>
      <c r="H197" t="s">
        <v>317</v>
      </c>
      <c r="I197" t="s">
        <v>65</v>
      </c>
      <c r="K197" t="s">
        <v>58</v>
      </c>
      <c r="L197" t="s">
        <v>59</v>
      </c>
      <c r="M197">
        <v>2200000</v>
      </c>
      <c r="N197" t="s">
        <v>893</v>
      </c>
      <c r="P197" t="s">
        <v>55</v>
      </c>
      <c r="R197" t="s">
        <v>54</v>
      </c>
      <c r="T197" t="s">
        <v>55</v>
      </c>
      <c r="X197" t="s">
        <v>55</v>
      </c>
      <c r="Z197" t="s">
        <v>54</v>
      </c>
      <c r="AB197" t="s">
        <v>55</v>
      </c>
      <c r="AD197" t="s">
        <v>55</v>
      </c>
      <c r="AF197" t="s">
        <v>55</v>
      </c>
      <c r="AH197" t="s">
        <v>55</v>
      </c>
      <c r="AJ197" t="s">
        <v>54</v>
      </c>
      <c r="AK197">
        <v>154800</v>
      </c>
      <c r="AL197">
        <v>0.0007</v>
      </c>
      <c r="AM197" t="s">
        <v>947</v>
      </c>
      <c r="AN197">
        <v>1500</v>
      </c>
      <c r="AO197" t="s">
        <v>948</v>
      </c>
      <c r="AP197" t="s">
        <v>949</v>
      </c>
      <c r="AQ197" t="s">
        <v>950</v>
      </c>
      <c r="AR197" t="s">
        <v>951</v>
      </c>
      <c r="AS197" t="s">
        <v>55</v>
      </c>
    </row>
    <row r="198" ht="25.5" customHeight="1" spans="1:45">
      <c r="A198" t="s">
        <v>952</v>
      </c>
      <c r="E198" s="3" t="str">
        <f>HYPERLINK("https://app.hypeauditor.com/my-network/influencer/180288/analytics/instagram/womenontopp","https://app.hypeauditor.com/my-network/influencer/180288/analytics/instagram/womenontopp")</f>
        <v>https://app.hypeauditor.com/my-network/influencer/180288/analytics/instagram/womenontopp</v>
      </c>
      <c r="F198" s="3" t="str">
        <f>HYPERLINK("https://www.instagram.com/womenontopp/reels/","https://www.instagram.com/womenontopp/reels/")</f>
        <v>https://www.instagram.com/womenontopp/reels/</v>
      </c>
      <c r="G198" t="s">
        <v>52</v>
      </c>
      <c r="H198" t="s">
        <v>317</v>
      </c>
      <c r="I198" t="s">
        <v>65</v>
      </c>
      <c r="K198" t="s">
        <v>58</v>
      </c>
      <c r="L198" t="s">
        <v>59</v>
      </c>
      <c r="M198">
        <v>1700000</v>
      </c>
      <c r="N198" t="s">
        <v>953</v>
      </c>
      <c r="P198" t="s">
        <v>55</v>
      </c>
      <c r="R198" t="s">
        <v>54</v>
      </c>
      <c r="T198" t="s">
        <v>55</v>
      </c>
      <c r="X198" t="s">
        <v>55</v>
      </c>
      <c r="Z198" t="s">
        <v>54</v>
      </c>
      <c r="AB198" t="s">
        <v>55</v>
      </c>
      <c r="AD198" t="s">
        <v>55</v>
      </c>
      <c r="AF198" t="s">
        <v>55</v>
      </c>
      <c r="AH198" t="s">
        <v>55</v>
      </c>
      <c r="AJ198" t="s">
        <v>54</v>
      </c>
      <c r="AK198">
        <v>95600</v>
      </c>
      <c r="AL198">
        <v>0.003</v>
      </c>
      <c r="AM198" t="s">
        <v>954</v>
      </c>
      <c r="AN198">
        <v>600</v>
      </c>
      <c r="AO198" t="s">
        <v>955</v>
      </c>
      <c r="AP198" t="s">
        <v>956</v>
      </c>
      <c r="AQ198" t="s">
        <v>957</v>
      </c>
      <c r="AR198" t="s">
        <v>958</v>
      </c>
      <c r="AS198" t="s">
        <v>959</v>
      </c>
    </row>
    <row r="199" ht="25.5" customHeight="1" spans="1:45">
      <c r="A199" t="s">
        <v>960</v>
      </c>
      <c r="C199" t="s">
        <v>72</v>
      </c>
      <c r="E199" s="3" t="str">
        <f>HYPERLINK("https://app.hypeauditor.com/my-network/influencer/209762/analytics/instagram/justdodani","https://app.hypeauditor.com/my-network/influencer/209762/analytics/instagram/justdodani")</f>
        <v>https://app.hypeauditor.com/my-network/influencer/209762/analytics/instagram/justdodani</v>
      </c>
      <c r="F199" s="3" t="str">
        <f>HYPERLINK("https://www.instagram.com/justdodani/","https://www.instagram.com/justdodani/")</f>
        <v>https://www.instagram.com/justdodani/</v>
      </c>
      <c r="G199" t="s">
        <v>52</v>
      </c>
      <c r="H199" t="s">
        <v>317</v>
      </c>
      <c r="I199" t="s">
        <v>65</v>
      </c>
      <c r="K199" t="s">
        <v>58</v>
      </c>
      <c r="L199" t="s">
        <v>59</v>
      </c>
      <c r="M199">
        <v>187700</v>
      </c>
      <c r="N199" t="s">
        <v>961</v>
      </c>
      <c r="P199" t="s">
        <v>55</v>
      </c>
      <c r="R199" t="s">
        <v>54</v>
      </c>
      <c r="T199" t="s">
        <v>55</v>
      </c>
      <c r="X199" t="s">
        <v>55</v>
      </c>
      <c r="Z199" t="s">
        <v>54</v>
      </c>
      <c r="AB199" t="s">
        <v>55</v>
      </c>
      <c r="AD199" t="s">
        <v>55</v>
      </c>
      <c r="AF199" t="s">
        <v>55</v>
      </c>
      <c r="AH199" t="s">
        <v>55</v>
      </c>
      <c r="AJ199" t="s">
        <v>54</v>
      </c>
      <c r="AK199">
        <v>13500</v>
      </c>
      <c r="AL199">
        <v>0.0045</v>
      </c>
      <c r="AM199" t="s">
        <v>962</v>
      </c>
      <c r="AN199">
        <v>150</v>
      </c>
      <c r="AO199" t="s">
        <v>963</v>
      </c>
      <c r="AP199" t="s">
        <v>741</v>
      </c>
      <c r="AQ199" t="s">
        <v>742</v>
      </c>
      <c r="AR199" t="s">
        <v>664</v>
      </c>
      <c r="AS199" t="s">
        <v>964</v>
      </c>
    </row>
    <row r="200" ht="25.5" customHeight="1" spans="1:43">
      <c r="A200" t="s">
        <v>965</v>
      </c>
      <c r="C200" t="s">
        <v>82</v>
      </c>
      <c r="E200" s="3" t="str">
        <f>HYPERLINK("https://app.hypeauditor.com/my-network/influencer/3955010/analytics/instagram/toquederetoque","https://app.hypeauditor.com/my-network/influencer/3955010/analytics/instagram/toquederetoque")</f>
        <v>https://app.hypeauditor.com/my-network/influencer/3955010/analytics/instagram/toquederetoque</v>
      </c>
      <c r="F200" s="3" t="str">
        <f>HYPERLINK("https://www.instagram.com/toquederetoque/reels/","https://www.instagram.com/toquederetoque/reels/")</f>
        <v>https://www.instagram.com/toquederetoque/reels/</v>
      </c>
      <c r="G200" t="s">
        <v>52</v>
      </c>
      <c r="H200" t="s">
        <v>53</v>
      </c>
      <c r="I200" t="s">
        <v>65</v>
      </c>
      <c r="K200" t="s">
        <v>89</v>
      </c>
      <c r="L200" t="s">
        <v>54</v>
      </c>
      <c r="M200">
        <v>1000000</v>
      </c>
      <c r="N200" t="s">
        <v>966</v>
      </c>
      <c r="P200" t="s">
        <v>55</v>
      </c>
      <c r="R200" t="s">
        <v>54</v>
      </c>
      <c r="T200" t="s">
        <v>55</v>
      </c>
      <c r="X200" t="s">
        <v>55</v>
      </c>
      <c r="Z200" t="s">
        <v>54</v>
      </c>
      <c r="AB200" t="s">
        <v>55</v>
      </c>
      <c r="AD200" t="s">
        <v>55</v>
      </c>
      <c r="AF200" t="s">
        <v>55</v>
      </c>
      <c r="AH200" t="s">
        <v>55</v>
      </c>
      <c r="AJ200" t="s">
        <v>54</v>
      </c>
      <c r="AK200">
        <v>100000</v>
      </c>
      <c r="AM200" t="s">
        <v>54</v>
      </c>
      <c r="AN200">
        <v>200</v>
      </c>
      <c r="AO200" t="s">
        <v>54</v>
      </c>
      <c r="AP200" t="s">
        <v>967</v>
      </c>
      <c r="AQ200" t="s">
        <v>968</v>
      </c>
    </row>
    <row r="201" ht="25.5" customHeight="1" spans="5:48">
      <c r="E201" s="3" t="str">
        <f>HYPERLINK("https://app.hypeauditor.com/my-network/influencer/209762/analytics/tiktok/justdodani","https://app.hypeauditor.com/my-network/influencer/209762/analytics/tiktok/justdodani")</f>
        <v>https://app.hypeauditor.com/my-network/influencer/209762/analytics/tiktok/justdodani</v>
      </c>
      <c r="F201" s="3" t="str">
        <f>HYPERLINK("https://www.tiktok.com/@justdodani","https://www.tiktok.com/@justdodani")</f>
        <v>https://www.tiktok.com/@justdodani</v>
      </c>
      <c r="G201" t="s">
        <v>52</v>
      </c>
      <c r="H201" t="s">
        <v>317</v>
      </c>
      <c r="I201" t="s">
        <v>56</v>
      </c>
      <c r="K201" t="s">
        <v>58</v>
      </c>
      <c r="L201" t="s">
        <v>59</v>
      </c>
      <c r="M201">
        <v>193400</v>
      </c>
      <c r="N201" t="s">
        <v>969</v>
      </c>
      <c r="P201" t="s">
        <v>55</v>
      </c>
      <c r="R201" t="s">
        <v>54</v>
      </c>
      <c r="T201" t="s">
        <v>55</v>
      </c>
      <c r="X201" t="s">
        <v>55</v>
      </c>
      <c r="Z201" t="s">
        <v>54</v>
      </c>
      <c r="AB201" t="s">
        <v>55</v>
      </c>
      <c r="AD201" t="s">
        <v>55</v>
      </c>
      <c r="AF201" t="s">
        <v>55</v>
      </c>
      <c r="AH201" t="s">
        <v>55</v>
      </c>
      <c r="AJ201" t="s">
        <v>54</v>
      </c>
      <c r="AK201">
        <v>4200</v>
      </c>
      <c r="AL201">
        <v>0.0511</v>
      </c>
      <c r="AM201" t="s">
        <v>970</v>
      </c>
      <c r="AN201">
        <v>1000</v>
      </c>
      <c r="AO201" t="s">
        <v>971</v>
      </c>
      <c r="AP201" t="s">
        <v>972</v>
      </c>
      <c r="AQ201" t="s">
        <v>55</v>
      </c>
      <c r="AR201" t="s">
        <v>973</v>
      </c>
      <c r="AS201" t="s">
        <v>55</v>
      </c>
      <c r="AV201" t="s">
        <v>960</v>
      </c>
    </row>
    <row r="202" ht="25.5" customHeight="1" spans="5:48">
      <c r="E202" s="3" t="str">
        <f>HYPERLINK("https://app.hypeauditor.com/my-network/influencer/209762/analytics/youtube/UCa07hGqtvLpoUf67a_FUu5Q","https://app.hypeauditor.com/my-network/influencer/209762/analytics/youtube/UCa07hGqtvLpoUf67a_FUu5Q")</f>
        <v>https://app.hypeauditor.com/my-network/influencer/209762/analytics/youtube/UCa07hGqtvLpoUf67a_FUu5Q</v>
      </c>
      <c r="F202" s="3" t="str">
        <f>HYPERLINK("https://www.youtube.com/channel/UCa07hGqtvLpoUf67a_FUu5Q","https://www.youtube.com/channel/UCa07hGqtvLpoUf67a_FUu5Q")</f>
        <v>https://www.youtube.com/channel/UCa07hGqtvLpoUf67a_FUu5Q</v>
      </c>
      <c r="G202" t="s">
        <v>52</v>
      </c>
      <c r="H202" t="s">
        <v>317</v>
      </c>
      <c r="I202" t="s">
        <v>269</v>
      </c>
      <c r="K202" t="s">
        <v>58</v>
      </c>
      <c r="L202" t="s">
        <v>59</v>
      </c>
      <c r="M202">
        <v>9000</v>
      </c>
      <c r="N202" t="s">
        <v>55</v>
      </c>
      <c r="P202" t="s">
        <v>55</v>
      </c>
      <c r="R202" t="s">
        <v>54</v>
      </c>
      <c r="T202" t="s">
        <v>55</v>
      </c>
      <c r="X202" t="s">
        <v>55</v>
      </c>
      <c r="Z202" t="s">
        <v>54</v>
      </c>
      <c r="AB202" t="s">
        <v>55</v>
      </c>
      <c r="AD202" t="s">
        <v>55</v>
      </c>
      <c r="AF202" t="s">
        <v>55</v>
      </c>
      <c r="AH202" t="s">
        <v>55</v>
      </c>
      <c r="AJ202" t="s">
        <v>54</v>
      </c>
      <c r="AK202">
        <v>566</v>
      </c>
      <c r="AL202">
        <v>0.04</v>
      </c>
      <c r="AM202" t="s">
        <v>974</v>
      </c>
      <c r="AO202" t="s">
        <v>975</v>
      </c>
      <c r="AP202" t="s">
        <v>184</v>
      </c>
      <c r="AQ202" t="s">
        <v>185</v>
      </c>
      <c r="AR202" t="s">
        <v>184</v>
      </c>
      <c r="AS202" t="s">
        <v>185</v>
      </c>
      <c r="AV202" t="s">
        <v>960</v>
      </c>
    </row>
    <row r="203" ht="25.5" customHeight="1" spans="1:45">
      <c r="A203" t="s">
        <v>976</v>
      </c>
      <c r="C203" t="s">
        <v>82</v>
      </c>
      <c r="E203" s="3" t="str">
        <f>HYPERLINK("https://app.hypeauditor.com/my-network/influencer/426820/analytics/youtube/UC6njEey49emrxFSzxPoKwFg","https://app.hypeauditor.com/my-network/influencer/426820/analytics/youtube/UC6njEey49emrxFSzxPoKwFg")</f>
        <v>https://app.hypeauditor.com/my-network/influencer/426820/analytics/youtube/UC6njEey49emrxFSzxPoKwFg</v>
      </c>
      <c r="F203" s="3" t="str">
        <f>HYPERLINK("https://www.instagram.com/caffe_design/reels/","https://www.instagram.com/caffe_design/reels/")</f>
        <v>https://www.instagram.com/caffe_design/reels/</v>
      </c>
      <c r="G203" t="s">
        <v>52</v>
      </c>
      <c r="H203" t="s">
        <v>53</v>
      </c>
      <c r="I203" t="s">
        <v>65</v>
      </c>
      <c r="K203" t="s">
        <v>89</v>
      </c>
      <c r="L203" t="s">
        <v>54</v>
      </c>
      <c r="M203">
        <v>196000</v>
      </c>
      <c r="N203" t="s">
        <v>977</v>
      </c>
      <c r="P203" t="s">
        <v>55</v>
      </c>
      <c r="R203" t="s">
        <v>54</v>
      </c>
      <c r="T203" t="s">
        <v>55</v>
      </c>
      <c r="X203" t="s">
        <v>55</v>
      </c>
      <c r="Z203" t="s">
        <v>54</v>
      </c>
      <c r="AB203" t="s">
        <v>55</v>
      </c>
      <c r="AD203" t="s">
        <v>55</v>
      </c>
      <c r="AF203" t="s">
        <v>55</v>
      </c>
      <c r="AH203" t="s">
        <v>55</v>
      </c>
      <c r="AJ203" t="s">
        <v>54</v>
      </c>
      <c r="AK203">
        <v>100000</v>
      </c>
      <c r="AL203">
        <v>0.0146</v>
      </c>
      <c r="AM203" t="s">
        <v>978</v>
      </c>
      <c r="AN203">
        <v>1000</v>
      </c>
      <c r="AO203" t="s">
        <v>979</v>
      </c>
      <c r="AP203" t="s">
        <v>139</v>
      </c>
      <c r="AQ203" t="s">
        <v>140</v>
      </c>
      <c r="AR203" t="s">
        <v>980</v>
      </c>
      <c r="AS203" t="s">
        <v>55</v>
      </c>
    </row>
    <row r="204" ht="25.5" customHeight="1" spans="1:45">
      <c r="A204" t="s">
        <v>981</v>
      </c>
      <c r="C204" t="s">
        <v>72</v>
      </c>
      <c r="E204" s="3" t="str">
        <f>HYPERLINK("https://app.hypeauditor.com/my-network/influencer/603266/analytics/instagram/marshawnevans","https://app.hypeauditor.com/my-network/influencer/603266/analytics/instagram/marshawnevans")</f>
        <v>https://app.hypeauditor.com/my-network/influencer/603266/analytics/instagram/marshawnevans</v>
      </c>
      <c r="F204" s="3" t="str">
        <f>HYPERLINK("https://www.instagram.com/marshawnevans/","https://www.instagram.com/marshawnevans/")</f>
        <v>https://www.instagram.com/marshawnevans/</v>
      </c>
      <c r="G204" t="s">
        <v>52</v>
      </c>
      <c r="H204" t="s">
        <v>317</v>
      </c>
      <c r="I204" t="s">
        <v>65</v>
      </c>
      <c r="K204" t="s">
        <v>58</v>
      </c>
      <c r="L204" t="s">
        <v>59</v>
      </c>
      <c r="M204">
        <v>101100</v>
      </c>
      <c r="N204" t="s">
        <v>982</v>
      </c>
      <c r="P204" t="s">
        <v>55</v>
      </c>
      <c r="R204" t="s">
        <v>54</v>
      </c>
      <c r="T204" t="s">
        <v>55</v>
      </c>
      <c r="X204" t="s">
        <v>55</v>
      </c>
      <c r="Z204" t="s">
        <v>54</v>
      </c>
      <c r="AB204" t="s">
        <v>55</v>
      </c>
      <c r="AD204" t="s">
        <v>55</v>
      </c>
      <c r="AF204" t="s">
        <v>55</v>
      </c>
      <c r="AH204" t="s">
        <v>55</v>
      </c>
      <c r="AJ204" t="s">
        <v>54</v>
      </c>
      <c r="AK204">
        <v>4900</v>
      </c>
      <c r="AL204">
        <v>0.004</v>
      </c>
      <c r="AM204" t="s">
        <v>983</v>
      </c>
      <c r="AN204">
        <v>50</v>
      </c>
      <c r="AO204" t="s">
        <v>984</v>
      </c>
      <c r="AP204" t="s">
        <v>535</v>
      </c>
      <c r="AQ204" t="s">
        <v>536</v>
      </c>
      <c r="AR204" t="s">
        <v>985</v>
      </c>
      <c r="AS204" t="s">
        <v>986</v>
      </c>
    </row>
    <row r="205" ht="25.5" customHeight="1" spans="5:48">
      <c r="E205" s="3" t="str">
        <f>HYPERLINK("https://app.hypeauditor.com/my-network/influencer/384671/analytics/youtube/UC18WQbNSfrqxlIjKeIW3bGQ","https://app.hypeauditor.com/my-network/influencer/384671/analytics/youtube/UC18WQbNSfrqxlIjKeIW3bGQ")</f>
        <v>https://app.hypeauditor.com/my-network/influencer/384671/analytics/youtube/UC18WQbNSfrqxlIjKeIW3bGQ</v>
      </c>
      <c r="F205" s="3" t="str">
        <f>HYPERLINK("https://www.youtube.com/channel/UC18WQbNSfrqxlIjKeIW3bGQ","https://www.youtube.com/channel/UC18WQbNSfrqxlIjKeIW3bGQ")</f>
        <v>https://www.youtube.com/channel/UC18WQbNSfrqxlIjKeIW3bGQ</v>
      </c>
      <c r="G205" t="s">
        <v>52</v>
      </c>
      <c r="H205" t="s">
        <v>773</v>
      </c>
      <c r="I205" t="s">
        <v>269</v>
      </c>
      <c r="J205" t="s">
        <v>423</v>
      </c>
      <c r="L205" t="s">
        <v>54</v>
      </c>
      <c r="M205">
        <v>984500</v>
      </c>
      <c r="N205" t="s">
        <v>987</v>
      </c>
      <c r="P205" t="s">
        <v>55</v>
      </c>
      <c r="R205" t="s">
        <v>54</v>
      </c>
      <c r="T205" t="s">
        <v>55</v>
      </c>
      <c r="X205" t="s">
        <v>55</v>
      </c>
      <c r="Z205" t="s">
        <v>54</v>
      </c>
      <c r="AB205" t="s">
        <v>55</v>
      </c>
      <c r="AD205" t="s">
        <v>55</v>
      </c>
      <c r="AF205" t="s">
        <v>55</v>
      </c>
      <c r="AH205" t="s">
        <v>55</v>
      </c>
      <c r="AJ205" t="s">
        <v>54</v>
      </c>
      <c r="AK205">
        <v>35500</v>
      </c>
      <c r="AL205">
        <v>0.0551</v>
      </c>
      <c r="AM205" t="s">
        <v>988</v>
      </c>
      <c r="AO205" t="s">
        <v>989</v>
      </c>
      <c r="AP205" t="s">
        <v>184</v>
      </c>
      <c r="AQ205" t="s">
        <v>185</v>
      </c>
      <c r="AR205" t="s">
        <v>184</v>
      </c>
      <c r="AS205" t="s">
        <v>185</v>
      </c>
      <c r="AV205" t="s">
        <v>868</v>
      </c>
    </row>
    <row r="206" ht="25.5" customHeight="1" spans="1:41">
      <c r="A206" t="s">
        <v>990</v>
      </c>
      <c r="E206" s="3"/>
      <c r="F206" s="3" t="str">
        <f>HYPERLINK("https://app.usefoam.com/shared/t/7dd4168a?view=card","https://app.usefoam.com/shared/t/7dd4168a?view=card")</f>
        <v>https://app.usefoam.com/shared/t/7dd4168a?view=card</v>
      </c>
      <c r="G206" t="s">
        <v>52</v>
      </c>
      <c r="H206" t="s">
        <v>53</v>
      </c>
      <c r="L206" t="s">
        <v>54</v>
      </c>
      <c r="P206" t="s">
        <v>55</v>
      </c>
      <c r="R206" t="s">
        <v>54</v>
      </c>
      <c r="T206" t="s">
        <v>55</v>
      </c>
      <c r="X206" t="s">
        <v>55</v>
      </c>
      <c r="Z206" t="s">
        <v>54</v>
      </c>
      <c r="AB206" t="s">
        <v>55</v>
      </c>
      <c r="AD206" t="s">
        <v>55</v>
      </c>
      <c r="AF206" t="s">
        <v>55</v>
      </c>
      <c r="AH206" t="s">
        <v>55</v>
      </c>
      <c r="AJ206" t="s">
        <v>54</v>
      </c>
      <c r="AM206" t="s">
        <v>54</v>
      </c>
      <c r="AO206" t="s">
        <v>54</v>
      </c>
    </row>
    <row r="207" ht="25.5" customHeight="1" spans="1:48">
      <c r="A207" t="s">
        <v>991</v>
      </c>
      <c r="C207" t="s">
        <v>131</v>
      </c>
      <c r="E207" s="3" t="str">
        <f>HYPERLINK("https://app.hypeauditor.com/my-network/influencer/13099767/analytics/tiktok/will.mov","https://app.hypeauditor.com/my-network/influencer/13099767/analytics/tiktok/will.mov")</f>
        <v>https://app.hypeauditor.com/my-network/influencer/13099767/analytics/tiktok/will.mov</v>
      </c>
      <c r="F207" s="3" t="str">
        <f>HYPERLINK("https://www.tiktok.com/@will.mov","https://www.tiktok.com/@will.mov")</f>
        <v>https://www.tiktok.com/@will.mov</v>
      </c>
      <c r="G207" t="s">
        <v>52</v>
      </c>
      <c r="H207" t="s">
        <v>53</v>
      </c>
      <c r="I207" t="s">
        <v>56</v>
      </c>
      <c r="J207" t="s">
        <v>57</v>
      </c>
      <c r="K207" t="s">
        <v>58</v>
      </c>
      <c r="L207" t="s">
        <v>59</v>
      </c>
      <c r="M207">
        <v>236100</v>
      </c>
      <c r="N207" t="s">
        <v>992</v>
      </c>
      <c r="P207" t="s">
        <v>55</v>
      </c>
      <c r="R207" t="s">
        <v>54</v>
      </c>
      <c r="T207" t="s">
        <v>55</v>
      </c>
      <c r="X207" t="s">
        <v>55</v>
      </c>
      <c r="Z207" t="s">
        <v>54</v>
      </c>
      <c r="AB207" t="s">
        <v>55</v>
      </c>
      <c r="AD207" t="s">
        <v>55</v>
      </c>
      <c r="AF207" t="s">
        <v>55</v>
      </c>
      <c r="AH207" t="s">
        <v>55</v>
      </c>
      <c r="AJ207" t="s">
        <v>54</v>
      </c>
      <c r="AK207">
        <v>49100</v>
      </c>
      <c r="AL207">
        <v>0.0583</v>
      </c>
      <c r="AM207" t="s">
        <v>993</v>
      </c>
      <c r="AN207">
        <v>500</v>
      </c>
      <c r="AO207" t="s">
        <v>994</v>
      </c>
      <c r="AP207" t="s">
        <v>995</v>
      </c>
      <c r="AQ207" t="s">
        <v>996</v>
      </c>
      <c r="AR207" t="s">
        <v>997</v>
      </c>
      <c r="AS207" t="s">
        <v>998</v>
      </c>
      <c r="AV207" t="s">
        <v>990</v>
      </c>
    </row>
    <row r="208" ht="25.5" customHeight="1" spans="1:48">
      <c r="A208" t="s">
        <v>999</v>
      </c>
      <c r="C208" t="s">
        <v>131</v>
      </c>
      <c r="E208" s="3" t="str">
        <f>HYPERLINK("https://app.hypeauditor.com/my-network/influencer/695557/analytics/tiktok/vveoko","https://app.hypeauditor.com/my-network/influencer/695557/analytics/tiktok/vveoko")</f>
        <v>https://app.hypeauditor.com/my-network/influencer/695557/analytics/tiktok/vveoko</v>
      </c>
      <c r="F208" s="3" t="str">
        <f>HYPERLINK("https://www.tiktok.com/@vveoko","https://www.tiktok.com/@vveoko")</f>
        <v>https://www.tiktok.com/@vveoko</v>
      </c>
      <c r="G208" t="s">
        <v>52</v>
      </c>
      <c r="H208" t="s">
        <v>53</v>
      </c>
      <c r="I208" t="s">
        <v>56</v>
      </c>
      <c r="J208" t="s">
        <v>57</v>
      </c>
      <c r="K208" t="s">
        <v>58</v>
      </c>
      <c r="L208" t="s">
        <v>59</v>
      </c>
      <c r="M208">
        <v>792600</v>
      </c>
      <c r="N208" t="s">
        <v>1000</v>
      </c>
      <c r="P208" t="s">
        <v>55</v>
      </c>
      <c r="R208" t="s">
        <v>54</v>
      </c>
      <c r="T208" t="s">
        <v>55</v>
      </c>
      <c r="X208" t="s">
        <v>55</v>
      </c>
      <c r="Z208" t="s">
        <v>54</v>
      </c>
      <c r="AB208" t="s">
        <v>55</v>
      </c>
      <c r="AD208" t="s">
        <v>55</v>
      </c>
      <c r="AF208" t="s">
        <v>55</v>
      </c>
      <c r="AH208" t="s">
        <v>55</v>
      </c>
      <c r="AJ208" t="s">
        <v>54</v>
      </c>
      <c r="AK208">
        <v>84000</v>
      </c>
      <c r="AL208">
        <v>0.0363</v>
      </c>
      <c r="AM208" t="s">
        <v>1001</v>
      </c>
      <c r="AN208">
        <v>800</v>
      </c>
      <c r="AO208" t="s">
        <v>1002</v>
      </c>
      <c r="AP208" t="s">
        <v>334</v>
      </c>
      <c r="AQ208" t="s">
        <v>754</v>
      </c>
      <c r="AR208" t="s">
        <v>1003</v>
      </c>
      <c r="AS208" t="s">
        <v>55</v>
      </c>
      <c r="AV208" t="s">
        <v>990</v>
      </c>
    </row>
    <row r="209" ht="25.5" customHeight="1" spans="1:48">
      <c r="A209" t="s">
        <v>1004</v>
      </c>
      <c r="C209" t="s">
        <v>72</v>
      </c>
      <c r="E209" s="3" t="str">
        <f>HYPERLINK("https://app.hypeauditor.com/my-network/influencer/840924/analytics/tiktok/gutzyaiden","https://app.hypeauditor.com/my-network/influencer/840924/analytics/tiktok/gutzyaiden")</f>
        <v>https://app.hypeauditor.com/my-network/influencer/840924/analytics/tiktok/gutzyaiden</v>
      </c>
      <c r="F209" s="3" t="str">
        <f>HYPERLINK("https://www.tiktok.com/@gutzyaiden","https://www.tiktok.com/@gutzyaiden")</f>
        <v>https://www.tiktok.com/@gutzyaiden</v>
      </c>
      <c r="G209" t="s">
        <v>52</v>
      </c>
      <c r="H209" t="s">
        <v>53</v>
      </c>
      <c r="K209" t="s">
        <v>58</v>
      </c>
      <c r="L209" t="s">
        <v>59</v>
      </c>
      <c r="P209" t="s">
        <v>55</v>
      </c>
      <c r="R209" t="s">
        <v>54</v>
      </c>
      <c r="T209" t="s">
        <v>55</v>
      </c>
      <c r="X209" t="s">
        <v>55</v>
      </c>
      <c r="Z209" t="s">
        <v>54</v>
      </c>
      <c r="AB209" t="s">
        <v>55</v>
      </c>
      <c r="AD209" t="s">
        <v>55</v>
      </c>
      <c r="AF209" t="s">
        <v>55</v>
      </c>
      <c r="AH209" t="s">
        <v>55</v>
      </c>
      <c r="AJ209" t="s">
        <v>54</v>
      </c>
      <c r="AK209">
        <v>7200</v>
      </c>
      <c r="AM209" t="s">
        <v>54</v>
      </c>
      <c r="AN209">
        <v>100</v>
      </c>
      <c r="AO209" t="s">
        <v>54</v>
      </c>
      <c r="AP209" t="s">
        <v>1005</v>
      </c>
      <c r="AQ209" t="s">
        <v>1006</v>
      </c>
      <c r="AV209" t="s">
        <v>990</v>
      </c>
    </row>
    <row r="210" ht="25.5" customHeight="1" spans="1:48">
      <c r="A210" t="s">
        <v>1007</v>
      </c>
      <c r="C210" t="s">
        <v>144</v>
      </c>
      <c r="E210" s="3"/>
      <c r="F210" s="3"/>
      <c r="G210" t="s">
        <v>52</v>
      </c>
      <c r="H210" t="s">
        <v>53</v>
      </c>
      <c r="L210" t="s">
        <v>54</v>
      </c>
      <c r="P210" t="s">
        <v>55</v>
      </c>
      <c r="R210" t="s">
        <v>54</v>
      </c>
      <c r="T210" t="s">
        <v>55</v>
      </c>
      <c r="X210" t="s">
        <v>55</v>
      </c>
      <c r="Z210" t="s">
        <v>54</v>
      </c>
      <c r="AB210" t="s">
        <v>55</v>
      </c>
      <c r="AD210" t="s">
        <v>55</v>
      </c>
      <c r="AF210" t="s">
        <v>55</v>
      </c>
      <c r="AH210" t="s">
        <v>55</v>
      </c>
      <c r="AJ210" t="s">
        <v>54</v>
      </c>
      <c r="AM210" t="s">
        <v>54</v>
      </c>
      <c r="AO210" t="s">
        <v>54</v>
      </c>
      <c r="AV210" t="s">
        <v>990</v>
      </c>
    </row>
    <row r="211" ht="25.5" customHeight="1" spans="1:48">
      <c r="A211" t="s">
        <v>1008</v>
      </c>
      <c r="C211" t="s">
        <v>144</v>
      </c>
      <c r="E211" s="3" t="str">
        <f>HYPERLINK("https://app.hypeauditor.com/my-network/influencer/571667/analytics/tiktok/lough","https://app.hypeauditor.com/my-network/influencer/571667/analytics/tiktok/lough")</f>
        <v>https://app.hypeauditor.com/my-network/influencer/571667/analytics/tiktok/lough</v>
      </c>
      <c r="F211" s="3" t="str">
        <f>HYPERLINK("https://www.tiktok.com/@lough","https://www.tiktok.com/@lough")</f>
        <v>https://www.tiktok.com/@lough</v>
      </c>
      <c r="G211" t="s">
        <v>52</v>
      </c>
      <c r="H211" t="s">
        <v>53</v>
      </c>
      <c r="I211" t="s">
        <v>56</v>
      </c>
      <c r="K211" t="s">
        <v>58</v>
      </c>
      <c r="L211" t="s">
        <v>59</v>
      </c>
      <c r="P211" t="s">
        <v>55</v>
      </c>
      <c r="R211" t="s">
        <v>54</v>
      </c>
      <c r="T211" t="s">
        <v>55</v>
      </c>
      <c r="X211" t="s">
        <v>55</v>
      </c>
      <c r="Z211" t="s">
        <v>54</v>
      </c>
      <c r="AB211" t="s">
        <v>55</v>
      </c>
      <c r="AD211" t="s">
        <v>55</v>
      </c>
      <c r="AF211" t="s">
        <v>55</v>
      </c>
      <c r="AH211" t="s">
        <v>55</v>
      </c>
      <c r="AJ211" t="s">
        <v>54</v>
      </c>
      <c r="AK211">
        <v>19300</v>
      </c>
      <c r="AM211" t="s">
        <v>54</v>
      </c>
      <c r="AN211">
        <v>200</v>
      </c>
      <c r="AO211" t="s">
        <v>54</v>
      </c>
      <c r="AP211" t="s">
        <v>1009</v>
      </c>
      <c r="AQ211" t="s">
        <v>1010</v>
      </c>
      <c r="AV211" t="s">
        <v>990</v>
      </c>
    </row>
    <row r="212" ht="25.5" customHeight="1" spans="1:48">
      <c r="A212" t="s">
        <v>1011</v>
      </c>
      <c r="C212" t="s">
        <v>144</v>
      </c>
      <c r="E212" s="3" t="str">
        <f>HYPERLINK("https://app.hypeauditor.com/my-network/influencer/849726/analytics/tiktok/jhawktiktok","https://app.hypeauditor.com/my-network/influencer/849726/analytics/tiktok/jhawktiktok")</f>
        <v>https://app.hypeauditor.com/my-network/influencer/849726/analytics/tiktok/jhawktiktok</v>
      </c>
      <c r="F212" s="3" t="str">
        <f>HYPERLINK("https://www.tiktok.com/@jhawktiktok","https://www.tiktok.com/@jhawktiktok")</f>
        <v>https://www.tiktok.com/@jhawktiktok</v>
      </c>
      <c r="G212" t="s">
        <v>52</v>
      </c>
      <c r="H212" t="s">
        <v>53</v>
      </c>
      <c r="I212" t="s">
        <v>56</v>
      </c>
      <c r="K212" t="s">
        <v>58</v>
      </c>
      <c r="L212" t="s">
        <v>59</v>
      </c>
      <c r="P212" t="s">
        <v>55</v>
      </c>
      <c r="R212" t="s">
        <v>54</v>
      </c>
      <c r="T212" t="s">
        <v>55</v>
      </c>
      <c r="X212" t="s">
        <v>55</v>
      </c>
      <c r="Z212" t="s">
        <v>54</v>
      </c>
      <c r="AB212" t="s">
        <v>55</v>
      </c>
      <c r="AD212" t="s">
        <v>55</v>
      </c>
      <c r="AF212" t="s">
        <v>55</v>
      </c>
      <c r="AH212" t="s">
        <v>55</v>
      </c>
      <c r="AJ212" t="s">
        <v>54</v>
      </c>
      <c r="AK212">
        <v>12200</v>
      </c>
      <c r="AM212" t="s">
        <v>54</v>
      </c>
      <c r="AN212">
        <v>120</v>
      </c>
      <c r="AO212" t="s">
        <v>54</v>
      </c>
      <c r="AP212" t="s">
        <v>1012</v>
      </c>
      <c r="AQ212" t="s">
        <v>1013</v>
      </c>
      <c r="AV212" t="s">
        <v>990</v>
      </c>
    </row>
    <row r="213" ht="25.5" customHeight="1" spans="1:48">
      <c r="A213" t="s">
        <v>1014</v>
      </c>
      <c r="C213" t="s">
        <v>144</v>
      </c>
      <c r="E213" s="3" t="str">
        <f>HYPERLINK("https://app.hypeauditor.com/my-network/influencer/612805/analytics/tiktok/gemzape.gg","https://app.hypeauditor.com/my-network/influencer/612805/analytics/tiktok/gemzape.gg")</f>
        <v>https://app.hypeauditor.com/my-network/influencer/612805/analytics/tiktok/gemzape.gg</v>
      </c>
      <c r="F213" s="3" t="str">
        <f>HYPERLINK("https://www.tiktok.com/@gemzape.gg","https://www.tiktok.com/@gemzape.gg")</f>
        <v>https://www.tiktok.com/@gemzape.gg</v>
      </c>
      <c r="G213" t="s">
        <v>52</v>
      </c>
      <c r="H213" t="s">
        <v>53</v>
      </c>
      <c r="I213" t="s">
        <v>56</v>
      </c>
      <c r="K213" t="s">
        <v>58</v>
      </c>
      <c r="L213" t="s">
        <v>59</v>
      </c>
      <c r="P213" t="s">
        <v>55</v>
      </c>
      <c r="R213" t="s">
        <v>54</v>
      </c>
      <c r="T213" t="s">
        <v>55</v>
      </c>
      <c r="X213" t="s">
        <v>55</v>
      </c>
      <c r="Z213" t="s">
        <v>54</v>
      </c>
      <c r="AB213" t="s">
        <v>55</v>
      </c>
      <c r="AD213" t="s">
        <v>55</v>
      </c>
      <c r="AF213" t="s">
        <v>55</v>
      </c>
      <c r="AH213" t="s">
        <v>55</v>
      </c>
      <c r="AJ213" t="s">
        <v>54</v>
      </c>
      <c r="AK213">
        <v>6700</v>
      </c>
      <c r="AM213" t="s">
        <v>54</v>
      </c>
      <c r="AN213">
        <v>100</v>
      </c>
      <c r="AO213" t="s">
        <v>54</v>
      </c>
      <c r="AP213" t="s">
        <v>1015</v>
      </c>
      <c r="AQ213" t="s">
        <v>1016</v>
      </c>
      <c r="AV213" t="s">
        <v>990</v>
      </c>
    </row>
    <row r="214" ht="25.5" customHeight="1" spans="1:45">
      <c r="A214" t="s">
        <v>1017</v>
      </c>
      <c r="C214" t="s">
        <v>72</v>
      </c>
      <c r="E214" s="3" t="str">
        <f>HYPERLINK("https://app.hypeauditor.com/my-network/influencer/72629/analytics/instagram/topesdegama","https://app.hypeauditor.com/my-network/influencer/72629/analytics/instagram/topesdegama")</f>
        <v>https://app.hypeauditor.com/my-network/influencer/72629/analytics/instagram/topesdegama</v>
      </c>
      <c r="F214" s="3" t="str">
        <f>HYPERLINK("https://www.tiktok.com/@topesdegama?lang=es","https://www.tiktok.com/@topesdegama?lang=es")</f>
        <v>https://www.tiktok.com/@topesdegama?lang=es</v>
      </c>
      <c r="G214" t="s">
        <v>52</v>
      </c>
      <c r="H214" t="s">
        <v>53</v>
      </c>
      <c r="I214" t="s">
        <v>56</v>
      </c>
      <c r="J214" t="s">
        <v>57</v>
      </c>
      <c r="K214" t="s">
        <v>89</v>
      </c>
      <c r="L214" t="s">
        <v>54</v>
      </c>
      <c r="M214">
        <v>1300000</v>
      </c>
      <c r="N214" t="s">
        <v>776</v>
      </c>
      <c r="P214" t="s">
        <v>55</v>
      </c>
      <c r="R214" t="s">
        <v>54</v>
      </c>
      <c r="T214" t="s">
        <v>55</v>
      </c>
      <c r="X214" t="s">
        <v>55</v>
      </c>
      <c r="Z214" t="s">
        <v>54</v>
      </c>
      <c r="AB214" t="s">
        <v>55</v>
      </c>
      <c r="AD214" t="s">
        <v>55</v>
      </c>
      <c r="AF214" t="s">
        <v>55</v>
      </c>
      <c r="AH214" t="s">
        <v>55</v>
      </c>
      <c r="AJ214" t="s">
        <v>54</v>
      </c>
      <c r="AK214">
        <v>185900</v>
      </c>
      <c r="AL214">
        <v>0.0542</v>
      </c>
      <c r="AM214" t="s">
        <v>1018</v>
      </c>
      <c r="AN214">
        <v>2000</v>
      </c>
      <c r="AO214" t="s">
        <v>1019</v>
      </c>
      <c r="AP214" t="s">
        <v>1020</v>
      </c>
      <c r="AQ214" t="s">
        <v>1021</v>
      </c>
      <c r="AR214" t="s">
        <v>1022</v>
      </c>
      <c r="AS214" t="s">
        <v>1023</v>
      </c>
    </row>
    <row r="215" ht="25.5" customHeight="1" spans="1:45">
      <c r="A215" t="s">
        <v>1024</v>
      </c>
      <c r="C215" t="s">
        <v>144</v>
      </c>
      <c r="E215" s="3" t="str">
        <f>HYPERLINK("https://app.hypeauditor.com/my-network/influencer/32792141/analytics/tiktok/tech_zumo","https://app.hypeauditor.com/my-network/influencer/32792141/analytics/tiktok/tech_zumo")</f>
        <v>https://app.hypeauditor.com/my-network/influencer/32792141/analytics/tiktok/tech_zumo</v>
      </c>
      <c r="F215" s="3" t="str">
        <f>HYPERLINK("https://www.tiktok.com/@tech_zumo","https://www.tiktok.com/@tech_zumo")</f>
        <v>https://www.tiktok.com/@tech_zumo</v>
      </c>
      <c r="G215" t="s">
        <v>52</v>
      </c>
      <c r="H215" t="s">
        <v>773</v>
      </c>
      <c r="I215" t="s">
        <v>56</v>
      </c>
      <c r="K215" t="s">
        <v>97</v>
      </c>
      <c r="L215" t="s">
        <v>54</v>
      </c>
      <c r="M215">
        <v>54100</v>
      </c>
      <c r="N215" t="s">
        <v>55</v>
      </c>
      <c r="P215" t="s">
        <v>55</v>
      </c>
      <c r="R215" t="s">
        <v>54</v>
      </c>
      <c r="T215" t="s">
        <v>55</v>
      </c>
      <c r="X215" t="s">
        <v>55</v>
      </c>
      <c r="Z215" t="s">
        <v>54</v>
      </c>
      <c r="AB215" t="s">
        <v>55</v>
      </c>
      <c r="AD215" t="s">
        <v>55</v>
      </c>
      <c r="AF215" t="s">
        <v>55</v>
      </c>
      <c r="AH215" t="s">
        <v>55</v>
      </c>
      <c r="AJ215" t="s">
        <v>54</v>
      </c>
      <c r="AK215">
        <v>15600</v>
      </c>
      <c r="AL215">
        <v>0.0138</v>
      </c>
      <c r="AM215" t="s">
        <v>1025</v>
      </c>
      <c r="AN215">
        <v>690</v>
      </c>
      <c r="AO215" t="s">
        <v>1026</v>
      </c>
      <c r="AP215" t="s">
        <v>1027</v>
      </c>
      <c r="AQ215" t="s">
        <v>55</v>
      </c>
      <c r="AR215" t="s">
        <v>1028</v>
      </c>
      <c r="AS215" t="s">
        <v>55</v>
      </c>
    </row>
    <row r="216" ht="25.5" customHeight="1" spans="5:48">
      <c r="E216" s="3" t="str">
        <f>HYPERLINK("https://app.hypeauditor.com/my-network/influencer/4229457/analytics/instagram/tech_zumo","https://app.hypeauditor.com/my-network/influencer/4229457/analytics/instagram/tech_zumo")</f>
        <v>https://app.hypeauditor.com/my-network/influencer/4229457/analytics/instagram/tech_zumo</v>
      </c>
      <c r="F216" s="3" t="str">
        <f>HYPERLINK("https://www.instagram.com/tech_zumo/reels/","https://www.instagram.com/tech_zumo/reels/")</f>
        <v>https://www.instagram.com/tech_zumo/reels/</v>
      </c>
      <c r="G216" t="s">
        <v>52</v>
      </c>
      <c r="H216" t="s">
        <v>773</v>
      </c>
      <c r="I216" t="s">
        <v>65</v>
      </c>
      <c r="L216" t="s">
        <v>54</v>
      </c>
      <c r="M216">
        <v>57400</v>
      </c>
      <c r="N216" t="s">
        <v>55</v>
      </c>
      <c r="P216" t="s">
        <v>55</v>
      </c>
      <c r="R216" t="s">
        <v>54</v>
      </c>
      <c r="T216" t="s">
        <v>55</v>
      </c>
      <c r="X216" t="s">
        <v>55</v>
      </c>
      <c r="Z216" t="s">
        <v>54</v>
      </c>
      <c r="AB216" t="s">
        <v>55</v>
      </c>
      <c r="AD216" t="s">
        <v>55</v>
      </c>
      <c r="AF216" t="s">
        <v>55</v>
      </c>
      <c r="AH216" t="s">
        <v>55</v>
      </c>
      <c r="AJ216" t="s">
        <v>54</v>
      </c>
      <c r="AK216">
        <v>40400</v>
      </c>
      <c r="AL216">
        <v>0.0033</v>
      </c>
      <c r="AM216" t="s">
        <v>1029</v>
      </c>
      <c r="AN216">
        <v>690</v>
      </c>
      <c r="AO216" t="s">
        <v>1030</v>
      </c>
      <c r="AP216" t="s">
        <v>1031</v>
      </c>
      <c r="AQ216" t="s">
        <v>1032</v>
      </c>
      <c r="AR216" t="s">
        <v>1033</v>
      </c>
      <c r="AS216" t="s">
        <v>55</v>
      </c>
      <c r="AV216" t="s">
        <v>1024</v>
      </c>
    </row>
    <row r="217" ht="25.5" customHeight="1" spans="5:48">
      <c r="E217" s="3" t="str">
        <f>HYPERLINK("https://app.hypeauditor.com/my-network/influencer/4229457/analytics/youtube/UCUNV56p49LQIMfE4HakiMKA","https://app.hypeauditor.com/my-network/influencer/4229457/analytics/youtube/UCUNV56p49LQIMfE4HakiMKA")</f>
        <v>https://app.hypeauditor.com/my-network/influencer/4229457/analytics/youtube/UCUNV56p49LQIMfE4HakiMKA</v>
      </c>
      <c r="F217" s="3" t="str">
        <f>HYPERLINK("https://www.youtube.com/channel/UCUNV56p49LQIMfE4HakiMKA","https://www.youtube.com/channel/UCUNV56p49LQIMfE4HakiMKA")</f>
        <v>https://www.youtube.com/channel/UCUNV56p49LQIMfE4HakiMKA</v>
      </c>
      <c r="G217" t="s">
        <v>52</v>
      </c>
      <c r="H217" t="s">
        <v>773</v>
      </c>
      <c r="I217" t="s">
        <v>269</v>
      </c>
      <c r="L217" t="s">
        <v>54</v>
      </c>
      <c r="M217">
        <v>98700</v>
      </c>
      <c r="N217" t="s">
        <v>55</v>
      </c>
      <c r="P217" t="s">
        <v>55</v>
      </c>
      <c r="R217" t="s">
        <v>54</v>
      </c>
      <c r="T217" t="s">
        <v>55</v>
      </c>
      <c r="X217" t="s">
        <v>55</v>
      </c>
      <c r="Z217" t="s">
        <v>54</v>
      </c>
      <c r="AB217" t="s">
        <v>55</v>
      </c>
      <c r="AD217" t="s">
        <v>55</v>
      </c>
      <c r="AF217" t="s">
        <v>55</v>
      </c>
      <c r="AH217" t="s">
        <v>55</v>
      </c>
      <c r="AJ217" t="s">
        <v>54</v>
      </c>
      <c r="AK217">
        <v>26300</v>
      </c>
      <c r="AL217">
        <v>0.0157</v>
      </c>
      <c r="AM217" t="s">
        <v>1034</v>
      </c>
      <c r="AO217" t="s">
        <v>1035</v>
      </c>
      <c r="AP217" t="s">
        <v>184</v>
      </c>
      <c r="AQ217" t="s">
        <v>185</v>
      </c>
      <c r="AR217" t="s">
        <v>184</v>
      </c>
      <c r="AS217" t="s">
        <v>185</v>
      </c>
      <c r="AV217" t="s">
        <v>1024</v>
      </c>
    </row>
    <row r="218" ht="25.5" customHeight="1" spans="1:45">
      <c r="A218" t="s">
        <v>1036</v>
      </c>
      <c r="C218" t="s">
        <v>144</v>
      </c>
      <c r="E218" s="3" t="str">
        <f>HYPERLINK("https://app.hypeauditor.com/my-network/influencer/33241146/analytics/tiktok/zartyk_","https://app.hypeauditor.com/my-network/influencer/33241146/analytics/tiktok/zartyk_")</f>
        <v>https://app.hypeauditor.com/my-network/influencer/33241146/analytics/tiktok/zartyk_</v>
      </c>
      <c r="F218" s="3" t="str">
        <f>HYPERLINK("https://www.tiktok.com/@zartyk_","https://www.tiktok.com/@zartyk_")</f>
        <v>https://www.tiktok.com/@zartyk_</v>
      </c>
      <c r="G218" t="s">
        <v>52</v>
      </c>
      <c r="H218" t="s">
        <v>773</v>
      </c>
      <c r="I218" t="s">
        <v>56</v>
      </c>
      <c r="K218" t="s">
        <v>89</v>
      </c>
      <c r="L218" t="s">
        <v>54</v>
      </c>
      <c r="M218">
        <v>62000</v>
      </c>
      <c r="N218" t="s">
        <v>55</v>
      </c>
      <c r="P218" t="s">
        <v>55</v>
      </c>
      <c r="R218" t="s">
        <v>54</v>
      </c>
      <c r="T218" t="s">
        <v>55</v>
      </c>
      <c r="X218" t="s">
        <v>55</v>
      </c>
      <c r="Z218" t="s">
        <v>54</v>
      </c>
      <c r="AB218" t="s">
        <v>55</v>
      </c>
      <c r="AD218" t="s">
        <v>55</v>
      </c>
      <c r="AF218" t="s">
        <v>55</v>
      </c>
      <c r="AH218" t="s">
        <v>55</v>
      </c>
      <c r="AJ218" t="s">
        <v>54</v>
      </c>
      <c r="AK218">
        <v>4100</v>
      </c>
      <c r="AL218">
        <v>0.1209</v>
      </c>
      <c r="AM218" t="s">
        <v>1037</v>
      </c>
      <c r="AN218">
        <v>100</v>
      </c>
      <c r="AO218" t="s">
        <v>1038</v>
      </c>
      <c r="AP218" t="s">
        <v>1039</v>
      </c>
      <c r="AQ218" t="s">
        <v>55</v>
      </c>
      <c r="AR218" t="s">
        <v>1040</v>
      </c>
      <c r="AS218" t="s">
        <v>1041</v>
      </c>
    </row>
    <row r="219" ht="25.5" customHeight="1" spans="3:48">
      <c r="C219" t="s">
        <v>144</v>
      </c>
      <c r="E219" s="3" t="str">
        <f>HYPERLINK("https://app.hypeauditor.com/my-network/influencer/33305976/analytics/instagram/zartyk_","https://app.hypeauditor.com/my-network/influencer/33305976/analytics/instagram/zartyk_")</f>
        <v>https://app.hypeauditor.com/my-network/influencer/33305976/analytics/instagram/zartyk_</v>
      </c>
      <c r="F219" s="3"/>
      <c r="G219" t="s">
        <v>52</v>
      </c>
      <c r="H219" t="s">
        <v>773</v>
      </c>
      <c r="L219" t="s">
        <v>54</v>
      </c>
      <c r="M219">
        <v>12700</v>
      </c>
      <c r="N219" t="s">
        <v>55</v>
      </c>
      <c r="P219" t="s">
        <v>55</v>
      </c>
      <c r="R219" t="s">
        <v>54</v>
      </c>
      <c r="T219" t="s">
        <v>55</v>
      </c>
      <c r="X219" t="s">
        <v>55</v>
      </c>
      <c r="Z219" t="s">
        <v>54</v>
      </c>
      <c r="AB219" t="s">
        <v>55</v>
      </c>
      <c r="AD219" t="s">
        <v>55</v>
      </c>
      <c r="AF219" t="s">
        <v>55</v>
      </c>
      <c r="AH219" t="s">
        <v>55</v>
      </c>
      <c r="AJ219" t="s">
        <v>54</v>
      </c>
      <c r="AK219">
        <v>649</v>
      </c>
      <c r="AL219">
        <v>0.0031</v>
      </c>
      <c r="AM219" t="s">
        <v>1042</v>
      </c>
      <c r="AO219" t="s">
        <v>1043</v>
      </c>
      <c r="AP219" t="s">
        <v>184</v>
      </c>
      <c r="AQ219" t="s">
        <v>185</v>
      </c>
      <c r="AR219" t="s">
        <v>184</v>
      </c>
      <c r="AS219" t="s">
        <v>185</v>
      </c>
      <c r="AV219" t="s">
        <v>1036</v>
      </c>
    </row>
    <row r="220" ht="25.5" customHeight="1" spans="1:45">
      <c r="A220" t="s">
        <v>1044</v>
      </c>
      <c r="C220" t="s">
        <v>131</v>
      </c>
      <c r="E220" s="3" t="str">
        <f>HYPERLINK("https://app.hypeauditor.com/my-network/influencer/15761439/analytics/tiktok/patrickneaguu","https://app.hypeauditor.com/my-network/influencer/15761439/analytics/tiktok/patrickneaguu")</f>
        <v>https://app.hypeauditor.com/my-network/influencer/15761439/analytics/tiktok/patrickneaguu</v>
      </c>
      <c r="F220" s="3" t="str">
        <f>HYPERLINK("https://www.tiktok.com/@patrickneaguu","https://www.tiktok.com/@patrickneaguu")</f>
        <v>https://www.tiktok.com/@patrickneaguu</v>
      </c>
      <c r="G220" t="s">
        <v>52</v>
      </c>
      <c r="H220" t="s">
        <v>773</v>
      </c>
      <c r="I220" t="s">
        <v>56</v>
      </c>
      <c r="K220" t="s">
        <v>97</v>
      </c>
      <c r="L220" t="s">
        <v>54</v>
      </c>
      <c r="M220">
        <v>192200</v>
      </c>
      <c r="N220" t="s">
        <v>1045</v>
      </c>
      <c r="P220" t="s">
        <v>55</v>
      </c>
      <c r="R220" t="s">
        <v>54</v>
      </c>
      <c r="T220" t="s">
        <v>55</v>
      </c>
      <c r="X220" t="s">
        <v>55</v>
      </c>
      <c r="Z220" t="s">
        <v>54</v>
      </c>
      <c r="AB220" t="s">
        <v>55</v>
      </c>
      <c r="AD220" t="s">
        <v>55</v>
      </c>
      <c r="AF220" t="s">
        <v>55</v>
      </c>
      <c r="AH220" t="s">
        <v>55</v>
      </c>
      <c r="AJ220" t="s">
        <v>54</v>
      </c>
      <c r="AK220">
        <v>16200</v>
      </c>
      <c r="AL220">
        <v>0.0355</v>
      </c>
      <c r="AM220" t="s">
        <v>1046</v>
      </c>
      <c r="AN220">
        <v>900</v>
      </c>
      <c r="AO220" t="s">
        <v>1047</v>
      </c>
      <c r="AP220" t="s">
        <v>1048</v>
      </c>
      <c r="AQ220" t="s">
        <v>55</v>
      </c>
      <c r="AR220" t="s">
        <v>1049</v>
      </c>
      <c r="AS220" t="s">
        <v>55</v>
      </c>
    </row>
    <row r="221" ht="25.5" customHeight="1" spans="5:48">
      <c r="E221" s="3"/>
      <c r="F221" s="3"/>
      <c r="G221" t="s">
        <v>52</v>
      </c>
      <c r="H221" t="s">
        <v>773</v>
      </c>
      <c r="I221" t="s">
        <v>65</v>
      </c>
      <c r="L221" t="s">
        <v>54</v>
      </c>
      <c r="M221">
        <v>38300</v>
      </c>
      <c r="N221" t="s">
        <v>55</v>
      </c>
      <c r="P221" t="s">
        <v>55</v>
      </c>
      <c r="R221" t="s">
        <v>54</v>
      </c>
      <c r="T221" t="s">
        <v>55</v>
      </c>
      <c r="X221" t="s">
        <v>55</v>
      </c>
      <c r="Z221" t="s">
        <v>54</v>
      </c>
      <c r="AB221" t="s">
        <v>55</v>
      </c>
      <c r="AD221" t="s">
        <v>55</v>
      </c>
      <c r="AF221" t="s">
        <v>55</v>
      </c>
      <c r="AH221" t="s">
        <v>55</v>
      </c>
      <c r="AJ221" t="s">
        <v>54</v>
      </c>
      <c r="AK221">
        <v>3800</v>
      </c>
      <c r="AL221">
        <v>0.0001</v>
      </c>
      <c r="AM221" t="s">
        <v>1050</v>
      </c>
      <c r="AN221">
        <v>40</v>
      </c>
      <c r="AO221" t="s">
        <v>1051</v>
      </c>
      <c r="AP221" t="s">
        <v>1052</v>
      </c>
      <c r="AQ221" t="s">
        <v>1053</v>
      </c>
      <c r="AR221" t="s">
        <v>1054</v>
      </c>
      <c r="AS221" t="s">
        <v>55</v>
      </c>
      <c r="AV221" t="s">
        <v>1044</v>
      </c>
    </row>
    <row r="222" ht="25.5" customHeight="1" spans="5:48">
      <c r="E222" s="3"/>
      <c r="F222" s="3"/>
      <c r="G222" t="s">
        <v>52</v>
      </c>
      <c r="H222" t="s">
        <v>773</v>
      </c>
      <c r="I222" t="s">
        <v>269</v>
      </c>
      <c r="L222" t="s">
        <v>54</v>
      </c>
      <c r="M222">
        <v>2000</v>
      </c>
      <c r="N222" t="s">
        <v>55</v>
      </c>
      <c r="P222" t="s">
        <v>55</v>
      </c>
      <c r="R222" t="s">
        <v>54</v>
      </c>
      <c r="T222" t="s">
        <v>55</v>
      </c>
      <c r="X222" t="s">
        <v>55</v>
      </c>
      <c r="Z222" t="s">
        <v>54</v>
      </c>
      <c r="AB222" t="s">
        <v>55</v>
      </c>
      <c r="AD222" t="s">
        <v>55</v>
      </c>
      <c r="AF222" t="s">
        <v>55</v>
      </c>
      <c r="AH222" t="s">
        <v>55</v>
      </c>
      <c r="AJ222" t="s">
        <v>54</v>
      </c>
      <c r="AK222">
        <v>2000</v>
      </c>
      <c r="AM222" t="s">
        <v>54</v>
      </c>
      <c r="AO222" t="s">
        <v>54</v>
      </c>
      <c r="AP222" t="s">
        <v>184</v>
      </c>
      <c r="AQ222" t="s">
        <v>185</v>
      </c>
      <c r="AV222" t="s">
        <v>1044</v>
      </c>
    </row>
    <row r="223" ht="25.5" customHeight="1" spans="1:41">
      <c r="A223" t="s">
        <v>1055</v>
      </c>
      <c r="E223" s="3" t="str">
        <f>HYPERLINK("https://app.hypeauditor.com/my-network/influencer/33306405/analytics/instagram/unq_ai","https://app.hypeauditor.com/my-network/influencer/33306405/analytics/instagram/unq_ai")</f>
        <v>https://app.hypeauditor.com/my-network/influencer/33306405/analytics/instagram/unq_ai</v>
      </c>
      <c r="F223" s="3" t="str">
        <f>HYPERLINK("https://www.instagram.com/reel/DDHnpZ-sdeS/","https://www.instagram.com/reel/DDHnpZ-sdeS/")</f>
        <v>https://www.instagram.com/reel/DDHnpZ-sdeS/</v>
      </c>
      <c r="G223" t="s">
        <v>52</v>
      </c>
      <c r="H223" t="s">
        <v>53</v>
      </c>
      <c r="I223" t="s">
        <v>65</v>
      </c>
      <c r="L223" t="s">
        <v>54</v>
      </c>
      <c r="P223" t="s">
        <v>55</v>
      </c>
      <c r="R223" t="s">
        <v>54</v>
      </c>
      <c r="T223" t="s">
        <v>55</v>
      </c>
      <c r="X223" t="s">
        <v>55</v>
      </c>
      <c r="Z223" t="s">
        <v>54</v>
      </c>
      <c r="AB223" t="s">
        <v>55</v>
      </c>
      <c r="AD223" t="s">
        <v>55</v>
      </c>
      <c r="AF223" t="s">
        <v>55</v>
      </c>
      <c r="AH223" t="s">
        <v>55</v>
      </c>
      <c r="AJ223" t="s">
        <v>54</v>
      </c>
      <c r="AM223" t="s">
        <v>54</v>
      </c>
      <c r="AO223" t="s">
        <v>54</v>
      </c>
    </row>
    <row r="224" ht="25.5" customHeight="1" spans="1:48">
      <c r="A224" t="s">
        <v>1056</v>
      </c>
      <c r="E224" s="3"/>
      <c r="F224" s="3" t="str">
        <f>HYPERLINK("https://www.tiktok.com/@unq_ai/video/7403381890893319430?is_from_webapp=1&amp;sender_device=pc&amp;web_id=7436978605169346094","https://www.tiktok.com/@unq_ai/video/7403381890893319430?is_from_webapp=1&amp;sender_device=pc&amp;web_id=7436978605169346094")</f>
        <v>https://www.tiktok.com/@unq_ai/video/7403381890893319430?is_from_webapp=1&amp;sender_device=pc&amp;web_id=7436978605169346094</v>
      </c>
      <c r="G224" t="s">
        <v>52</v>
      </c>
      <c r="H224" t="s">
        <v>53</v>
      </c>
      <c r="I224" t="s">
        <v>56</v>
      </c>
      <c r="L224" t="s">
        <v>54</v>
      </c>
      <c r="P224" t="s">
        <v>55</v>
      </c>
      <c r="R224" t="s">
        <v>54</v>
      </c>
      <c r="T224" t="s">
        <v>55</v>
      </c>
      <c r="X224" t="s">
        <v>55</v>
      </c>
      <c r="Z224" t="s">
        <v>54</v>
      </c>
      <c r="AB224" t="s">
        <v>55</v>
      </c>
      <c r="AD224" t="s">
        <v>55</v>
      </c>
      <c r="AF224" t="s">
        <v>55</v>
      </c>
      <c r="AH224" t="s">
        <v>55</v>
      </c>
      <c r="AJ224" t="s">
        <v>54</v>
      </c>
      <c r="AM224" t="s">
        <v>54</v>
      </c>
      <c r="AO224" t="s">
        <v>54</v>
      </c>
      <c r="AV224" t="s">
        <v>1055</v>
      </c>
    </row>
    <row r="225" ht="25.5" customHeight="1" spans="1:45">
      <c r="A225" t="s">
        <v>1057</v>
      </c>
      <c r="C225" t="s">
        <v>72</v>
      </c>
      <c r="E225" s="3" t="str">
        <f>HYPERLINK("https://app.hypeauditor.com/my-network/influencer/351517/analytics/instagram/aktien4future","https://app.hypeauditor.com/my-network/influencer/351517/analytics/instagram/aktien4future")</f>
        <v>https://app.hypeauditor.com/my-network/influencer/351517/analytics/instagram/aktien4future</v>
      </c>
      <c r="F225" s="3" t="str">
        <f>HYPERLINK("https://www.instagram.com/aktien4future/reels/","https://www.instagram.com/aktien4future/reels/")</f>
        <v>https://www.instagram.com/aktien4future/reels/</v>
      </c>
      <c r="G225" t="s">
        <v>52</v>
      </c>
      <c r="H225" t="s">
        <v>773</v>
      </c>
      <c r="I225" t="s">
        <v>65</v>
      </c>
      <c r="K225" t="s">
        <v>89</v>
      </c>
      <c r="L225" t="s">
        <v>54</v>
      </c>
      <c r="M225">
        <v>125700</v>
      </c>
      <c r="N225" t="s">
        <v>1058</v>
      </c>
      <c r="P225" t="s">
        <v>55</v>
      </c>
      <c r="R225" t="s">
        <v>54</v>
      </c>
      <c r="T225" t="s">
        <v>55</v>
      </c>
      <c r="X225" t="s">
        <v>55</v>
      </c>
      <c r="Z225" t="s">
        <v>54</v>
      </c>
      <c r="AB225" t="s">
        <v>55</v>
      </c>
      <c r="AD225" t="s">
        <v>55</v>
      </c>
      <c r="AF225" t="s">
        <v>55</v>
      </c>
      <c r="AH225" t="s">
        <v>55</v>
      </c>
      <c r="AJ225" t="s">
        <v>54</v>
      </c>
      <c r="AK225">
        <v>92000</v>
      </c>
      <c r="AL225">
        <v>0.0138</v>
      </c>
      <c r="AM225" t="s">
        <v>1059</v>
      </c>
      <c r="AN225">
        <v>900</v>
      </c>
      <c r="AO225" t="s">
        <v>1060</v>
      </c>
      <c r="AP225" t="s">
        <v>1061</v>
      </c>
      <c r="AQ225" t="s">
        <v>1062</v>
      </c>
      <c r="AR225" t="s">
        <v>1063</v>
      </c>
      <c r="AS225" t="s">
        <v>55</v>
      </c>
    </row>
    <row r="226" ht="25.5" customHeight="1" spans="1:45">
      <c r="A226" t="s">
        <v>1064</v>
      </c>
      <c r="C226" t="s">
        <v>82</v>
      </c>
      <c r="E226" s="3"/>
      <c r="F226" s="3" t="str">
        <f>HYPERLINK("https://www.tiktok.com/@10ivaan/video/7390405029208935713?lang=en","https://www.tiktok.com/@10ivaan/video/7390405029208935713?lang=en")</f>
        <v>https://www.tiktok.com/@10ivaan/video/7390405029208935713?lang=en</v>
      </c>
      <c r="G226" t="s">
        <v>52</v>
      </c>
      <c r="H226" t="s">
        <v>1065</v>
      </c>
      <c r="I226" t="s">
        <v>56</v>
      </c>
      <c r="K226" t="s">
        <v>89</v>
      </c>
      <c r="L226" t="s">
        <v>54</v>
      </c>
      <c r="M226">
        <v>148900</v>
      </c>
      <c r="N226" t="s">
        <v>1066</v>
      </c>
      <c r="P226" t="s">
        <v>55</v>
      </c>
      <c r="R226" t="s">
        <v>54</v>
      </c>
      <c r="T226" t="s">
        <v>55</v>
      </c>
      <c r="X226" t="s">
        <v>55</v>
      </c>
      <c r="Z226" t="s">
        <v>54</v>
      </c>
      <c r="AB226" t="s">
        <v>55</v>
      </c>
      <c r="AD226" t="s">
        <v>55</v>
      </c>
      <c r="AF226" t="s">
        <v>55</v>
      </c>
      <c r="AH226" t="s">
        <v>55</v>
      </c>
      <c r="AJ226" t="s">
        <v>54</v>
      </c>
      <c r="AK226">
        <v>33000</v>
      </c>
      <c r="AL226">
        <v>0.1205</v>
      </c>
      <c r="AM226" t="s">
        <v>1067</v>
      </c>
      <c r="AN226">
        <v>70</v>
      </c>
      <c r="AO226" t="s">
        <v>1068</v>
      </c>
      <c r="AP226" t="s">
        <v>1069</v>
      </c>
      <c r="AQ226" t="s">
        <v>1070</v>
      </c>
      <c r="AR226" t="s">
        <v>1071</v>
      </c>
      <c r="AS226" t="s">
        <v>1072</v>
      </c>
    </row>
    <row r="227" ht="25.5" customHeight="1" spans="1:45">
      <c r="A227" t="s">
        <v>1073</v>
      </c>
      <c r="C227" t="s">
        <v>144</v>
      </c>
      <c r="E227" s="3" t="str">
        <f>HYPERLINK("https://app.hypeauditor.com/my-network/influencer/30567632/analytics/tiktok/zone.connectee","https://app.hypeauditor.com/my-network/influencer/30567632/analytics/tiktok/zone.connectee")</f>
        <v>https://app.hypeauditor.com/my-network/influencer/30567632/analytics/tiktok/zone.connectee</v>
      </c>
      <c r="F227" s="3" t="str">
        <f>HYPERLINK("https://www.tiktok.com/@zone.connectee","https://www.tiktok.com/@zone.connectee")</f>
        <v>https://www.tiktok.com/@zone.connectee</v>
      </c>
      <c r="G227" t="s">
        <v>52</v>
      </c>
      <c r="H227" t="s">
        <v>773</v>
      </c>
      <c r="I227" t="s">
        <v>56</v>
      </c>
      <c r="K227" t="s">
        <v>58</v>
      </c>
      <c r="L227" t="s">
        <v>59</v>
      </c>
      <c r="M227">
        <v>67500</v>
      </c>
      <c r="N227" t="s">
        <v>55</v>
      </c>
      <c r="P227" t="s">
        <v>55</v>
      </c>
      <c r="R227" t="s">
        <v>54</v>
      </c>
      <c r="T227" t="s">
        <v>55</v>
      </c>
      <c r="X227" t="s">
        <v>55</v>
      </c>
      <c r="Z227" t="s">
        <v>54</v>
      </c>
      <c r="AB227" t="s">
        <v>55</v>
      </c>
      <c r="AD227" t="s">
        <v>55</v>
      </c>
      <c r="AF227" t="s">
        <v>55</v>
      </c>
      <c r="AH227" t="s">
        <v>55</v>
      </c>
      <c r="AJ227" t="s">
        <v>54</v>
      </c>
      <c r="AK227">
        <v>35200</v>
      </c>
      <c r="AL227">
        <v>0.0084</v>
      </c>
      <c r="AM227" t="s">
        <v>1074</v>
      </c>
      <c r="AO227" t="s">
        <v>1075</v>
      </c>
      <c r="AP227" t="s">
        <v>184</v>
      </c>
      <c r="AQ227" t="s">
        <v>185</v>
      </c>
      <c r="AR227" t="s">
        <v>184</v>
      </c>
      <c r="AS227" t="s">
        <v>185</v>
      </c>
    </row>
    <row r="228" ht="25.5" customHeight="1" spans="1:45">
      <c r="A228" t="s">
        <v>1076</v>
      </c>
      <c r="C228" t="s">
        <v>72</v>
      </c>
      <c r="E228" s="3" t="str">
        <f>HYPERLINK("https://app.hypeauditor.com/my-network/influencer/1263974/analytics/instagram/woman.engineer","https://app.hypeauditor.com/my-network/influencer/1263974/analytics/instagram/woman.engineer")</f>
        <v>https://app.hypeauditor.com/my-network/influencer/1263974/analytics/instagram/woman.engineer</v>
      </c>
      <c r="F228" s="3" t="str">
        <f>HYPERLINK("https://www.instagram.com/woman.engineer/","https://www.instagram.com/woman.engineer/")</f>
        <v>https://www.instagram.com/woman.engineer/</v>
      </c>
      <c r="G228" t="s">
        <v>52</v>
      </c>
      <c r="H228" t="s">
        <v>773</v>
      </c>
      <c r="I228" t="s">
        <v>65</v>
      </c>
      <c r="K228" t="s">
        <v>97</v>
      </c>
      <c r="L228" t="s">
        <v>54</v>
      </c>
      <c r="M228">
        <v>127700</v>
      </c>
      <c r="N228" t="s">
        <v>1077</v>
      </c>
      <c r="P228" t="s">
        <v>55</v>
      </c>
      <c r="R228" t="s">
        <v>54</v>
      </c>
      <c r="T228" t="s">
        <v>55</v>
      </c>
      <c r="X228" t="s">
        <v>55</v>
      </c>
      <c r="Z228" t="s">
        <v>54</v>
      </c>
      <c r="AB228" t="s">
        <v>55</v>
      </c>
      <c r="AD228" t="s">
        <v>55</v>
      </c>
      <c r="AF228" t="s">
        <v>55</v>
      </c>
      <c r="AH228" t="s">
        <v>55</v>
      </c>
      <c r="AJ228" t="s">
        <v>54</v>
      </c>
      <c r="AK228">
        <v>14400</v>
      </c>
      <c r="AL228">
        <v>0.01</v>
      </c>
      <c r="AM228" t="s">
        <v>1078</v>
      </c>
      <c r="AN228">
        <v>140</v>
      </c>
      <c r="AO228" t="s">
        <v>1079</v>
      </c>
      <c r="AP228" t="s">
        <v>1080</v>
      </c>
      <c r="AQ228" t="s">
        <v>1081</v>
      </c>
      <c r="AR228" t="s">
        <v>1082</v>
      </c>
      <c r="AS228" t="s">
        <v>1083</v>
      </c>
    </row>
    <row r="229" ht="25.5" customHeight="1" spans="1:45">
      <c r="A229" t="s">
        <v>1084</v>
      </c>
      <c r="C229" t="s">
        <v>82</v>
      </c>
      <c r="E229" s="3" t="str">
        <f>HYPERLINK("https://app.hypeauditor.com/my-network/influencer/32305211/analytics/tiktok/orzatech","https://app.hypeauditor.com/my-network/influencer/32305211/analytics/tiktok/orzatech")</f>
        <v>https://app.hypeauditor.com/my-network/influencer/32305211/analytics/tiktok/orzatech</v>
      </c>
      <c r="F229" s="3" t="str">
        <f>HYPERLINK("https://www.tiktok.com/@orzatech","https://www.tiktok.com/@orzatech")</f>
        <v>https://www.tiktok.com/@orzatech</v>
      </c>
      <c r="G229" t="s">
        <v>52</v>
      </c>
      <c r="H229" t="s">
        <v>773</v>
      </c>
      <c r="I229" t="s">
        <v>56</v>
      </c>
      <c r="K229" t="s">
        <v>97</v>
      </c>
      <c r="L229" t="s">
        <v>54</v>
      </c>
      <c r="M229">
        <v>31700</v>
      </c>
      <c r="N229" t="s">
        <v>55</v>
      </c>
      <c r="P229" t="s">
        <v>55</v>
      </c>
      <c r="R229" t="s">
        <v>54</v>
      </c>
      <c r="T229" t="s">
        <v>55</v>
      </c>
      <c r="X229" t="s">
        <v>55</v>
      </c>
      <c r="Z229" t="s">
        <v>54</v>
      </c>
      <c r="AB229" t="s">
        <v>55</v>
      </c>
      <c r="AD229" t="s">
        <v>55</v>
      </c>
      <c r="AF229" t="s">
        <v>55</v>
      </c>
      <c r="AH229" t="s">
        <v>55</v>
      </c>
      <c r="AJ229" t="s">
        <v>54</v>
      </c>
      <c r="AK229">
        <v>14900</v>
      </c>
      <c r="AL229">
        <v>0.0407</v>
      </c>
      <c r="AM229" t="s">
        <v>1085</v>
      </c>
      <c r="AN229">
        <v>150</v>
      </c>
      <c r="AO229" t="s">
        <v>1086</v>
      </c>
      <c r="AP229" t="s">
        <v>1087</v>
      </c>
      <c r="AQ229" t="s">
        <v>1088</v>
      </c>
      <c r="AR229" t="s">
        <v>1089</v>
      </c>
      <c r="AS229" t="s">
        <v>55</v>
      </c>
    </row>
    <row r="230" ht="25.5" customHeight="1" spans="5:48">
      <c r="E230" s="3"/>
      <c r="F230" s="3" t="str">
        <f>HYPERLINK("https://www.instagram.com/orzatech/reels/","https://www.instagram.com/orzatech/reels/")</f>
        <v>https://www.instagram.com/orzatech/reels/</v>
      </c>
      <c r="G230" t="s">
        <v>52</v>
      </c>
      <c r="H230" t="s">
        <v>773</v>
      </c>
      <c r="I230" t="s">
        <v>65</v>
      </c>
      <c r="K230" t="s">
        <v>97</v>
      </c>
      <c r="L230" t="s">
        <v>54</v>
      </c>
      <c r="P230" t="s">
        <v>55</v>
      </c>
      <c r="R230" t="s">
        <v>54</v>
      </c>
      <c r="T230" t="s">
        <v>55</v>
      </c>
      <c r="X230" t="s">
        <v>55</v>
      </c>
      <c r="Z230" t="s">
        <v>54</v>
      </c>
      <c r="AB230" t="s">
        <v>55</v>
      </c>
      <c r="AD230" t="s">
        <v>55</v>
      </c>
      <c r="AF230" t="s">
        <v>55</v>
      </c>
      <c r="AH230" t="s">
        <v>55</v>
      </c>
      <c r="AJ230" t="s">
        <v>54</v>
      </c>
      <c r="AM230" t="s">
        <v>54</v>
      </c>
      <c r="AO230" t="s">
        <v>54</v>
      </c>
      <c r="AV230" t="s">
        <v>1084</v>
      </c>
    </row>
    <row r="231" ht="25.5" customHeight="1" spans="1:45">
      <c r="A231" t="s">
        <v>1090</v>
      </c>
      <c r="C231" t="s">
        <v>72</v>
      </c>
      <c r="E231" s="3" t="str">
        <f>HYPERLINK("https://app.hypeauditor.com/my-network/influencer/33181541/analytics/tiktok/itsjayyce_","https://app.hypeauditor.com/my-network/influencer/33181541/analytics/tiktok/itsjayyce_")</f>
        <v>https://app.hypeauditor.com/my-network/influencer/33181541/analytics/tiktok/itsjayyce_</v>
      </c>
      <c r="F231" s="3" t="str">
        <f>HYPERLINK("https://www.tiktok.com/@itsjayyce_","https://www.tiktok.com/@itsjayyce_")</f>
        <v>https://www.tiktok.com/@itsjayyce_</v>
      </c>
      <c r="G231" t="s">
        <v>52</v>
      </c>
      <c r="H231" t="s">
        <v>773</v>
      </c>
      <c r="I231" t="s">
        <v>56</v>
      </c>
      <c r="K231" t="s">
        <v>58</v>
      </c>
      <c r="L231" t="s">
        <v>59</v>
      </c>
      <c r="M231">
        <v>23200</v>
      </c>
      <c r="N231" t="s">
        <v>55</v>
      </c>
      <c r="P231" t="s">
        <v>55</v>
      </c>
      <c r="R231" t="s">
        <v>54</v>
      </c>
      <c r="T231" t="s">
        <v>55</v>
      </c>
      <c r="X231" t="s">
        <v>55</v>
      </c>
      <c r="Z231" t="s">
        <v>54</v>
      </c>
      <c r="AB231" t="s">
        <v>55</v>
      </c>
      <c r="AD231" t="s">
        <v>55</v>
      </c>
      <c r="AF231" t="s">
        <v>55</v>
      </c>
      <c r="AH231" t="s">
        <v>55</v>
      </c>
      <c r="AJ231" t="s">
        <v>54</v>
      </c>
      <c r="AK231">
        <v>15500</v>
      </c>
      <c r="AL231">
        <v>0.0533</v>
      </c>
      <c r="AM231" t="s">
        <v>1091</v>
      </c>
      <c r="AN231">
        <v>150</v>
      </c>
      <c r="AO231" t="s">
        <v>1092</v>
      </c>
      <c r="AP231" t="s">
        <v>1093</v>
      </c>
      <c r="AQ231" t="s">
        <v>1094</v>
      </c>
      <c r="AR231" t="s">
        <v>1095</v>
      </c>
      <c r="AS231" t="s">
        <v>1096</v>
      </c>
    </row>
    <row r="232" ht="25.5" customHeight="1" spans="1:45">
      <c r="A232" t="s">
        <v>1097</v>
      </c>
      <c r="C232" t="s">
        <v>51</v>
      </c>
      <c r="E232" s="3" t="str">
        <f>HYPERLINK("https://app.hypeauditor.com/my-network/influencer/4116861/analytics/instagram/johntooltw","https://app.hypeauditor.com/my-network/influencer/4116861/analytics/instagram/johntooltw")</f>
        <v>https://app.hypeauditor.com/my-network/influencer/4116861/analytics/instagram/johntooltw</v>
      </c>
      <c r="F232" s="3" t="str">
        <f>HYPERLINK("https://www.instagram.com/johntooltw/reels/","https://www.instagram.com/johntooltw/reels/")</f>
        <v>https://www.instagram.com/johntooltw/reels/</v>
      </c>
      <c r="G232" t="s">
        <v>52</v>
      </c>
      <c r="H232" t="s">
        <v>773</v>
      </c>
      <c r="I232" t="s">
        <v>65</v>
      </c>
      <c r="K232" t="s">
        <v>89</v>
      </c>
      <c r="L232" t="s">
        <v>54</v>
      </c>
      <c r="M232">
        <v>165700</v>
      </c>
      <c r="N232" t="s">
        <v>1098</v>
      </c>
      <c r="P232" t="s">
        <v>55</v>
      </c>
      <c r="R232" t="s">
        <v>54</v>
      </c>
      <c r="T232" t="s">
        <v>55</v>
      </c>
      <c r="X232" t="s">
        <v>55</v>
      </c>
      <c r="Z232" t="s">
        <v>54</v>
      </c>
      <c r="AB232" t="s">
        <v>55</v>
      </c>
      <c r="AD232" t="s">
        <v>55</v>
      </c>
      <c r="AF232" t="s">
        <v>55</v>
      </c>
      <c r="AH232" t="s">
        <v>55</v>
      </c>
      <c r="AJ232" t="s">
        <v>54</v>
      </c>
      <c r="AK232">
        <v>60600</v>
      </c>
      <c r="AL232">
        <v>0.0042</v>
      </c>
      <c r="AM232" t="s">
        <v>1099</v>
      </c>
      <c r="AN232">
        <v>600</v>
      </c>
      <c r="AO232" t="s">
        <v>1100</v>
      </c>
      <c r="AP232" t="s">
        <v>1101</v>
      </c>
      <c r="AQ232" t="s">
        <v>1102</v>
      </c>
      <c r="AR232" t="s">
        <v>1103</v>
      </c>
      <c r="AS232" t="s">
        <v>55</v>
      </c>
    </row>
    <row r="233" ht="25.5" customHeight="1" spans="1:45">
      <c r="A233" t="s">
        <v>1104</v>
      </c>
      <c r="C233" t="s">
        <v>72</v>
      </c>
      <c r="E233" s="3" t="str">
        <f>HYPERLINK("https://app.hypeauditor.com/my-network/influencer/2977850/analytics/instagram/nysc_diary","https://app.hypeauditor.com/my-network/influencer/2977850/analytics/instagram/nysc_diary")</f>
        <v>https://app.hypeauditor.com/my-network/influencer/2977850/analytics/instagram/nysc_diary</v>
      </c>
      <c r="F233" s="3" t="str">
        <f>HYPERLINK("https://www.instagram.com/nysc_diary/","https://www.instagram.com/nysc_diary/")</f>
        <v>https://www.instagram.com/nysc_diary/</v>
      </c>
      <c r="G233" t="s">
        <v>52</v>
      </c>
      <c r="H233" t="s">
        <v>773</v>
      </c>
      <c r="I233" t="s">
        <v>65</v>
      </c>
      <c r="K233" t="s">
        <v>97</v>
      </c>
      <c r="L233" t="s">
        <v>54</v>
      </c>
      <c r="M233">
        <v>168300</v>
      </c>
      <c r="N233" t="s">
        <v>1105</v>
      </c>
      <c r="P233" t="s">
        <v>55</v>
      </c>
      <c r="R233" t="s">
        <v>54</v>
      </c>
      <c r="T233" t="s">
        <v>55</v>
      </c>
      <c r="X233" t="s">
        <v>55</v>
      </c>
      <c r="Z233" t="s">
        <v>54</v>
      </c>
      <c r="AB233" t="s">
        <v>55</v>
      </c>
      <c r="AD233" t="s">
        <v>55</v>
      </c>
      <c r="AF233" t="s">
        <v>55</v>
      </c>
      <c r="AH233" t="s">
        <v>55</v>
      </c>
      <c r="AJ233" t="s">
        <v>54</v>
      </c>
      <c r="AK233">
        <v>14500</v>
      </c>
      <c r="AL233">
        <v>0.0025</v>
      </c>
      <c r="AM233" t="s">
        <v>1106</v>
      </c>
      <c r="AN233">
        <v>100</v>
      </c>
      <c r="AO233" t="s">
        <v>1107</v>
      </c>
      <c r="AP233" t="s">
        <v>1108</v>
      </c>
      <c r="AQ233" t="s">
        <v>1109</v>
      </c>
      <c r="AR233" t="s">
        <v>1110</v>
      </c>
      <c r="AS233" t="s">
        <v>55</v>
      </c>
    </row>
    <row r="234" ht="25.5" customHeight="1" spans="1:45">
      <c r="A234" t="s">
        <v>1111</v>
      </c>
      <c r="C234" t="s">
        <v>82</v>
      </c>
      <c r="E234" s="3" t="str">
        <f>HYPERLINK("https://app.hypeauditor.com/my-network/influencer/29668350/analytics/tiktok/closertech","https://app.hypeauditor.com/my-network/influencer/29668350/analytics/tiktok/closertech")</f>
        <v>https://app.hypeauditor.com/my-network/influencer/29668350/analytics/tiktok/closertech</v>
      </c>
      <c r="F234" s="3" t="str">
        <f>HYPERLINK("https://www.tiktok.com/@closertech?_t=ZM-8sVmK43euZx&amp;_r=1","https://www.tiktok.com/@closertech?_t=ZM-8sVmK43euZx&amp;_r=1")</f>
        <v>https://www.tiktok.com/@closertech?_t=ZM-8sVmK43euZx&amp;_r=1</v>
      </c>
      <c r="G234" t="s">
        <v>52</v>
      </c>
      <c r="H234" t="s">
        <v>773</v>
      </c>
      <c r="I234" t="s">
        <v>56</v>
      </c>
      <c r="K234" t="s">
        <v>89</v>
      </c>
      <c r="L234" t="s">
        <v>54</v>
      </c>
      <c r="M234">
        <v>158100</v>
      </c>
      <c r="N234" t="s">
        <v>1112</v>
      </c>
      <c r="P234" t="s">
        <v>55</v>
      </c>
      <c r="R234" t="s">
        <v>54</v>
      </c>
      <c r="T234" t="s">
        <v>55</v>
      </c>
      <c r="X234" t="s">
        <v>55</v>
      </c>
      <c r="Z234" t="s">
        <v>54</v>
      </c>
      <c r="AB234" t="s">
        <v>55</v>
      </c>
      <c r="AD234" t="s">
        <v>55</v>
      </c>
      <c r="AF234" t="s">
        <v>55</v>
      </c>
      <c r="AH234" t="s">
        <v>55</v>
      </c>
      <c r="AJ234" t="s">
        <v>54</v>
      </c>
      <c r="AK234">
        <v>4100</v>
      </c>
      <c r="AL234">
        <v>0.031</v>
      </c>
      <c r="AM234" t="s">
        <v>1113</v>
      </c>
      <c r="AN234">
        <v>100</v>
      </c>
      <c r="AO234" t="s">
        <v>1114</v>
      </c>
      <c r="AP234" t="s">
        <v>1039</v>
      </c>
      <c r="AQ234" t="s">
        <v>55</v>
      </c>
      <c r="AR234" t="s">
        <v>1115</v>
      </c>
      <c r="AS234" t="s">
        <v>55</v>
      </c>
    </row>
    <row r="235" ht="25.5" customHeight="1" spans="5:48">
      <c r="E235" s="3"/>
      <c r="F235" s="3" t="str">
        <f>HYPERLINK("https://www.facebook.com/share/Fbv4LvTh66BJQLw4/?mibextid=wwXIfr","https://www.facebook.com/share/Fbv4LvTh66BJQLw4/?mibextid=wwXIfr")</f>
        <v>https://www.facebook.com/share/Fbv4LvTh66BJQLw4/?mibextid=wwXIfr</v>
      </c>
      <c r="G235" t="s">
        <v>52</v>
      </c>
      <c r="H235" t="s">
        <v>773</v>
      </c>
      <c r="I235" t="s">
        <v>1116</v>
      </c>
      <c r="L235" t="s">
        <v>54</v>
      </c>
      <c r="M235">
        <v>16200</v>
      </c>
      <c r="N235" t="s">
        <v>55</v>
      </c>
      <c r="P235" t="s">
        <v>55</v>
      </c>
      <c r="R235" t="s">
        <v>54</v>
      </c>
      <c r="T235" t="s">
        <v>55</v>
      </c>
      <c r="X235" t="s">
        <v>55</v>
      </c>
      <c r="Z235" t="s">
        <v>54</v>
      </c>
      <c r="AB235" t="s">
        <v>55</v>
      </c>
      <c r="AD235" t="s">
        <v>55</v>
      </c>
      <c r="AF235" t="s">
        <v>55</v>
      </c>
      <c r="AH235" t="s">
        <v>55</v>
      </c>
      <c r="AJ235" t="s">
        <v>54</v>
      </c>
      <c r="AK235">
        <v>8700</v>
      </c>
      <c r="AL235">
        <v>0.0039</v>
      </c>
      <c r="AM235" t="s">
        <v>1117</v>
      </c>
      <c r="AO235" t="s">
        <v>1118</v>
      </c>
      <c r="AP235" t="s">
        <v>184</v>
      </c>
      <c r="AQ235" t="s">
        <v>185</v>
      </c>
      <c r="AR235" t="s">
        <v>184</v>
      </c>
      <c r="AS235" t="s">
        <v>185</v>
      </c>
      <c r="AV235" t="s">
        <v>1111</v>
      </c>
    </row>
    <row r="236" ht="25.5" customHeight="1" spans="5:48">
      <c r="E236" s="3"/>
      <c r="F236" s="3" t="str">
        <f>HYPERLINK("https://www.youtube.com/@closertech1?si=kh11ByiDwLTOjnIK","https://www.youtube.com/@closertech1?si=kh11ByiDwLTOjnIK")</f>
        <v>https://www.youtube.com/@closertech1?si=kh11ByiDwLTOjnIK</v>
      </c>
      <c r="G236" t="s">
        <v>52</v>
      </c>
      <c r="H236" t="s">
        <v>773</v>
      </c>
      <c r="I236" t="s">
        <v>269</v>
      </c>
      <c r="J236" t="s">
        <v>423</v>
      </c>
      <c r="L236" t="s">
        <v>54</v>
      </c>
      <c r="M236">
        <v>8100</v>
      </c>
      <c r="N236" t="s">
        <v>55</v>
      </c>
      <c r="P236" t="s">
        <v>55</v>
      </c>
      <c r="R236" t="s">
        <v>54</v>
      </c>
      <c r="T236" t="s">
        <v>55</v>
      </c>
      <c r="X236" t="s">
        <v>55</v>
      </c>
      <c r="Z236" t="s">
        <v>54</v>
      </c>
      <c r="AB236" t="s">
        <v>55</v>
      </c>
      <c r="AD236" t="s">
        <v>55</v>
      </c>
      <c r="AF236" t="s">
        <v>55</v>
      </c>
      <c r="AH236" t="s">
        <v>55</v>
      </c>
      <c r="AJ236" t="s">
        <v>54</v>
      </c>
      <c r="AK236">
        <v>44200</v>
      </c>
      <c r="AL236">
        <v>0.0329</v>
      </c>
      <c r="AM236" t="s">
        <v>1119</v>
      </c>
      <c r="AO236" t="s">
        <v>1120</v>
      </c>
      <c r="AP236" t="s">
        <v>184</v>
      </c>
      <c r="AQ236" t="s">
        <v>185</v>
      </c>
      <c r="AR236" t="s">
        <v>184</v>
      </c>
      <c r="AS236" t="s">
        <v>185</v>
      </c>
      <c r="AV236" t="s">
        <v>1111</v>
      </c>
    </row>
    <row r="237" ht="25.5" customHeight="1" spans="5:48">
      <c r="E237" s="3" t="str">
        <f>HYPERLINK("https://app.hypeauditor.com/my-network/influencer/29668350/analytics/instagram/closertech1","https://app.hypeauditor.com/my-network/influencer/29668350/analytics/instagram/closertech1")</f>
        <v>https://app.hypeauditor.com/my-network/influencer/29668350/analytics/instagram/closertech1</v>
      </c>
      <c r="F237" s="3" t="str">
        <f>HYPERLINK("https://www.instagram.com/closertech1/?igsh=M25yMHE0OXFkOGJ5","https://www.instagram.com/closertech1/?igsh=M25yMHE0OXFkOGJ5")</f>
        <v>https://www.instagram.com/closertech1/?igsh=M25yMHE0OXFkOGJ5</v>
      </c>
      <c r="G237" t="s">
        <v>52</v>
      </c>
      <c r="H237" t="s">
        <v>773</v>
      </c>
      <c r="I237" t="s">
        <v>65</v>
      </c>
      <c r="L237" t="s">
        <v>54</v>
      </c>
      <c r="M237">
        <v>120400</v>
      </c>
      <c r="N237" t="s">
        <v>1121</v>
      </c>
      <c r="P237" t="s">
        <v>55</v>
      </c>
      <c r="R237" t="s">
        <v>54</v>
      </c>
      <c r="T237" t="s">
        <v>55</v>
      </c>
      <c r="X237" t="s">
        <v>55</v>
      </c>
      <c r="Z237" t="s">
        <v>54</v>
      </c>
      <c r="AB237" t="s">
        <v>55</v>
      </c>
      <c r="AD237" t="s">
        <v>55</v>
      </c>
      <c r="AF237" t="s">
        <v>55</v>
      </c>
      <c r="AH237" t="s">
        <v>55</v>
      </c>
      <c r="AJ237" t="s">
        <v>54</v>
      </c>
      <c r="AK237">
        <v>15400</v>
      </c>
      <c r="AL237">
        <v>0.0016</v>
      </c>
      <c r="AM237" t="s">
        <v>1122</v>
      </c>
      <c r="AO237" t="s">
        <v>1123</v>
      </c>
      <c r="AP237" t="s">
        <v>184</v>
      </c>
      <c r="AQ237" t="s">
        <v>185</v>
      </c>
      <c r="AR237" t="s">
        <v>184</v>
      </c>
      <c r="AS237" t="s">
        <v>185</v>
      </c>
      <c r="AV237" t="s">
        <v>1111</v>
      </c>
    </row>
    <row r="238" ht="25.5" customHeight="1" spans="1:45">
      <c r="A238" t="s">
        <v>1124</v>
      </c>
      <c r="C238" t="s">
        <v>82</v>
      </c>
      <c r="E238" s="3" t="str">
        <f>HYPERLINK("https://app.hypeauditor.com/my-network/influencer/33240753/analytics/tiktok/tiktok_astro_11","https://app.hypeauditor.com/my-network/influencer/33240753/analytics/tiktok/tiktok_astro_11")</f>
        <v>https://app.hypeauditor.com/my-network/influencer/33240753/analytics/tiktok/tiktok_astro_11</v>
      </c>
      <c r="F238" s="3" t="str">
        <f>HYPERLINK("https://www.tiktok.com/@tiktok_astro_11","https://www.tiktok.com/@tiktok_astro_11")</f>
        <v>https://www.tiktok.com/@tiktok_astro_11</v>
      </c>
      <c r="G238" t="s">
        <v>52</v>
      </c>
      <c r="H238" t="s">
        <v>773</v>
      </c>
      <c r="I238" t="s">
        <v>56</v>
      </c>
      <c r="K238" t="s">
        <v>58</v>
      </c>
      <c r="L238" t="s">
        <v>59</v>
      </c>
      <c r="M238">
        <v>11500</v>
      </c>
      <c r="N238" t="s">
        <v>55</v>
      </c>
      <c r="P238" t="s">
        <v>55</v>
      </c>
      <c r="R238" t="s">
        <v>54</v>
      </c>
      <c r="T238" t="s">
        <v>55</v>
      </c>
      <c r="X238" t="s">
        <v>55</v>
      </c>
      <c r="Z238" t="s">
        <v>54</v>
      </c>
      <c r="AB238" t="s">
        <v>55</v>
      </c>
      <c r="AD238" t="s">
        <v>55</v>
      </c>
      <c r="AF238" t="s">
        <v>55</v>
      </c>
      <c r="AH238" t="s">
        <v>55</v>
      </c>
      <c r="AJ238" t="s">
        <v>54</v>
      </c>
      <c r="AK238">
        <v>7500</v>
      </c>
      <c r="AL238">
        <v>0.0371</v>
      </c>
      <c r="AM238" t="s">
        <v>257</v>
      </c>
      <c r="AN238">
        <v>75</v>
      </c>
      <c r="AO238" t="s">
        <v>258</v>
      </c>
      <c r="AP238" t="s">
        <v>139</v>
      </c>
      <c r="AQ238" t="s">
        <v>140</v>
      </c>
      <c r="AR238" t="s">
        <v>1125</v>
      </c>
      <c r="AS238" t="s">
        <v>55</v>
      </c>
    </row>
    <row r="239" ht="25.5" customHeight="1" spans="1:45">
      <c r="A239" t="s">
        <v>1126</v>
      </c>
      <c r="C239" t="s">
        <v>72</v>
      </c>
      <c r="E239" s="3" t="str">
        <f>HYPERLINK("https://app.hypeauditor.com/my-network/influencer/32715157/analytics/tiktok/siterij","https://app.hypeauditor.com/my-network/influencer/32715157/analytics/tiktok/siterij")</f>
        <v>https://app.hypeauditor.com/my-network/influencer/32715157/analytics/tiktok/siterij</v>
      </c>
      <c r="F239" s="3" t="str">
        <f>HYPERLINK("https://www.tiktok.com/@siterij","https://www.tiktok.com/@siterij")</f>
        <v>https://www.tiktok.com/@siterij</v>
      </c>
      <c r="G239" t="s">
        <v>52</v>
      </c>
      <c r="H239" t="s">
        <v>773</v>
      </c>
      <c r="I239" t="s">
        <v>56</v>
      </c>
      <c r="K239" t="s">
        <v>89</v>
      </c>
      <c r="L239" t="s">
        <v>54</v>
      </c>
      <c r="M239">
        <v>11700</v>
      </c>
      <c r="N239" t="s">
        <v>55</v>
      </c>
      <c r="P239" t="s">
        <v>55</v>
      </c>
      <c r="R239" t="s">
        <v>54</v>
      </c>
      <c r="T239" t="s">
        <v>55</v>
      </c>
      <c r="X239" t="s">
        <v>55</v>
      </c>
      <c r="Z239" t="s">
        <v>54</v>
      </c>
      <c r="AB239" t="s">
        <v>55</v>
      </c>
      <c r="AD239" t="s">
        <v>55</v>
      </c>
      <c r="AF239" t="s">
        <v>55</v>
      </c>
      <c r="AH239" t="s">
        <v>55</v>
      </c>
      <c r="AJ239" t="s">
        <v>54</v>
      </c>
      <c r="AK239">
        <v>1200</v>
      </c>
      <c r="AL239">
        <v>0.0373</v>
      </c>
      <c r="AM239" t="s">
        <v>1127</v>
      </c>
      <c r="AN239">
        <v>50</v>
      </c>
      <c r="AO239" t="s">
        <v>1128</v>
      </c>
      <c r="AP239" t="s">
        <v>1129</v>
      </c>
      <c r="AQ239" t="s">
        <v>55</v>
      </c>
      <c r="AR239" t="s">
        <v>1130</v>
      </c>
      <c r="AS239" t="s">
        <v>55</v>
      </c>
    </row>
    <row r="240" ht="25.5" customHeight="1" spans="1:41">
      <c r="A240" t="s">
        <v>1131</v>
      </c>
      <c r="C240" t="s">
        <v>144</v>
      </c>
      <c r="E240" s="3" t="str">
        <f>HYPERLINK("https://app.hypeauditor.com/my-network/influencer/29544486/analytics/tiktok/zein_302","https://app.hypeauditor.com/my-network/influencer/29544486/analytics/tiktok/zein_302")</f>
        <v>https://app.hypeauditor.com/my-network/influencer/29544486/analytics/tiktok/zein_302</v>
      </c>
      <c r="F240" s="3" t="str">
        <f>HYPERLINK("https://www.tiktok.com/@zein_302","https://www.tiktok.com/@zein_302")</f>
        <v>https://www.tiktok.com/@zein_302</v>
      </c>
      <c r="G240" t="s">
        <v>52</v>
      </c>
      <c r="H240" t="s">
        <v>773</v>
      </c>
      <c r="I240" t="s">
        <v>56</v>
      </c>
      <c r="K240" t="s">
        <v>97</v>
      </c>
      <c r="L240" t="s">
        <v>54</v>
      </c>
      <c r="P240" t="s">
        <v>55</v>
      </c>
      <c r="R240" t="s">
        <v>54</v>
      </c>
      <c r="T240" t="s">
        <v>55</v>
      </c>
      <c r="X240" t="s">
        <v>55</v>
      </c>
      <c r="Z240" t="s">
        <v>54</v>
      </c>
      <c r="AB240" t="s">
        <v>55</v>
      </c>
      <c r="AD240" t="s">
        <v>55</v>
      </c>
      <c r="AF240" t="s">
        <v>55</v>
      </c>
      <c r="AH240" t="s">
        <v>55</v>
      </c>
      <c r="AJ240" t="s">
        <v>54</v>
      </c>
      <c r="AM240" t="s">
        <v>54</v>
      </c>
      <c r="AO240" t="s">
        <v>54</v>
      </c>
    </row>
    <row r="241" ht="25.5" customHeight="1" spans="1:45">
      <c r="A241" t="s">
        <v>1132</v>
      </c>
      <c r="C241" t="s">
        <v>144</v>
      </c>
      <c r="E241" s="3" t="str">
        <f>HYPERLINK("https://app.hypeauditor.com/my-network/influencer/33026620/analytics/instagram/vikitecc","https://app.hypeauditor.com/my-network/influencer/33026620/analytics/instagram/vikitecc")</f>
        <v>https://app.hypeauditor.com/my-network/influencer/33026620/analytics/instagram/vikitecc</v>
      </c>
      <c r="F241" s="3" t="str">
        <f>HYPERLINK("https://www.instagram.com/vikitecc/reels/","https://www.instagram.com/vikitecc/reels/")</f>
        <v>https://www.instagram.com/vikitecc/reels/</v>
      </c>
      <c r="G241" t="s">
        <v>52</v>
      </c>
      <c r="H241" t="s">
        <v>773</v>
      </c>
      <c r="I241" t="s">
        <v>65</v>
      </c>
      <c r="K241" t="s">
        <v>97</v>
      </c>
      <c r="L241" t="s">
        <v>54</v>
      </c>
      <c r="M241">
        <v>53400</v>
      </c>
      <c r="N241" t="s">
        <v>55</v>
      </c>
      <c r="P241" t="s">
        <v>55</v>
      </c>
      <c r="R241" t="s">
        <v>54</v>
      </c>
      <c r="T241" t="s">
        <v>55</v>
      </c>
      <c r="X241" t="s">
        <v>55</v>
      </c>
      <c r="Z241" t="s">
        <v>54</v>
      </c>
      <c r="AB241" t="s">
        <v>55</v>
      </c>
      <c r="AD241" t="s">
        <v>55</v>
      </c>
      <c r="AF241" t="s">
        <v>55</v>
      </c>
      <c r="AH241" t="s">
        <v>55</v>
      </c>
      <c r="AJ241" t="s">
        <v>54</v>
      </c>
      <c r="AK241">
        <v>11200</v>
      </c>
      <c r="AL241">
        <v>0.0057</v>
      </c>
      <c r="AM241" t="s">
        <v>1133</v>
      </c>
      <c r="AN241">
        <v>120</v>
      </c>
      <c r="AO241" t="s">
        <v>1134</v>
      </c>
      <c r="AP241" t="s">
        <v>1135</v>
      </c>
      <c r="AQ241" t="s">
        <v>1136</v>
      </c>
      <c r="AR241" t="s">
        <v>1137</v>
      </c>
      <c r="AS241" t="s">
        <v>55</v>
      </c>
    </row>
    <row r="242" ht="25.5" customHeight="1" spans="1:45">
      <c r="A242" t="s">
        <v>1138</v>
      </c>
      <c r="C242" t="s">
        <v>144</v>
      </c>
      <c r="E242" s="3" t="str">
        <f>HYPERLINK("https://app.hypeauditor.com/my-network/influencer/1432224/analytics/tiktok/yannick_tech","https://app.hypeauditor.com/my-network/influencer/1432224/analytics/tiktok/yannick_tech")</f>
        <v>https://app.hypeauditor.com/my-network/influencer/1432224/analytics/tiktok/yannick_tech</v>
      </c>
      <c r="F242" s="3" t="str">
        <f>HYPERLINK("https://www.tiktok.com/@yannick_tech","https://www.tiktok.com/@yannick_tech")</f>
        <v>https://www.tiktok.com/@yannick_tech</v>
      </c>
      <c r="G242" t="s">
        <v>52</v>
      </c>
      <c r="H242" t="s">
        <v>773</v>
      </c>
      <c r="I242" t="s">
        <v>56</v>
      </c>
      <c r="K242" t="s">
        <v>58</v>
      </c>
      <c r="L242" t="s">
        <v>59</v>
      </c>
      <c r="M242">
        <v>157600</v>
      </c>
      <c r="N242" t="s">
        <v>1139</v>
      </c>
      <c r="P242" t="s">
        <v>55</v>
      </c>
      <c r="R242" t="s">
        <v>54</v>
      </c>
      <c r="T242" t="s">
        <v>55</v>
      </c>
      <c r="X242" t="s">
        <v>55</v>
      </c>
      <c r="Z242" t="s">
        <v>54</v>
      </c>
      <c r="AB242" t="s">
        <v>55</v>
      </c>
      <c r="AD242" t="s">
        <v>55</v>
      </c>
      <c r="AF242" t="s">
        <v>55</v>
      </c>
      <c r="AH242" t="s">
        <v>55</v>
      </c>
      <c r="AJ242" t="s">
        <v>54</v>
      </c>
      <c r="AK242">
        <v>10800</v>
      </c>
      <c r="AL242">
        <v>0.0338</v>
      </c>
      <c r="AM242" t="s">
        <v>1140</v>
      </c>
      <c r="AN242">
        <v>250</v>
      </c>
      <c r="AO242" t="s">
        <v>1141</v>
      </c>
      <c r="AP242" t="s">
        <v>1142</v>
      </c>
      <c r="AQ242" t="s">
        <v>55</v>
      </c>
      <c r="AR242" t="s">
        <v>1143</v>
      </c>
      <c r="AS242" t="s">
        <v>55</v>
      </c>
    </row>
    <row r="243" ht="25.5" customHeight="1" spans="1:45">
      <c r="A243" t="s">
        <v>1144</v>
      </c>
      <c r="C243" t="s">
        <v>72</v>
      </c>
      <c r="E243" s="3" t="str">
        <f>HYPERLINK("https://app.hypeauditor.com/my-network/influencer/23414418/analytics/tiktok/edis_techtalk","https://app.hypeauditor.com/my-network/influencer/23414418/analytics/tiktok/edis_techtalk")</f>
        <v>https://app.hypeauditor.com/my-network/influencer/23414418/analytics/tiktok/edis_techtalk</v>
      </c>
      <c r="F243" s="3" t="str">
        <f>HYPERLINK("https://www.tiktok.com/@edis_techtalk","https://www.tiktok.com/@edis_techtalk")</f>
        <v>https://www.tiktok.com/@edis_techtalk</v>
      </c>
      <c r="G243" t="s">
        <v>52</v>
      </c>
      <c r="H243" t="s">
        <v>773</v>
      </c>
      <c r="I243" t="s">
        <v>56</v>
      </c>
      <c r="K243" t="s">
        <v>89</v>
      </c>
      <c r="L243" t="s">
        <v>54</v>
      </c>
      <c r="M243">
        <v>25600</v>
      </c>
      <c r="N243" t="s">
        <v>55</v>
      </c>
      <c r="P243" t="s">
        <v>55</v>
      </c>
      <c r="R243" t="s">
        <v>54</v>
      </c>
      <c r="T243" t="s">
        <v>55</v>
      </c>
      <c r="X243" t="s">
        <v>55</v>
      </c>
      <c r="Z243" t="s">
        <v>54</v>
      </c>
      <c r="AB243" t="s">
        <v>55</v>
      </c>
      <c r="AD243" t="s">
        <v>55</v>
      </c>
      <c r="AF243" t="s">
        <v>55</v>
      </c>
      <c r="AH243" t="s">
        <v>55</v>
      </c>
      <c r="AJ243" t="s">
        <v>54</v>
      </c>
      <c r="AK243">
        <v>5900</v>
      </c>
      <c r="AL243">
        <v>0.0511</v>
      </c>
      <c r="AM243" t="s">
        <v>1145</v>
      </c>
      <c r="AO243" t="s">
        <v>1146</v>
      </c>
      <c r="AP243" t="s">
        <v>184</v>
      </c>
      <c r="AQ243" t="s">
        <v>185</v>
      </c>
      <c r="AR243" t="s">
        <v>184</v>
      </c>
      <c r="AS243" t="s">
        <v>185</v>
      </c>
    </row>
    <row r="244" ht="25.5" customHeight="1" spans="1:45">
      <c r="A244" t="s">
        <v>1147</v>
      </c>
      <c r="C244" t="s">
        <v>82</v>
      </c>
      <c r="E244" s="3" t="str">
        <f>HYPERLINK("https://app.hypeauditor.com/my-network/influencer/33240827/analytics/tiktok/void_tech96","https://app.hypeauditor.com/my-network/influencer/33240827/analytics/tiktok/void_tech96")</f>
        <v>https://app.hypeauditor.com/my-network/influencer/33240827/analytics/tiktok/void_tech96</v>
      </c>
      <c r="F244" s="3" t="str">
        <f>HYPERLINK("https://www.tiktok.com/@void_tech96","https://www.tiktok.com/@void_tech96")</f>
        <v>https://www.tiktok.com/@void_tech96</v>
      </c>
      <c r="G244" t="s">
        <v>52</v>
      </c>
      <c r="H244" t="s">
        <v>773</v>
      </c>
      <c r="I244" t="s">
        <v>56</v>
      </c>
      <c r="K244" t="s">
        <v>58</v>
      </c>
      <c r="L244" t="s">
        <v>59</v>
      </c>
      <c r="M244">
        <v>3800</v>
      </c>
      <c r="N244" t="s">
        <v>55</v>
      </c>
      <c r="P244" t="s">
        <v>55</v>
      </c>
      <c r="R244" t="s">
        <v>54</v>
      </c>
      <c r="T244" t="s">
        <v>55</v>
      </c>
      <c r="X244" t="s">
        <v>55</v>
      </c>
      <c r="Z244" t="s">
        <v>54</v>
      </c>
      <c r="AB244" t="s">
        <v>55</v>
      </c>
      <c r="AD244" t="s">
        <v>55</v>
      </c>
      <c r="AF244" t="s">
        <v>55</v>
      </c>
      <c r="AH244" t="s">
        <v>55</v>
      </c>
      <c r="AJ244" t="s">
        <v>54</v>
      </c>
      <c r="AK244">
        <v>1700</v>
      </c>
      <c r="AL244">
        <v>0.0939</v>
      </c>
      <c r="AM244" t="s">
        <v>1148</v>
      </c>
      <c r="AN244">
        <v>30</v>
      </c>
      <c r="AO244" t="s">
        <v>1149</v>
      </c>
      <c r="AP244" t="s">
        <v>1150</v>
      </c>
      <c r="AQ244" t="s">
        <v>1151</v>
      </c>
      <c r="AR244" t="s">
        <v>1152</v>
      </c>
      <c r="AS244" t="s">
        <v>1153</v>
      </c>
    </row>
    <row r="245" ht="25.5" customHeight="1" spans="1:41">
      <c r="A245" t="s">
        <v>1154</v>
      </c>
      <c r="C245" t="s">
        <v>72</v>
      </c>
      <c r="E245" s="3" t="str">
        <f>HYPERLINK("https://app.hypeauditor.com/my-network/influencer/32360792/analytics/tiktok/pedroveroneze","https://app.hypeauditor.com/my-network/influencer/32360792/analytics/tiktok/pedroveroneze")</f>
        <v>https://app.hypeauditor.com/my-network/influencer/32360792/analytics/tiktok/pedroveroneze</v>
      </c>
      <c r="F245" s="3" t="str">
        <f>HYPERLINK("https://www.tiktok.com/@pedroveroneze","https://www.tiktok.com/@pedroveroneze")</f>
        <v>https://www.tiktok.com/@pedroveroneze</v>
      </c>
      <c r="G245" t="s">
        <v>52</v>
      </c>
      <c r="H245" t="s">
        <v>773</v>
      </c>
      <c r="I245" t="s">
        <v>56</v>
      </c>
      <c r="L245" t="s">
        <v>54</v>
      </c>
      <c r="M245">
        <v>12800</v>
      </c>
      <c r="N245" t="s">
        <v>55</v>
      </c>
      <c r="P245" t="s">
        <v>55</v>
      </c>
      <c r="R245" t="s">
        <v>54</v>
      </c>
      <c r="T245" t="s">
        <v>55</v>
      </c>
      <c r="X245" t="s">
        <v>55</v>
      </c>
      <c r="Z245" t="s">
        <v>54</v>
      </c>
      <c r="AB245" t="s">
        <v>55</v>
      </c>
      <c r="AD245" t="s">
        <v>55</v>
      </c>
      <c r="AF245" t="s">
        <v>55</v>
      </c>
      <c r="AH245" t="s">
        <v>55</v>
      </c>
      <c r="AJ245" t="s">
        <v>54</v>
      </c>
      <c r="AL245">
        <v>0.0539</v>
      </c>
      <c r="AM245" t="s">
        <v>54</v>
      </c>
      <c r="AO245" t="s">
        <v>54</v>
      </c>
    </row>
    <row r="246" ht="25.5" customHeight="1" spans="5:48">
      <c r="E246" s="3" t="str">
        <f>HYPERLINK("https://app.hypeauditor.com/my-network/influencer/33414131/analytics/instagram/pedro.veroneze","https://app.hypeauditor.com/my-network/influencer/33414131/analytics/instagram/pedro.veroneze")</f>
        <v>https://app.hypeauditor.com/my-network/influencer/33414131/analytics/instagram/pedro.veroneze</v>
      </c>
      <c r="F246" s="3" t="str">
        <f>HYPERLINK("https://www.instagram.com/pedro.veroneze/reels/","https://www.instagram.com/pedro.veroneze/reels/")</f>
        <v>https://www.instagram.com/pedro.veroneze/reels/</v>
      </c>
      <c r="G246" t="s">
        <v>52</v>
      </c>
      <c r="H246" t="s">
        <v>773</v>
      </c>
      <c r="I246" t="s">
        <v>65</v>
      </c>
      <c r="L246" t="s">
        <v>54</v>
      </c>
      <c r="M246">
        <v>1100</v>
      </c>
      <c r="N246" t="s">
        <v>55</v>
      </c>
      <c r="P246" t="s">
        <v>55</v>
      </c>
      <c r="R246" t="s">
        <v>54</v>
      </c>
      <c r="T246" t="s">
        <v>55</v>
      </c>
      <c r="X246" t="s">
        <v>55</v>
      </c>
      <c r="Z246" t="s">
        <v>54</v>
      </c>
      <c r="AB246" t="s">
        <v>55</v>
      </c>
      <c r="AD246" t="s">
        <v>55</v>
      </c>
      <c r="AF246" t="s">
        <v>55</v>
      </c>
      <c r="AH246" t="s">
        <v>55</v>
      </c>
      <c r="AJ246" t="s">
        <v>54</v>
      </c>
      <c r="AK246">
        <v>1200</v>
      </c>
      <c r="AL246">
        <v>0.0946</v>
      </c>
      <c r="AM246" t="s">
        <v>1155</v>
      </c>
      <c r="AO246" t="s">
        <v>1156</v>
      </c>
      <c r="AP246" t="s">
        <v>184</v>
      </c>
      <c r="AQ246" t="s">
        <v>185</v>
      </c>
      <c r="AR246" t="s">
        <v>184</v>
      </c>
      <c r="AS246" t="s">
        <v>185</v>
      </c>
      <c r="AV246" t="s">
        <v>1154</v>
      </c>
    </row>
    <row r="247" ht="25.5" customHeight="1" spans="5:48">
      <c r="E247" s="3" t="str">
        <f>HYPERLINK("https://app.hypeauditor.com/my-network/influencer/29892683/analytics/youtube/UCJrQZIFZBXJ3VD5v3Gw55iQ","https://app.hypeauditor.com/my-network/influencer/29892683/analytics/youtube/UCJrQZIFZBXJ3VD5v3Gw55iQ")</f>
        <v>https://app.hypeauditor.com/my-network/influencer/29892683/analytics/youtube/UCJrQZIFZBXJ3VD5v3Gw55iQ</v>
      </c>
      <c r="F247" s="3" t="str">
        <f>HYPERLINK("https://www.youtube.com/@PedroVeroneze/shorts","https://www.youtube.com/@PedroVeroneze/shorts")</f>
        <v>https://www.youtube.com/@PedroVeroneze/shorts</v>
      </c>
      <c r="G247" t="s">
        <v>52</v>
      </c>
      <c r="H247" t="s">
        <v>773</v>
      </c>
      <c r="I247" t="s">
        <v>269</v>
      </c>
      <c r="L247" t="s">
        <v>54</v>
      </c>
      <c r="M247">
        <v>6000</v>
      </c>
      <c r="N247" t="s">
        <v>55</v>
      </c>
      <c r="P247" t="s">
        <v>55</v>
      </c>
      <c r="R247" t="s">
        <v>54</v>
      </c>
      <c r="T247" t="s">
        <v>55</v>
      </c>
      <c r="X247" t="s">
        <v>55</v>
      </c>
      <c r="Z247" t="s">
        <v>54</v>
      </c>
      <c r="AB247" t="s">
        <v>55</v>
      </c>
      <c r="AD247" t="s">
        <v>55</v>
      </c>
      <c r="AF247" t="s">
        <v>55</v>
      </c>
      <c r="AH247" t="s">
        <v>55</v>
      </c>
      <c r="AJ247" t="s">
        <v>54</v>
      </c>
      <c r="AK247">
        <v>2000</v>
      </c>
      <c r="AL247">
        <v>0.0561</v>
      </c>
      <c r="AM247" t="s">
        <v>1157</v>
      </c>
      <c r="AO247" t="s">
        <v>1158</v>
      </c>
      <c r="AP247" t="s">
        <v>184</v>
      </c>
      <c r="AQ247" t="s">
        <v>185</v>
      </c>
      <c r="AR247" t="s">
        <v>184</v>
      </c>
      <c r="AS247" t="s">
        <v>185</v>
      </c>
      <c r="AV247" t="s">
        <v>1154</v>
      </c>
    </row>
    <row r="248" ht="25.5" customHeight="1" spans="1:41">
      <c r="A248" t="s">
        <v>1159</v>
      </c>
      <c r="E248" s="3"/>
      <c r="F248" s="3" t="str">
        <f>HYPERLINK("https://www.tiktok.com/@black2k","https://www.tiktok.com/@black2k")</f>
        <v>https://www.tiktok.com/@black2k</v>
      </c>
      <c r="G248" t="s">
        <v>52</v>
      </c>
      <c r="H248" t="s">
        <v>773</v>
      </c>
      <c r="L248" t="s">
        <v>54</v>
      </c>
      <c r="P248" t="s">
        <v>55</v>
      </c>
      <c r="R248" t="s">
        <v>54</v>
      </c>
      <c r="T248" t="s">
        <v>55</v>
      </c>
      <c r="X248" t="s">
        <v>55</v>
      </c>
      <c r="Z248" t="s">
        <v>54</v>
      </c>
      <c r="AB248" t="s">
        <v>55</v>
      </c>
      <c r="AD248" t="s">
        <v>55</v>
      </c>
      <c r="AF248" t="s">
        <v>55</v>
      </c>
      <c r="AH248" t="s">
        <v>55</v>
      </c>
      <c r="AJ248" t="s">
        <v>54</v>
      </c>
      <c r="AM248" t="s">
        <v>54</v>
      </c>
      <c r="AO248" t="s">
        <v>54</v>
      </c>
    </row>
    <row r="249" ht="25.5" customHeight="1" spans="1:45">
      <c r="A249" t="s">
        <v>1160</v>
      </c>
      <c r="C249" t="s">
        <v>82</v>
      </c>
      <c r="E249" s="3" t="str">
        <f>HYPERLINK("https://app.hypeauditor.com/my-network/influencer/18137734/analytics/tiktok/nowistech","https://app.hypeauditor.com/my-network/influencer/18137734/analytics/tiktok/nowistech")</f>
        <v>https://app.hypeauditor.com/my-network/influencer/18137734/analytics/tiktok/nowistech</v>
      </c>
      <c r="F249" s="3" t="str">
        <f>HYPERLINK("https://www.tiktok.com/@nowistech","https://www.tiktok.com/@nowistech")</f>
        <v>https://www.tiktok.com/@nowistech</v>
      </c>
      <c r="G249" t="s">
        <v>52</v>
      </c>
      <c r="H249" t="s">
        <v>773</v>
      </c>
      <c r="I249" t="s">
        <v>56</v>
      </c>
      <c r="K249" t="s">
        <v>58</v>
      </c>
      <c r="L249" t="s">
        <v>59</v>
      </c>
      <c r="M249">
        <v>734600</v>
      </c>
      <c r="N249" t="s">
        <v>1161</v>
      </c>
      <c r="P249" t="s">
        <v>55</v>
      </c>
      <c r="R249" t="s">
        <v>54</v>
      </c>
      <c r="T249" t="s">
        <v>55</v>
      </c>
      <c r="X249" t="s">
        <v>55</v>
      </c>
      <c r="Z249" t="s">
        <v>54</v>
      </c>
      <c r="AB249" t="s">
        <v>55</v>
      </c>
      <c r="AD249" t="s">
        <v>55</v>
      </c>
      <c r="AF249" t="s">
        <v>55</v>
      </c>
      <c r="AH249" t="s">
        <v>55</v>
      </c>
      <c r="AJ249" t="s">
        <v>54</v>
      </c>
      <c r="AK249">
        <v>71400</v>
      </c>
      <c r="AL249">
        <v>0.0337</v>
      </c>
      <c r="AM249" t="s">
        <v>1162</v>
      </c>
      <c r="AN249">
        <v>450</v>
      </c>
      <c r="AO249" t="s">
        <v>1163</v>
      </c>
      <c r="AP249" t="s">
        <v>1164</v>
      </c>
      <c r="AQ249" t="s">
        <v>1165</v>
      </c>
      <c r="AR249" t="s">
        <v>1166</v>
      </c>
      <c r="AS249" t="s">
        <v>1167</v>
      </c>
    </row>
    <row r="250" ht="25.5" customHeight="1" spans="5:48">
      <c r="E250" s="3" t="str">
        <f>HYPERLINK("https://app.hypeauditor.com/my-network/influencer/19111750/analytics/instagram/nowistech_","https://app.hypeauditor.com/my-network/influencer/19111750/analytics/instagram/nowistech_")</f>
        <v>https://app.hypeauditor.com/my-network/influencer/19111750/analytics/instagram/nowistech_</v>
      </c>
      <c r="F250" s="3" t="str">
        <f>HYPERLINK("https://www.instagram.com/artselected/reels/","https://www.instagram.com/artselected/reels/")</f>
        <v>https://www.instagram.com/artselected/reels/</v>
      </c>
      <c r="G250" t="s">
        <v>52</v>
      </c>
      <c r="H250" t="s">
        <v>773</v>
      </c>
      <c r="I250" t="s">
        <v>65</v>
      </c>
      <c r="L250" t="s">
        <v>54</v>
      </c>
      <c r="M250">
        <v>32600</v>
      </c>
      <c r="N250" t="s">
        <v>55</v>
      </c>
      <c r="P250" t="s">
        <v>55</v>
      </c>
      <c r="R250" t="s">
        <v>54</v>
      </c>
      <c r="T250" t="s">
        <v>55</v>
      </c>
      <c r="X250" t="s">
        <v>55</v>
      </c>
      <c r="Z250" t="s">
        <v>54</v>
      </c>
      <c r="AB250" t="s">
        <v>55</v>
      </c>
      <c r="AD250" t="s">
        <v>55</v>
      </c>
      <c r="AF250" t="s">
        <v>55</v>
      </c>
      <c r="AH250" t="s">
        <v>55</v>
      </c>
      <c r="AJ250" t="s">
        <v>54</v>
      </c>
      <c r="AK250">
        <v>4800</v>
      </c>
      <c r="AL250">
        <v>0.0103</v>
      </c>
      <c r="AM250" t="s">
        <v>1168</v>
      </c>
      <c r="AO250" t="s">
        <v>1169</v>
      </c>
      <c r="AP250" t="s">
        <v>184</v>
      </c>
      <c r="AQ250" t="s">
        <v>185</v>
      </c>
      <c r="AR250" t="s">
        <v>184</v>
      </c>
      <c r="AS250" t="s">
        <v>185</v>
      </c>
      <c r="AV250" t="s">
        <v>1160</v>
      </c>
    </row>
    <row r="251" ht="25.5" customHeight="1" spans="5:48">
      <c r="E251" s="3"/>
      <c r="F251" s="3" t="str">
        <f>HYPERLINK("https://www.youtube.com/@Nowis/shorts","https://www.youtube.com/@Nowis/shorts")</f>
        <v>https://www.youtube.com/@Nowis/shorts</v>
      </c>
      <c r="G251" t="s">
        <v>52</v>
      </c>
      <c r="H251" t="s">
        <v>773</v>
      </c>
      <c r="I251" t="s">
        <v>269</v>
      </c>
      <c r="L251" t="s">
        <v>54</v>
      </c>
      <c r="M251">
        <v>7300</v>
      </c>
      <c r="N251" t="s">
        <v>55</v>
      </c>
      <c r="P251" t="s">
        <v>55</v>
      </c>
      <c r="R251" t="s">
        <v>54</v>
      </c>
      <c r="T251" t="s">
        <v>55</v>
      </c>
      <c r="X251" t="s">
        <v>55</v>
      </c>
      <c r="Z251" t="s">
        <v>54</v>
      </c>
      <c r="AB251" t="s">
        <v>55</v>
      </c>
      <c r="AD251" t="s">
        <v>55</v>
      </c>
      <c r="AF251" t="s">
        <v>55</v>
      </c>
      <c r="AH251" t="s">
        <v>55</v>
      </c>
      <c r="AJ251" t="s">
        <v>54</v>
      </c>
      <c r="AK251">
        <v>959</v>
      </c>
      <c r="AL251">
        <v>0.0247</v>
      </c>
      <c r="AM251" t="s">
        <v>1170</v>
      </c>
      <c r="AO251" t="s">
        <v>1171</v>
      </c>
      <c r="AP251" t="s">
        <v>184</v>
      </c>
      <c r="AQ251" t="s">
        <v>185</v>
      </c>
      <c r="AR251" t="s">
        <v>184</v>
      </c>
      <c r="AS251" t="s">
        <v>185</v>
      </c>
      <c r="AV251" t="s">
        <v>1160</v>
      </c>
    </row>
    <row r="252" ht="25.5" customHeight="1" spans="1:45">
      <c r="A252" t="s">
        <v>1172</v>
      </c>
      <c r="C252" t="s">
        <v>72</v>
      </c>
      <c r="E252" s="3" t="str">
        <f>HYPERLINK("https://app.hypeauditor.com/my-network/influencer/31464475/analytics/tiktok/janyuri","https://app.hypeauditor.com/my-network/influencer/31464475/analytics/tiktok/janyuri")</f>
        <v>https://app.hypeauditor.com/my-network/influencer/31464475/analytics/tiktok/janyuri</v>
      </c>
      <c r="F252" s="3" t="str">
        <f>HYPERLINK("https://www.tiktok.com/@janyuri","https://www.tiktok.com/@janyuri")</f>
        <v>https://www.tiktok.com/@janyuri</v>
      </c>
      <c r="G252" t="s">
        <v>52</v>
      </c>
      <c r="H252" t="s">
        <v>773</v>
      </c>
      <c r="I252" t="s">
        <v>56</v>
      </c>
      <c r="K252" t="s">
        <v>89</v>
      </c>
      <c r="L252" t="s">
        <v>54</v>
      </c>
      <c r="M252">
        <v>51000</v>
      </c>
      <c r="N252" t="s">
        <v>55</v>
      </c>
      <c r="P252" t="s">
        <v>55</v>
      </c>
      <c r="R252" t="s">
        <v>54</v>
      </c>
      <c r="T252" t="s">
        <v>55</v>
      </c>
      <c r="X252" t="s">
        <v>55</v>
      </c>
      <c r="Z252" t="s">
        <v>54</v>
      </c>
      <c r="AB252" t="s">
        <v>55</v>
      </c>
      <c r="AD252" t="s">
        <v>55</v>
      </c>
      <c r="AF252" t="s">
        <v>55</v>
      </c>
      <c r="AH252" t="s">
        <v>55</v>
      </c>
      <c r="AJ252" t="s">
        <v>54</v>
      </c>
      <c r="AK252">
        <v>3100</v>
      </c>
      <c r="AL252">
        <v>0.0736</v>
      </c>
      <c r="AM252" t="s">
        <v>1173</v>
      </c>
      <c r="AN252">
        <v>200</v>
      </c>
      <c r="AO252" t="s">
        <v>1174</v>
      </c>
      <c r="AP252" t="s">
        <v>1175</v>
      </c>
      <c r="AQ252" t="s">
        <v>55</v>
      </c>
      <c r="AR252" t="s">
        <v>1176</v>
      </c>
      <c r="AS252" t="s">
        <v>55</v>
      </c>
    </row>
    <row r="253" ht="25.5" customHeight="1" spans="5:48">
      <c r="E253" s="3" t="str">
        <f>HYPERLINK("https://app.hypeauditor.com/my-network/influencer/24745325/analytics/instagram/janyuri_","https://app.hypeauditor.com/my-network/influencer/24745325/analytics/instagram/janyuri_")</f>
        <v>https://app.hypeauditor.com/my-network/influencer/24745325/analytics/instagram/janyuri_</v>
      </c>
      <c r="F253" s="3" t="str">
        <f>HYPERLINK("https://www.instagram.com/janyuri_/","https://www.instagram.com/janyuri_/")</f>
        <v>https://www.instagram.com/janyuri_/</v>
      </c>
      <c r="G253" t="s">
        <v>52</v>
      </c>
      <c r="H253" t="s">
        <v>773</v>
      </c>
      <c r="I253" t="s">
        <v>65</v>
      </c>
      <c r="L253" t="s">
        <v>54</v>
      </c>
      <c r="M253">
        <v>56600</v>
      </c>
      <c r="N253" t="s">
        <v>55</v>
      </c>
      <c r="P253" t="s">
        <v>55</v>
      </c>
      <c r="R253" t="s">
        <v>54</v>
      </c>
      <c r="T253" t="s">
        <v>55</v>
      </c>
      <c r="X253" t="s">
        <v>55</v>
      </c>
      <c r="Z253" t="s">
        <v>54</v>
      </c>
      <c r="AB253" t="s">
        <v>55</v>
      </c>
      <c r="AD253" t="s">
        <v>55</v>
      </c>
      <c r="AF253" t="s">
        <v>55</v>
      </c>
      <c r="AH253" t="s">
        <v>55</v>
      </c>
      <c r="AJ253" t="s">
        <v>54</v>
      </c>
      <c r="AK253">
        <v>16500</v>
      </c>
      <c r="AL253">
        <v>0.011</v>
      </c>
      <c r="AM253" t="s">
        <v>1177</v>
      </c>
      <c r="AN253">
        <v>600</v>
      </c>
      <c r="AO253" t="s">
        <v>1178</v>
      </c>
      <c r="AP253" t="s">
        <v>1179</v>
      </c>
      <c r="AQ253" t="s">
        <v>55</v>
      </c>
      <c r="AR253" t="s">
        <v>1180</v>
      </c>
      <c r="AS253" t="s">
        <v>55</v>
      </c>
      <c r="AV253" t="s">
        <v>1172</v>
      </c>
    </row>
    <row r="254" ht="25.5" customHeight="1" spans="5:48">
      <c r="E254" s="3" t="str">
        <f>HYPERLINK("https://app.hypeauditor.com/my-network/influencer/24745325/analytics/youtube/UC5T8CqU5a0UPBS4Pp_sooWQ","https://app.hypeauditor.com/my-network/influencer/24745325/analytics/youtube/UC5T8CqU5a0UPBS4Pp_sooWQ")</f>
        <v>https://app.hypeauditor.com/my-network/influencer/24745325/analytics/youtube/UC5T8CqU5a0UPBS4Pp_sooWQ</v>
      </c>
      <c r="F254" s="3" t="str">
        <f>HYPERLINK("https://www.youtube.com/channel/UC5T8CqU5a0UPBS4Pp_sooWQ","https://www.youtube.com/channel/UC5T8CqU5a0UPBS4Pp_sooWQ")</f>
        <v>https://www.youtube.com/channel/UC5T8CqU5a0UPBS4Pp_sooWQ</v>
      </c>
      <c r="G254" t="s">
        <v>52</v>
      </c>
      <c r="H254" t="s">
        <v>773</v>
      </c>
      <c r="I254" t="s">
        <v>269</v>
      </c>
      <c r="L254" t="s">
        <v>54</v>
      </c>
      <c r="M254">
        <v>17500</v>
      </c>
      <c r="N254" t="s">
        <v>55</v>
      </c>
      <c r="P254" t="s">
        <v>55</v>
      </c>
      <c r="R254" t="s">
        <v>54</v>
      </c>
      <c r="T254" t="s">
        <v>55</v>
      </c>
      <c r="X254" t="s">
        <v>55</v>
      </c>
      <c r="Z254" t="s">
        <v>54</v>
      </c>
      <c r="AB254" t="s">
        <v>55</v>
      </c>
      <c r="AD254" t="s">
        <v>55</v>
      </c>
      <c r="AF254" t="s">
        <v>55</v>
      </c>
      <c r="AH254" t="s">
        <v>55</v>
      </c>
      <c r="AJ254" t="s">
        <v>54</v>
      </c>
      <c r="AK254">
        <v>1500</v>
      </c>
      <c r="AL254">
        <v>0.0624</v>
      </c>
      <c r="AM254" t="s">
        <v>1181</v>
      </c>
      <c r="AO254" t="s">
        <v>1182</v>
      </c>
      <c r="AP254" t="s">
        <v>184</v>
      </c>
      <c r="AQ254" t="s">
        <v>185</v>
      </c>
      <c r="AR254" t="s">
        <v>184</v>
      </c>
      <c r="AS254" t="s">
        <v>185</v>
      </c>
      <c r="AV254" t="s">
        <v>1172</v>
      </c>
    </row>
    <row r="255" ht="25.5" customHeight="1" spans="1:45">
      <c r="A255" t="s">
        <v>1183</v>
      </c>
      <c r="C255" t="s">
        <v>82</v>
      </c>
      <c r="E255" s="3" t="str">
        <f>HYPERLINK("https://app.hypeauditor.com/my-network/influencer/33241648/analytics/tiktok/sr7o0","https://app.hypeauditor.com/my-network/influencer/33241648/analytics/tiktok/sr7o0")</f>
        <v>https://app.hypeauditor.com/my-network/influencer/33241648/analytics/tiktok/sr7o0</v>
      </c>
      <c r="F255" s="3" t="str">
        <f>HYPERLINK("https://www.tiktok.com/@sr7o0","https://www.tiktok.com/@sr7o0")</f>
        <v>https://www.tiktok.com/@sr7o0</v>
      </c>
      <c r="G255" t="s">
        <v>52</v>
      </c>
      <c r="H255" t="s">
        <v>773</v>
      </c>
      <c r="I255" t="s">
        <v>56</v>
      </c>
      <c r="K255" t="s">
        <v>97</v>
      </c>
      <c r="L255" t="s">
        <v>54</v>
      </c>
      <c r="M255">
        <v>461900</v>
      </c>
      <c r="N255" t="s">
        <v>1184</v>
      </c>
      <c r="P255" t="s">
        <v>55</v>
      </c>
      <c r="R255" t="s">
        <v>54</v>
      </c>
      <c r="T255" t="s">
        <v>55</v>
      </c>
      <c r="X255" t="s">
        <v>55</v>
      </c>
      <c r="Z255" t="s">
        <v>54</v>
      </c>
      <c r="AB255" t="s">
        <v>55</v>
      </c>
      <c r="AD255" t="s">
        <v>55</v>
      </c>
      <c r="AF255" t="s">
        <v>55</v>
      </c>
      <c r="AH255" t="s">
        <v>55</v>
      </c>
      <c r="AJ255" t="s">
        <v>54</v>
      </c>
      <c r="AK255">
        <v>93700</v>
      </c>
      <c r="AL255">
        <v>0.0347</v>
      </c>
      <c r="AM255" t="s">
        <v>1185</v>
      </c>
      <c r="AN255">
        <v>100</v>
      </c>
      <c r="AO255" t="s">
        <v>1186</v>
      </c>
      <c r="AP255" t="s">
        <v>1187</v>
      </c>
      <c r="AQ255" t="s">
        <v>1188</v>
      </c>
      <c r="AR255" t="s">
        <v>1189</v>
      </c>
      <c r="AS255" t="s">
        <v>1190</v>
      </c>
    </row>
    <row r="256" ht="25.5" customHeight="1" spans="5:48">
      <c r="E256" s="3" t="str">
        <f>HYPERLINK("https://app.hypeauditor.com/my-network/influencer/33241648/analytics/youtube/UCIh79r7Lpli58QgucJcxmrQ","https://app.hypeauditor.com/my-network/influencer/33241648/analytics/youtube/UCIh79r7Lpli58QgucJcxmrQ")</f>
        <v>https://app.hypeauditor.com/my-network/influencer/33241648/analytics/youtube/UCIh79r7Lpli58QgucJcxmrQ</v>
      </c>
      <c r="F256" s="3" t="str">
        <f>HYPERLINK("https://www.youtube.com/@SR7OO/shorts","https://www.youtube.com/@SR7OO/shorts")</f>
        <v>https://www.youtube.com/@SR7OO/shorts</v>
      </c>
      <c r="G256" t="s">
        <v>52</v>
      </c>
      <c r="H256" t="s">
        <v>773</v>
      </c>
      <c r="I256" t="s">
        <v>269</v>
      </c>
      <c r="L256" t="s">
        <v>54</v>
      </c>
      <c r="M256">
        <v>229100</v>
      </c>
      <c r="N256" t="s">
        <v>1191</v>
      </c>
      <c r="P256" t="s">
        <v>55</v>
      </c>
      <c r="R256" t="s">
        <v>54</v>
      </c>
      <c r="T256" t="s">
        <v>55</v>
      </c>
      <c r="X256" t="s">
        <v>55</v>
      </c>
      <c r="Z256" t="s">
        <v>54</v>
      </c>
      <c r="AB256" t="s">
        <v>55</v>
      </c>
      <c r="AD256" t="s">
        <v>55</v>
      </c>
      <c r="AF256" t="s">
        <v>55</v>
      </c>
      <c r="AH256" t="s">
        <v>55</v>
      </c>
      <c r="AJ256" t="s">
        <v>54</v>
      </c>
      <c r="AK256">
        <v>65600</v>
      </c>
      <c r="AL256">
        <v>0.0539</v>
      </c>
      <c r="AM256" t="s">
        <v>1192</v>
      </c>
      <c r="AO256" t="s">
        <v>1193</v>
      </c>
      <c r="AP256" t="s">
        <v>184</v>
      </c>
      <c r="AQ256" t="s">
        <v>185</v>
      </c>
      <c r="AR256" t="s">
        <v>184</v>
      </c>
      <c r="AS256" t="s">
        <v>185</v>
      </c>
      <c r="AV256" t="s">
        <v>1183</v>
      </c>
    </row>
    <row r="257" ht="25.5" customHeight="1" spans="1:45">
      <c r="A257" t="s">
        <v>1194</v>
      </c>
      <c r="C257" t="s">
        <v>82</v>
      </c>
      <c r="E257" s="3" t="str">
        <f>HYPERLINK("https://app.hypeauditor.com/my-network/influencer/24296596/analytics/tiktok/tech_you_know","https://app.hypeauditor.com/my-network/influencer/24296596/analytics/tiktok/tech_you_know")</f>
        <v>https://app.hypeauditor.com/my-network/influencer/24296596/analytics/tiktok/tech_you_know</v>
      </c>
      <c r="F257" s="3" t="str">
        <f>HYPERLINK("https://www.tiktok.com/@tech_you_know","https://www.tiktok.com/@tech_you_know")</f>
        <v>https://www.tiktok.com/@tech_you_know</v>
      </c>
      <c r="G257" t="s">
        <v>52</v>
      </c>
      <c r="H257" t="s">
        <v>773</v>
      </c>
      <c r="I257" t="s">
        <v>56</v>
      </c>
      <c r="K257" t="s">
        <v>97</v>
      </c>
      <c r="L257" t="s">
        <v>54</v>
      </c>
      <c r="M257">
        <v>90100</v>
      </c>
      <c r="N257" t="s">
        <v>55</v>
      </c>
      <c r="P257" t="s">
        <v>55</v>
      </c>
      <c r="R257" t="s">
        <v>54</v>
      </c>
      <c r="T257" t="s">
        <v>55</v>
      </c>
      <c r="X257" t="s">
        <v>55</v>
      </c>
      <c r="Z257" t="s">
        <v>54</v>
      </c>
      <c r="AB257" t="s">
        <v>55</v>
      </c>
      <c r="AD257" t="s">
        <v>55</v>
      </c>
      <c r="AF257" t="s">
        <v>55</v>
      </c>
      <c r="AH257" t="s">
        <v>55</v>
      </c>
      <c r="AJ257" t="s">
        <v>54</v>
      </c>
      <c r="AK257">
        <v>24900</v>
      </c>
      <c r="AL257">
        <v>0.0327</v>
      </c>
      <c r="AM257" t="s">
        <v>1195</v>
      </c>
      <c r="AN257">
        <v>100</v>
      </c>
      <c r="AO257" t="s">
        <v>1196</v>
      </c>
      <c r="AP257" t="s">
        <v>1197</v>
      </c>
      <c r="AQ257" t="s">
        <v>1198</v>
      </c>
      <c r="AR257" t="s">
        <v>1199</v>
      </c>
      <c r="AS257" t="s">
        <v>1200</v>
      </c>
    </row>
    <row r="258" ht="25.5" customHeight="1" spans="1:45">
      <c r="A258" t="s">
        <v>1201</v>
      </c>
      <c r="C258" t="s">
        <v>144</v>
      </c>
      <c r="E258" s="3" t="str">
        <f>HYPERLINK("https://app.hypeauditor.com/my-network/influencer/26901895/analytics/tiktok/peshmergatech","https://app.hypeauditor.com/my-network/influencer/26901895/analytics/tiktok/peshmergatech")</f>
        <v>https://app.hypeauditor.com/my-network/influencer/26901895/analytics/tiktok/peshmergatech</v>
      </c>
      <c r="F258" s="3" t="str">
        <f>HYPERLINK("https://www.tiktok.com/@peshmergatech","https://www.tiktok.com/@peshmergatech")</f>
        <v>https://www.tiktok.com/@peshmergatech</v>
      </c>
      <c r="G258" t="s">
        <v>52</v>
      </c>
      <c r="H258" t="s">
        <v>773</v>
      </c>
      <c r="I258" t="s">
        <v>56</v>
      </c>
      <c r="K258" t="s">
        <v>1202</v>
      </c>
      <c r="L258" t="s">
        <v>54</v>
      </c>
      <c r="M258">
        <v>113200</v>
      </c>
      <c r="N258" t="s">
        <v>1203</v>
      </c>
      <c r="P258" t="s">
        <v>55</v>
      </c>
      <c r="R258" t="s">
        <v>54</v>
      </c>
      <c r="T258" t="s">
        <v>55</v>
      </c>
      <c r="X258" t="s">
        <v>55</v>
      </c>
      <c r="Z258" t="s">
        <v>54</v>
      </c>
      <c r="AB258" t="s">
        <v>55</v>
      </c>
      <c r="AD258" t="s">
        <v>55</v>
      </c>
      <c r="AF258" t="s">
        <v>55</v>
      </c>
      <c r="AH258" t="s">
        <v>55</v>
      </c>
      <c r="AJ258" t="s">
        <v>54</v>
      </c>
      <c r="AK258">
        <v>408000</v>
      </c>
      <c r="AL258">
        <v>0.0388</v>
      </c>
      <c r="AM258" t="s">
        <v>1204</v>
      </c>
      <c r="AO258" t="s">
        <v>1205</v>
      </c>
      <c r="AP258" t="s">
        <v>184</v>
      </c>
      <c r="AQ258" t="s">
        <v>185</v>
      </c>
      <c r="AR258" t="s">
        <v>184</v>
      </c>
      <c r="AS258" t="s">
        <v>185</v>
      </c>
    </row>
    <row r="259" ht="25.5" customHeight="1" spans="5:48">
      <c r="E259" s="3" t="str">
        <f>HYPERLINK("https://app.hypeauditor.com/my-network/influencer/26901895/analytics/instagram/peshmergatech","https://app.hypeauditor.com/my-network/influencer/26901895/analytics/instagram/peshmergatech")</f>
        <v>https://app.hypeauditor.com/my-network/influencer/26901895/analytics/instagram/peshmergatech</v>
      </c>
      <c r="F259" s="3" t="str">
        <f>HYPERLINK("https://www.instagram.com/peshmergatech/","https://www.instagram.com/peshmergatech/")</f>
        <v>https://www.instagram.com/peshmergatech/</v>
      </c>
      <c r="G259" t="s">
        <v>52</v>
      </c>
      <c r="H259" t="s">
        <v>773</v>
      </c>
      <c r="I259" t="s">
        <v>65</v>
      </c>
      <c r="L259" t="s">
        <v>54</v>
      </c>
      <c r="M259">
        <v>120500</v>
      </c>
      <c r="N259" t="s">
        <v>1206</v>
      </c>
      <c r="P259" t="s">
        <v>55</v>
      </c>
      <c r="R259" t="s">
        <v>54</v>
      </c>
      <c r="T259" t="s">
        <v>55</v>
      </c>
      <c r="X259" t="s">
        <v>55</v>
      </c>
      <c r="Z259" t="s">
        <v>54</v>
      </c>
      <c r="AB259" t="s">
        <v>55</v>
      </c>
      <c r="AD259" t="s">
        <v>55</v>
      </c>
      <c r="AF259" t="s">
        <v>55</v>
      </c>
      <c r="AH259" t="s">
        <v>55</v>
      </c>
      <c r="AJ259" t="s">
        <v>54</v>
      </c>
      <c r="AK259">
        <v>82400</v>
      </c>
      <c r="AL259">
        <v>0.0499</v>
      </c>
      <c r="AM259" t="s">
        <v>1207</v>
      </c>
      <c r="AO259" t="s">
        <v>1208</v>
      </c>
      <c r="AP259" t="s">
        <v>184</v>
      </c>
      <c r="AQ259" t="s">
        <v>185</v>
      </c>
      <c r="AR259" t="s">
        <v>184</v>
      </c>
      <c r="AS259" t="s">
        <v>185</v>
      </c>
      <c r="AV259" t="s">
        <v>1201</v>
      </c>
    </row>
    <row r="260" ht="25.5" customHeight="1" spans="5:48">
      <c r="E260" s="3" t="str">
        <f>HYPERLINK("https://app.hypeauditor.com/my-network/influencer/23183123/analytics/youtube/UCmLPnBnLw8Hc-CPOk_j9Usw","https://app.hypeauditor.com/my-network/influencer/23183123/analytics/youtube/UCmLPnBnLw8Hc-CPOk_j9Usw")</f>
        <v>https://app.hypeauditor.com/my-network/influencer/23183123/analytics/youtube/UCmLPnBnLw8Hc-CPOk_j9Usw</v>
      </c>
      <c r="F260" s="3" t="str">
        <f>HYPERLINK("http://www.youtube.com/@penlar/shorts","www.youtube.com/@penlar/shorts")</f>
        <v>www.youtube.com/@penlar/shorts</v>
      </c>
      <c r="G260" t="s">
        <v>52</v>
      </c>
      <c r="H260" t="s">
        <v>773</v>
      </c>
      <c r="I260" t="s">
        <v>269</v>
      </c>
      <c r="L260" t="s">
        <v>54</v>
      </c>
      <c r="M260">
        <v>111100</v>
      </c>
      <c r="N260" t="s">
        <v>1209</v>
      </c>
      <c r="P260" t="s">
        <v>55</v>
      </c>
      <c r="R260" t="s">
        <v>54</v>
      </c>
      <c r="T260" t="s">
        <v>55</v>
      </c>
      <c r="X260" t="s">
        <v>55</v>
      </c>
      <c r="Z260" t="s">
        <v>54</v>
      </c>
      <c r="AB260" t="s">
        <v>55</v>
      </c>
      <c r="AD260" t="s">
        <v>55</v>
      </c>
      <c r="AF260" t="s">
        <v>55</v>
      </c>
      <c r="AH260" t="s">
        <v>55</v>
      </c>
      <c r="AJ260" t="s">
        <v>54</v>
      </c>
      <c r="AK260">
        <v>6400</v>
      </c>
      <c r="AL260">
        <v>0.0294</v>
      </c>
      <c r="AM260" t="s">
        <v>1210</v>
      </c>
      <c r="AO260" t="s">
        <v>1211</v>
      </c>
      <c r="AP260" t="s">
        <v>184</v>
      </c>
      <c r="AQ260" t="s">
        <v>185</v>
      </c>
      <c r="AR260" t="s">
        <v>184</v>
      </c>
      <c r="AS260" t="s">
        <v>185</v>
      </c>
      <c r="AV260" t="s">
        <v>1212</v>
      </c>
    </row>
    <row r="261" ht="25.5" customHeight="1" spans="5:48">
      <c r="E261" s="3" t="str">
        <f>HYPERLINK("https://app.hypeauditor.com/my-network/influencer/32540793/analytics/tiktok/penlar","https://app.hypeauditor.com/my-network/influencer/32540793/analytics/tiktok/penlar")</f>
        <v>https://app.hypeauditor.com/my-network/influencer/32540793/analytics/tiktok/penlar</v>
      </c>
      <c r="F261" s="3" t="str">
        <f>HYPERLINK("https://www.tiktok.com/@penlar","https://www.tiktok.com/@penlar")</f>
        <v>https://www.tiktok.com/@penlar</v>
      </c>
      <c r="G261" t="s">
        <v>52</v>
      </c>
      <c r="H261" t="s">
        <v>773</v>
      </c>
      <c r="I261" t="s">
        <v>56</v>
      </c>
      <c r="L261" t="s">
        <v>54</v>
      </c>
      <c r="M261">
        <v>234600</v>
      </c>
      <c r="N261" t="s">
        <v>1213</v>
      </c>
      <c r="P261" t="s">
        <v>55</v>
      </c>
      <c r="R261" t="s">
        <v>54</v>
      </c>
      <c r="T261" t="s">
        <v>55</v>
      </c>
      <c r="X261" t="s">
        <v>55</v>
      </c>
      <c r="Z261" t="s">
        <v>54</v>
      </c>
      <c r="AB261" t="s">
        <v>55</v>
      </c>
      <c r="AD261" t="s">
        <v>55</v>
      </c>
      <c r="AF261" t="s">
        <v>55</v>
      </c>
      <c r="AH261" t="s">
        <v>55</v>
      </c>
      <c r="AJ261" t="s">
        <v>54</v>
      </c>
      <c r="AK261">
        <v>1200</v>
      </c>
      <c r="AL261">
        <v>0.0296</v>
      </c>
      <c r="AM261" t="s">
        <v>1214</v>
      </c>
      <c r="AO261" t="s">
        <v>1215</v>
      </c>
      <c r="AP261" t="s">
        <v>184</v>
      </c>
      <c r="AQ261" t="s">
        <v>185</v>
      </c>
      <c r="AR261" t="s">
        <v>184</v>
      </c>
      <c r="AS261" t="s">
        <v>185</v>
      </c>
      <c r="AV261" t="s">
        <v>1212</v>
      </c>
    </row>
    <row r="262" ht="25.5" customHeight="1" spans="5:48">
      <c r="E262" s="3" t="str">
        <f>HYPERLINK("https://app.hypeauditor.com/my-network/influencer/26901895/analytics/youtube/UC9q2dLZxChjAhz6YieoKcDA","https://app.hypeauditor.com/my-network/influencer/26901895/analytics/youtube/UC9q2dLZxChjAhz6YieoKcDA")</f>
        <v>https://app.hypeauditor.com/my-network/influencer/26901895/analytics/youtube/UC9q2dLZxChjAhz6YieoKcDA</v>
      </c>
      <c r="F262" s="3" t="str">
        <f>HYPERLINK("https://www.youtube.com/channel/UC9q2dLZxChjAhz6YieoKcDA","https://www.youtube.com/channel/UC9q2dLZxChjAhz6YieoKcDA")</f>
        <v>https://www.youtube.com/channel/UC9q2dLZxChjAhz6YieoKcDA</v>
      </c>
      <c r="G262" t="s">
        <v>52</v>
      </c>
      <c r="H262" t="s">
        <v>773</v>
      </c>
      <c r="I262" t="s">
        <v>269</v>
      </c>
      <c r="L262" t="s">
        <v>54</v>
      </c>
      <c r="M262">
        <v>71100</v>
      </c>
      <c r="N262" t="s">
        <v>55</v>
      </c>
      <c r="P262" t="s">
        <v>55</v>
      </c>
      <c r="R262" t="s">
        <v>54</v>
      </c>
      <c r="T262" t="s">
        <v>55</v>
      </c>
      <c r="X262" t="s">
        <v>55</v>
      </c>
      <c r="Z262" t="s">
        <v>54</v>
      </c>
      <c r="AB262" t="s">
        <v>55</v>
      </c>
      <c r="AD262" t="s">
        <v>55</v>
      </c>
      <c r="AF262" t="s">
        <v>55</v>
      </c>
      <c r="AH262" t="s">
        <v>55</v>
      </c>
      <c r="AJ262" t="s">
        <v>54</v>
      </c>
      <c r="AK262">
        <v>484500</v>
      </c>
      <c r="AL262">
        <v>0.0432</v>
      </c>
      <c r="AM262" t="s">
        <v>1216</v>
      </c>
      <c r="AO262" t="s">
        <v>1217</v>
      </c>
      <c r="AP262" t="s">
        <v>184</v>
      </c>
      <c r="AQ262" t="s">
        <v>185</v>
      </c>
      <c r="AR262" t="s">
        <v>184</v>
      </c>
      <c r="AS262" t="s">
        <v>185</v>
      </c>
      <c r="AV262" t="s">
        <v>1201</v>
      </c>
    </row>
    <row r="263" ht="25.5" customHeight="1" spans="1:45">
      <c r="A263" t="s">
        <v>1212</v>
      </c>
      <c r="C263" t="s">
        <v>82</v>
      </c>
      <c r="E263" s="3" t="str">
        <f>HYPERLINK("https://app.hypeauditor.com/my-network/influencer/1629064/analytics/instagram/penlar.pc","https://app.hypeauditor.com/my-network/influencer/1629064/analytics/instagram/penlar.pc")</f>
        <v>https://app.hypeauditor.com/my-network/influencer/1629064/analytics/instagram/penlar.pc</v>
      </c>
      <c r="F263" s="3" t="str">
        <f>HYPERLINK("https://www.instagram.com/penlar.pc/reels/","https://www.instagram.com/penlar.pc/reels/")</f>
        <v>https://www.instagram.com/penlar.pc/reels/</v>
      </c>
      <c r="G263" t="s">
        <v>52</v>
      </c>
      <c r="H263" t="s">
        <v>773</v>
      </c>
      <c r="I263" t="s">
        <v>65</v>
      </c>
      <c r="K263" t="s">
        <v>58</v>
      </c>
      <c r="L263" t="s">
        <v>59</v>
      </c>
      <c r="M263">
        <v>451800</v>
      </c>
      <c r="N263" t="s">
        <v>1218</v>
      </c>
      <c r="P263" t="s">
        <v>55</v>
      </c>
      <c r="R263" t="s">
        <v>54</v>
      </c>
      <c r="T263" t="s">
        <v>55</v>
      </c>
      <c r="X263" t="s">
        <v>55</v>
      </c>
      <c r="Z263" t="s">
        <v>54</v>
      </c>
      <c r="AB263" t="s">
        <v>55</v>
      </c>
      <c r="AD263" t="s">
        <v>55</v>
      </c>
      <c r="AF263" t="s">
        <v>55</v>
      </c>
      <c r="AH263" t="s">
        <v>55</v>
      </c>
      <c r="AJ263" t="s">
        <v>54</v>
      </c>
      <c r="AK263">
        <v>40500</v>
      </c>
      <c r="AL263">
        <v>0.0014</v>
      </c>
      <c r="AM263" t="s">
        <v>1219</v>
      </c>
      <c r="AN263">
        <v>800</v>
      </c>
      <c r="AO263" t="s">
        <v>1220</v>
      </c>
      <c r="AP263" t="s">
        <v>1221</v>
      </c>
      <c r="AQ263" t="s">
        <v>1222</v>
      </c>
      <c r="AR263" t="s">
        <v>1223</v>
      </c>
      <c r="AS263" t="s">
        <v>55</v>
      </c>
    </row>
    <row r="264" ht="25.5" customHeight="1" spans="5:48">
      <c r="E264" s="3" t="str">
        <f>HYPERLINK("https://app.hypeauditor.com/my-network/influencer/18533899/analytics/instagram/penlar.es","https://app.hypeauditor.com/my-network/influencer/18533899/analytics/instagram/penlar.es")</f>
        <v>https://app.hypeauditor.com/my-network/influencer/18533899/analytics/instagram/penlar.es</v>
      </c>
      <c r="F264" s="3" t="str">
        <f>HYPERLINK("https://www.instagram.com/penlar.es/reels/","https://www.instagram.com/penlar.es/reels/")</f>
        <v>https://www.instagram.com/penlar.es/reels/</v>
      </c>
      <c r="G264" t="s">
        <v>52</v>
      </c>
      <c r="H264" t="s">
        <v>773</v>
      </c>
      <c r="I264" t="s">
        <v>65</v>
      </c>
      <c r="L264" t="s">
        <v>54</v>
      </c>
      <c r="M264">
        <v>175700</v>
      </c>
      <c r="N264" t="s">
        <v>1224</v>
      </c>
      <c r="P264" t="s">
        <v>55</v>
      </c>
      <c r="R264" t="s">
        <v>54</v>
      </c>
      <c r="T264" t="s">
        <v>55</v>
      </c>
      <c r="X264" t="s">
        <v>55</v>
      </c>
      <c r="Z264" t="s">
        <v>54</v>
      </c>
      <c r="AB264" t="s">
        <v>55</v>
      </c>
      <c r="AD264" t="s">
        <v>55</v>
      </c>
      <c r="AF264" t="s">
        <v>55</v>
      </c>
      <c r="AH264" t="s">
        <v>55</v>
      </c>
      <c r="AJ264" t="s">
        <v>54</v>
      </c>
      <c r="AK264">
        <v>33300</v>
      </c>
      <c r="AL264">
        <v>0.0025</v>
      </c>
      <c r="AM264" t="s">
        <v>1225</v>
      </c>
      <c r="AO264" t="s">
        <v>1226</v>
      </c>
      <c r="AP264" t="s">
        <v>184</v>
      </c>
      <c r="AQ264" t="s">
        <v>185</v>
      </c>
      <c r="AR264" t="s">
        <v>184</v>
      </c>
      <c r="AS264" t="s">
        <v>185</v>
      </c>
      <c r="AV264" t="s">
        <v>1212</v>
      </c>
    </row>
    <row r="265" ht="25.5" customHeight="1" spans="1:45">
      <c r="A265" t="s">
        <v>1227</v>
      </c>
      <c r="C265" t="s">
        <v>131</v>
      </c>
      <c r="E265" s="3" t="str">
        <f>HYPERLINK("https://app.hypeauditor.com/my-network/influencer/26896943/analytics/tiktok/techknowbiz","https://app.hypeauditor.com/my-network/influencer/26896943/analytics/tiktok/techknowbiz")</f>
        <v>https://app.hypeauditor.com/my-network/influencer/26896943/analytics/tiktok/techknowbiz</v>
      </c>
      <c r="F265" s="3" t="str">
        <f>HYPERLINK("https://www.tiktok.com/@techknowbiz","https://www.tiktok.com/@techknowbiz")</f>
        <v>https://www.tiktok.com/@techknowbiz</v>
      </c>
      <c r="G265" t="s">
        <v>52</v>
      </c>
      <c r="H265" t="s">
        <v>773</v>
      </c>
      <c r="I265" t="s">
        <v>56</v>
      </c>
      <c r="K265" t="s">
        <v>58</v>
      </c>
      <c r="L265" t="s">
        <v>59</v>
      </c>
      <c r="M265">
        <v>80100</v>
      </c>
      <c r="N265" t="s">
        <v>55</v>
      </c>
      <c r="P265" t="s">
        <v>55</v>
      </c>
      <c r="R265" t="s">
        <v>54</v>
      </c>
      <c r="T265" t="s">
        <v>55</v>
      </c>
      <c r="X265" t="s">
        <v>55</v>
      </c>
      <c r="Z265" t="s">
        <v>54</v>
      </c>
      <c r="AB265" t="s">
        <v>55</v>
      </c>
      <c r="AD265" t="s">
        <v>55</v>
      </c>
      <c r="AF265" t="s">
        <v>55</v>
      </c>
      <c r="AH265" t="s">
        <v>55</v>
      </c>
      <c r="AJ265" t="s">
        <v>54</v>
      </c>
      <c r="AK265">
        <v>8600</v>
      </c>
      <c r="AL265">
        <v>0.0303</v>
      </c>
      <c r="AM265" t="s">
        <v>1228</v>
      </c>
      <c r="AN265">
        <v>100</v>
      </c>
      <c r="AO265" t="s">
        <v>1229</v>
      </c>
      <c r="AP265" t="s">
        <v>1230</v>
      </c>
      <c r="AQ265" t="s">
        <v>1231</v>
      </c>
      <c r="AR265" t="s">
        <v>1232</v>
      </c>
      <c r="AS265" t="s">
        <v>55</v>
      </c>
    </row>
    <row r="266" ht="25.5" customHeight="1" spans="5:48">
      <c r="E266" s="3" t="str">
        <f>HYPERLINK("https://app.hypeauditor.com/my-network/influencer/12061940/analytics/youtube/UCIyAqRDsim1CZHh_EpIi6BQ","https://app.hypeauditor.com/my-network/influencer/12061940/analytics/youtube/UCIyAqRDsim1CZHh_EpIi6BQ")</f>
        <v>https://app.hypeauditor.com/my-network/influencer/12061940/analytics/youtube/UCIyAqRDsim1CZHh_EpIi6BQ</v>
      </c>
      <c r="F266" s="3" t="str">
        <f>HYPERLINK("https://www.youtube.com/channel/UCIyAqRDsim1CZHh_EpIi6BQ","https://www.youtube.com/channel/UCIyAqRDsim1CZHh_EpIi6BQ")</f>
        <v>https://www.youtube.com/channel/UCIyAqRDsim1CZHh_EpIi6BQ</v>
      </c>
      <c r="G266" t="s">
        <v>52</v>
      </c>
      <c r="H266" t="s">
        <v>773</v>
      </c>
      <c r="I266" t="s">
        <v>269</v>
      </c>
      <c r="L266" t="s">
        <v>54</v>
      </c>
      <c r="M266">
        <v>21800</v>
      </c>
      <c r="N266" t="s">
        <v>55</v>
      </c>
      <c r="P266" t="s">
        <v>55</v>
      </c>
      <c r="R266" t="s">
        <v>54</v>
      </c>
      <c r="T266" t="s">
        <v>55</v>
      </c>
      <c r="X266" t="s">
        <v>55</v>
      </c>
      <c r="Z266" t="s">
        <v>54</v>
      </c>
      <c r="AB266" t="s">
        <v>55</v>
      </c>
      <c r="AD266" t="s">
        <v>55</v>
      </c>
      <c r="AF266" t="s">
        <v>55</v>
      </c>
      <c r="AH266" t="s">
        <v>55</v>
      </c>
      <c r="AJ266" t="s">
        <v>54</v>
      </c>
      <c r="AK266">
        <v>2500</v>
      </c>
      <c r="AL266">
        <v>0.0418</v>
      </c>
      <c r="AM266" t="s">
        <v>1233</v>
      </c>
      <c r="AO266" t="s">
        <v>1234</v>
      </c>
      <c r="AP266" t="s">
        <v>184</v>
      </c>
      <c r="AQ266" t="s">
        <v>185</v>
      </c>
      <c r="AR266" t="s">
        <v>184</v>
      </c>
      <c r="AS266" t="s">
        <v>185</v>
      </c>
      <c r="AV266" t="s">
        <v>1227</v>
      </c>
    </row>
    <row r="267" ht="25.5" customHeight="1" spans="5:48">
      <c r="E267" s="3"/>
      <c r="F267" s="3" t="str">
        <f>HYPERLINK("https://www.instagram.com/techknow_biz/","https://www.instagram.com/techknow_biz/")</f>
        <v>https://www.instagram.com/techknow_biz/</v>
      </c>
      <c r="G267" t="s">
        <v>52</v>
      </c>
      <c r="H267" t="s">
        <v>773</v>
      </c>
      <c r="I267" t="s">
        <v>65</v>
      </c>
      <c r="L267" t="s">
        <v>54</v>
      </c>
      <c r="M267">
        <v>1515</v>
      </c>
      <c r="N267" t="s">
        <v>55</v>
      </c>
      <c r="P267" t="s">
        <v>55</v>
      </c>
      <c r="R267" t="s">
        <v>54</v>
      </c>
      <c r="T267" t="s">
        <v>55</v>
      </c>
      <c r="X267" t="s">
        <v>55</v>
      </c>
      <c r="Z267" t="s">
        <v>54</v>
      </c>
      <c r="AB267" t="s">
        <v>55</v>
      </c>
      <c r="AD267" t="s">
        <v>55</v>
      </c>
      <c r="AF267" t="s">
        <v>55</v>
      </c>
      <c r="AH267" t="s">
        <v>55</v>
      </c>
      <c r="AJ267" t="s">
        <v>54</v>
      </c>
      <c r="AM267" t="s">
        <v>54</v>
      </c>
      <c r="AO267" t="s">
        <v>54</v>
      </c>
      <c r="AV267" t="s">
        <v>1227</v>
      </c>
    </row>
    <row r="268" ht="25.5" customHeight="1" spans="1:45">
      <c r="A268" t="s">
        <v>1235</v>
      </c>
      <c r="C268" t="s">
        <v>144</v>
      </c>
      <c r="E268" s="3" t="str">
        <f>HYPERLINK("https://app.hypeauditor.com/my-network/influencer/31383905/analytics/tiktok/streep.reviews","https://app.hypeauditor.com/my-network/influencer/31383905/analytics/tiktok/streep.reviews")</f>
        <v>https://app.hypeauditor.com/my-network/influencer/31383905/analytics/tiktok/streep.reviews</v>
      </c>
      <c r="F268" s="3" t="str">
        <f>HYPERLINK("https://www.tiktok.com/@streep.reviews","https://www.tiktok.com/@streep.reviews")</f>
        <v>https://www.tiktok.com/@streep.reviews</v>
      </c>
      <c r="G268" t="s">
        <v>52</v>
      </c>
      <c r="H268" t="s">
        <v>773</v>
      </c>
      <c r="I268" t="s">
        <v>56</v>
      </c>
      <c r="K268" t="s">
        <v>1236</v>
      </c>
      <c r="L268" t="s">
        <v>54</v>
      </c>
      <c r="M268">
        <v>55000</v>
      </c>
      <c r="N268" t="s">
        <v>55</v>
      </c>
      <c r="P268" t="s">
        <v>55</v>
      </c>
      <c r="R268" t="s">
        <v>54</v>
      </c>
      <c r="T268" t="s">
        <v>55</v>
      </c>
      <c r="X268" t="s">
        <v>55</v>
      </c>
      <c r="Z268" t="s">
        <v>54</v>
      </c>
      <c r="AB268" t="s">
        <v>55</v>
      </c>
      <c r="AD268" t="s">
        <v>55</v>
      </c>
      <c r="AF268" t="s">
        <v>55</v>
      </c>
      <c r="AH268" t="s">
        <v>55</v>
      </c>
      <c r="AJ268" t="s">
        <v>54</v>
      </c>
      <c r="AK268">
        <v>23800</v>
      </c>
      <c r="AL268">
        <v>0.0614</v>
      </c>
      <c r="AM268" t="s">
        <v>1237</v>
      </c>
      <c r="AO268" t="s">
        <v>1238</v>
      </c>
      <c r="AP268" t="s">
        <v>184</v>
      </c>
      <c r="AQ268" t="s">
        <v>185</v>
      </c>
      <c r="AR268" t="s">
        <v>184</v>
      </c>
      <c r="AS268" t="s">
        <v>185</v>
      </c>
    </row>
    <row r="269" ht="25.5" customHeight="1" spans="1:45">
      <c r="A269" t="s">
        <v>1239</v>
      </c>
      <c r="C269" t="s">
        <v>82</v>
      </c>
      <c r="E269" s="3" t="str">
        <f>HYPERLINK("https://app.hypeauditor.com/my-network/influencer/26306282/analytics/tiktok/technic_tricks_de","https://app.hypeauditor.com/my-network/influencer/26306282/analytics/tiktok/technic_tricks_de")</f>
        <v>https://app.hypeauditor.com/my-network/influencer/26306282/analytics/tiktok/technic_tricks_de</v>
      </c>
      <c r="F269" s="3" t="str">
        <f>HYPERLINK("https://www.tiktok.com/@technic_tricks_de","https://www.tiktok.com/@technic_tricks_de")</f>
        <v>https://www.tiktok.com/@technic_tricks_de</v>
      </c>
      <c r="G269" t="s">
        <v>52</v>
      </c>
      <c r="H269" t="s">
        <v>773</v>
      </c>
      <c r="I269" t="s">
        <v>56</v>
      </c>
      <c r="K269" t="s">
        <v>58</v>
      </c>
      <c r="L269" t="s">
        <v>59</v>
      </c>
      <c r="M269">
        <v>282600</v>
      </c>
      <c r="N269" t="s">
        <v>1240</v>
      </c>
      <c r="P269" t="s">
        <v>55</v>
      </c>
      <c r="R269" t="s">
        <v>54</v>
      </c>
      <c r="T269" t="s">
        <v>55</v>
      </c>
      <c r="X269" t="s">
        <v>55</v>
      </c>
      <c r="Z269" t="s">
        <v>54</v>
      </c>
      <c r="AB269" t="s">
        <v>55</v>
      </c>
      <c r="AD269" t="s">
        <v>55</v>
      </c>
      <c r="AF269" t="s">
        <v>55</v>
      </c>
      <c r="AH269" t="s">
        <v>55</v>
      </c>
      <c r="AJ269" t="s">
        <v>54</v>
      </c>
      <c r="AK269">
        <v>13000</v>
      </c>
      <c r="AL269">
        <v>0.0356</v>
      </c>
      <c r="AM269" t="s">
        <v>1241</v>
      </c>
      <c r="AN269">
        <v>1000</v>
      </c>
      <c r="AO269" t="s">
        <v>1242</v>
      </c>
      <c r="AP269" t="s">
        <v>1243</v>
      </c>
      <c r="AQ269" t="s">
        <v>55</v>
      </c>
      <c r="AR269" t="s">
        <v>1244</v>
      </c>
      <c r="AS269" t="s">
        <v>55</v>
      </c>
    </row>
    <row r="270" ht="25.5" customHeight="1" spans="5:48">
      <c r="E270" s="3" t="str">
        <f>HYPERLINK("https://app.hypeauditor.com/my-network/influencer/3126771/analytics/instagram/technic_tricks_de","https://app.hypeauditor.com/my-network/influencer/3126771/analytics/instagram/technic_tricks_de")</f>
        <v>https://app.hypeauditor.com/my-network/influencer/3126771/analytics/instagram/technic_tricks_de</v>
      </c>
      <c r="F270" s="3" t="str">
        <f>HYPERLINK("https://www.instagram.com/technic_tricks_de/reels/","https://www.instagram.com/technic_tricks_de/reels/")</f>
        <v>https://www.instagram.com/technic_tricks_de/reels/</v>
      </c>
      <c r="G270" t="s">
        <v>52</v>
      </c>
      <c r="H270" t="s">
        <v>773</v>
      </c>
      <c r="I270" t="s">
        <v>65</v>
      </c>
      <c r="L270" t="s">
        <v>54</v>
      </c>
      <c r="M270">
        <v>343700</v>
      </c>
      <c r="N270" t="s">
        <v>1245</v>
      </c>
      <c r="P270" t="s">
        <v>55</v>
      </c>
      <c r="R270" t="s">
        <v>54</v>
      </c>
      <c r="T270" t="s">
        <v>55</v>
      </c>
      <c r="X270" t="s">
        <v>55</v>
      </c>
      <c r="Z270" t="s">
        <v>54</v>
      </c>
      <c r="AB270" t="s">
        <v>55</v>
      </c>
      <c r="AD270" t="s">
        <v>55</v>
      </c>
      <c r="AF270" t="s">
        <v>55</v>
      </c>
      <c r="AH270" t="s">
        <v>55</v>
      </c>
      <c r="AJ270" t="s">
        <v>54</v>
      </c>
      <c r="AK270">
        <v>97600</v>
      </c>
      <c r="AL270">
        <v>0.0018</v>
      </c>
      <c r="AM270" t="s">
        <v>1246</v>
      </c>
      <c r="AO270" t="s">
        <v>1247</v>
      </c>
      <c r="AP270" t="s">
        <v>184</v>
      </c>
      <c r="AQ270" t="s">
        <v>185</v>
      </c>
      <c r="AR270" t="s">
        <v>184</v>
      </c>
      <c r="AS270" t="s">
        <v>185</v>
      </c>
      <c r="AV270" t="s">
        <v>1239</v>
      </c>
    </row>
    <row r="271" ht="25.5" customHeight="1" spans="1:45">
      <c r="A271" t="s">
        <v>1248</v>
      </c>
      <c r="E271" s="3" t="str">
        <f>HYPERLINK("https://app.hypeauditor.com/my-network/influencer/15867357/analytics/tiktok/real_truckerliam","https://app.hypeauditor.com/my-network/influencer/15867357/analytics/tiktok/real_truckerliam")</f>
        <v>https://app.hypeauditor.com/my-network/influencer/15867357/analytics/tiktok/real_truckerliam</v>
      </c>
      <c r="F271" s="3" t="str">
        <f>HYPERLINK("https://www.tiktok.com/@real_truckerliam","https://www.tiktok.com/@real_truckerliam")</f>
        <v>https://www.tiktok.com/@real_truckerliam</v>
      </c>
      <c r="G271" t="s">
        <v>52</v>
      </c>
      <c r="H271" t="s">
        <v>773</v>
      </c>
      <c r="I271" t="s">
        <v>56</v>
      </c>
      <c r="K271" t="s">
        <v>58</v>
      </c>
      <c r="L271" t="s">
        <v>59</v>
      </c>
      <c r="M271">
        <v>661600</v>
      </c>
      <c r="N271" t="s">
        <v>1249</v>
      </c>
      <c r="P271" t="s">
        <v>55</v>
      </c>
      <c r="R271" t="s">
        <v>54</v>
      </c>
      <c r="T271" t="s">
        <v>55</v>
      </c>
      <c r="X271" t="s">
        <v>55</v>
      </c>
      <c r="Z271" t="s">
        <v>54</v>
      </c>
      <c r="AB271" t="s">
        <v>55</v>
      </c>
      <c r="AD271" t="s">
        <v>55</v>
      </c>
      <c r="AF271" t="s">
        <v>55</v>
      </c>
      <c r="AH271" t="s">
        <v>55</v>
      </c>
      <c r="AJ271" t="s">
        <v>54</v>
      </c>
      <c r="AK271">
        <v>106900</v>
      </c>
      <c r="AL271">
        <v>0.0338</v>
      </c>
      <c r="AM271" t="s">
        <v>1250</v>
      </c>
      <c r="AN271">
        <v>400</v>
      </c>
      <c r="AO271" t="s">
        <v>1251</v>
      </c>
      <c r="AP271" t="s">
        <v>1252</v>
      </c>
      <c r="AQ271" t="s">
        <v>1253</v>
      </c>
      <c r="AR271" t="s">
        <v>1254</v>
      </c>
      <c r="AS271" t="s">
        <v>1255</v>
      </c>
    </row>
    <row r="272" ht="25.5" customHeight="1" spans="5:48">
      <c r="E272" s="3" t="str">
        <f>HYPERLINK("https://app.hypeauditor.com/my-network/influencer/33419880/analytics/instagram/real_trucker_liam","https://app.hypeauditor.com/my-network/influencer/33419880/analytics/instagram/real_trucker_liam")</f>
        <v>https://app.hypeauditor.com/my-network/influencer/33419880/analytics/instagram/real_trucker_liam</v>
      </c>
      <c r="F272" s="3" t="str">
        <f>HYPERLINK("https://www.instagram.com/real_trucker_liam/reels/","https://www.instagram.com/real_trucker_liam/reels/")</f>
        <v>https://www.instagram.com/real_trucker_liam/reels/</v>
      </c>
      <c r="G272" t="s">
        <v>52</v>
      </c>
      <c r="H272" t="s">
        <v>773</v>
      </c>
      <c r="I272" t="s">
        <v>65</v>
      </c>
      <c r="L272" t="s">
        <v>54</v>
      </c>
      <c r="M272">
        <v>151400</v>
      </c>
      <c r="N272" t="s">
        <v>1256</v>
      </c>
      <c r="P272" t="s">
        <v>55</v>
      </c>
      <c r="R272" t="s">
        <v>54</v>
      </c>
      <c r="T272" t="s">
        <v>55</v>
      </c>
      <c r="X272" t="s">
        <v>55</v>
      </c>
      <c r="Z272" t="s">
        <v>54</v>
      </c>
      <c r="AB272" t="s">
        <v>55</v>
      </c>
      <c r="AD272" t="s">
        <v>55</v>
      </c>
      <c r="AF272" t="s">
        <v>55</v>
      </c>
      <c r="AH272" t="s">
        <v>55</v>
      </c>
      <c r="AJ272" t="s">
        <v>54</v>
      </c>
      <c r="AK272">
        <v>212500</v>
      </c>
      <c r="AL272">
        <v>0.0164</v>
      </c>
      <c r="AM272" t="s">
        <v>1257</v>
      </c>
      <c r="AO272" t="s">
        <v>1258</v>
      </c>
      <c r="AP272" t="s">
        <v>184</v>
      </c>
      <c r="AQ272" t="s">
        <v>185</v>
      </c>
      <c r="AR272" t="s">
        <v>184</v>
      </c>
      <c r="AS272" t="s">
        <v>185</v>
      </c>
      <c r="AV272" t="s">
        <v>1248</v>
      </c>
    </row>
    <row r="273" ht="25.5" customHeight="1" spans="5:48">
      <c r="E273" s="3"/>
      <c r="F273" s="3" t="str">
        <f>HYPERLINK("https://www.youtube.com/@TruckerLiam/shorts","https://www.youtube.com/@TruckerLiam/shorts")</f>
        <v>https://www.youtube.com/@TruckerLiam/shorts</v>
      </c>
      <c r="G273" t="s">
        <v>52</v>
      </c>
      <c r="H273" t="s">
        <v>773</v>
      </c>
      <c r="I273" t="s">
        <v>269</v>
      </c>
      <c r="L273" t="s">
        <v>54</v>
      </c>
      <c r="M273">
        <v>73700</v>
      </c>
      <c r="N273" t="s">
        <v>55</v>
      </c>
      <c r="P273" t="s">
        <v>55</v>
      </c>
      <c r="R273" t="s">
        <v>54</v>
      </c>
      <c r="T273" t="s">
        <v>55</v>
      </c>
      <c r="X273" t="s">
        <v>55</v>
      </c>
      <c r="Z273" t="s">
        <v>54</v>
      </c>
      <c r="AB273" t="s">
        <v>55</v>
      </c>
      <c r="AD273" t="s">
        <v>55</v>
      </c>
      <c r="AF273" t="s">
        <v>55</v>
      </c>
      <c r="AH273" t="s">
        <v>55</v>
      </c>
      <c r="AJ273" t="s">
        <v>54</v>
      </c>
      <c r="AK273">
        <v>24800</v>
      </c>
      <c r="AL273">
        <v>0.0409</v>
      </c>
      <c r="AM273" t="s">
        <v>1259</v>
      </c>
      <c r="AO273" t="s">
        <v>1260</v>
      </c>
      <c r="AP273" t="s">
        <v>184</v>
      </c>
      <c r="AQ273" t="s">
        <v>185</v>
      </c>
      <c r="AR273" t="s">
        <v>184</v>
      </c>
      <c r="AS273" t="s">
        <v>185</v>
      </c>
      <c r="AV273" t="s">
        <v>1248</v>
      </c>
    </row>
    <row r="274" ht="25.5" customHeight="1" spans="1:45">
      <c r="A274" t="s">
        <v>1261</v>
      </c>
      <c r="C274" t="s">
        <v>72</v>
      </c>
      <c r="E274" s="3" t="str">
        <f>HYPERLINK("https://app.hypeauditor.com/my-network/influencer/853910/analytics/instagram/healerofwallets","https://app.hypeauditor.com/my-network/influencer/853910/analytics/instagram/healerofwallets")</f>
        <v>https://app.hypeauditor.com/my-network/influencer/853910/analytics/instagram/healerofwallets</v>
      </c>
      <c r="F274" s="3" t="str">
        <f>HYPERLINK("https://www.instagram.com/healerofwallets/","https://www.instagram.com/healerofwallets/")</f>
        <v>https://www.instagram.com/healerofwallets/</v>
      </c>
      <c r="G274" t="s">
        <v>52</v>
      </c>
      <c r="H274" t="s">
        <v>773</v>
      </c>
      <c r="I274" t="s">
        <v>65</v>
      </c>
      <c r="K274" t="s">
        <v>58</v>
      </c>
      <c r="L274" t="s">
        <v>59</v>
      </c>
      <c r="M274">
        <v>390900</v>
      </c>
      <c r="N274" t="s">
        <v>1262</v>
      </c>
      <c r="P274" t="s">
        <v>55</v>
      </c>
      <c r="R274" t="s">
        <v>54</v>
      </c>
      <c r="T274" t="s">
        <v>55</v>
      </c>
      <c r="X274" t="s">
        <v>55</v>
      </c>
      <c r="Z274" t="s">
        <v>54</v>
      </c>
      <c r="AB274" t="s">
        <v>55</v>
      </c>
      <c r="AD274" t="s">
        <v>55</v>
      </c>
      <c r="AF274" t="s">
        <v>55</v>
      </c>
      <c r="AH274" t="s">
        <v>55</v>
      </c>
      <c r="AJ274" t="s">
        <v>54</v>
      </c>
      <c r="AK274">
        <v>56600</v>
      </c>
      <c r="AL274">
        <v>0.0168</v>
      </c>
      <c r="AM274" t="s">
        <v>1263</v>
      </c>
      <c r="AN274">
        <v>500</v>
      </c>
      <c r="AO274" t="s">
        <v>1264</v>
      </c>
      <c r="AP274" t="s">
        <v>1265</v>
      </c>
      <c r="AQ274" t="s">
        <v>1266</v>
      </c>
      <c r="AR274" t="s">
        <v>1267</v>
      </c>
      <c r="AS274" t="s">
        <v>1268</v>
      </c>
    </row>
    <row r="275" ht="25.5" customHeight="1" spans="5:48">
      <c r="E275" s="3" t="str">
        <f>HYPERLINK("https://app.hypeauditor.com/my-network/influencer/33425679/analytics/youtube/UC41VO4w1lIz5YdFwdFdeumw","https://app.hypeauditor.com/my-network/influencer/33425679/analytics/youtube/UC41VO4w1lIz5YdFwdFdeumw")</f>
        <v>https://app.hypeauditor.com/my-network/influencer/33425679/analytics/youtube/UC41VO4w1lIz5YdFwdFdeumw</v>
      </c>
      <c r="F275" s="3" t="str">
        <f>HYPERLINK("https://www.youtube.com/@leonistech","https://www.youtube.com/@leonistech")</f>
        <v>https://www.youtube.com/@leonistech</v>
      </c>
      <c r="G275" t="s">
        <v>52</v>
      </c>
      <c r="H275" t="s">
        <v>773</v>
      </c>
      <c r="I275" t="s">
        <v>269</v>
      </c>
      <c r="L275" t="s">
        <v>54</v>
      </c>
      <c r="M275">
        <v>28100</v>
      </c>
      <c r="N275" t="s">
        <v>55</v>
      </c>
      <c r="P275" t="s">
        <v>55</v>
      </c>
      <c r="R275" t="s">
        <v>54</v>
      </c>
      <c r="T275" t="s">
        <v>55</v>
      </c>
      <c r="X275" t="s">
        <v>55</v>
      </c>
      <c r="Z275" t="s">
        <v>54</v>
      </c>
      <c r="AB275" t="s">
        <v>55</v>
      </c>
      <c r="AD275" t="s">
        <v>55</v>
      </c>
      <c r="AF275" t="s">
        <v>55</v>
      </c>
      <c r="AH275" t="s">
        <v>55</v>
      </c>
      <c r="AJ275" t="s">
        <v>54</v>
      </c>
      <c r="AK275">
        <v>13500</v>
      </c>
      <c r="AL275">
        <v>0.0346</v>
      </c>
      <c r="AM275" t="s">
        <v>1269</v>
      </c>
      <c r="AO275" t="s">
        <v>1270</v>
      </c>
      <c r="AP275" t="s">
        <v>184</v>
      </c>
      <c r="AQ275" t="s">
        <v>185</v>
      </c>
      <c r="AR275" t="s">
        <v>184</v>
      </c>
      <c r="AS275" t="s">
        <v>185</v>
      </c>
      <c r="AV275" t="s">
        <v>1271</v>
      </c>
    </row>
    <row r="276" ht="25.5" customHeight="1" spans="5:48">
      <c r="E276" s="3" t="str">
        <f>HYPERLINK("https://app.hypeauditor.com/my-network/influencer/21235625/analytics/instagram/leonistech","https://app.hypeauditor.com/my-network/influencer/21235625/analytics/instagram/leonistech")</f>
        <v>https://app.hypeauditor.com/my-network/influencer/21235625/analytics/instagram/leonistech</v>
      </c>
      <c r="F276" s="3" t="str">
        <f>HYPERLINK("https://www.instagram.com/leonistech/","https://www.instagram.com/leonistech/")</f>
        <v>https://www.instagram.com/leonistech/</v>
      </c>
      <c r="G276" t="s">
        <v>52</v>
      </c>
      <c r="H276" t="s">
        <v>773</v>
      </c>
      <c r="I276" t="s">
        <v>65</v>
      </c>
      <c r="L276" t="s">
        <v>54</v>
      </c>
      <c r="M276">
        <v>300400</v>
      </c>
      <c r="N276" t="s">
        <v>1272</v>
      </c>
      <c r="P276" t="s">
        <v>55</v>
      </c>
      <c r="R276" t="s">
        <v>54</v>
      </c>
      <c r="T276" t="s">
        <v>55</v>
      </c>
      <c r="X276" t="s">
        <v>55</v>
      </c>
      <c r="Z276" t="s">
        <v>54</v>
      </c>
      <c r="AB276" t="s">
        <v>55</v>
      </c>
      <c r="AD276" t="s">
        <v>55</v>
      </c>
      <c r="AF276" t="s">
        <v>55</v>
      </c>
      <c r="AH276" t="s">
        <v>55</v>
      </c>
      <c r="AJ276" t="s">
        <v>54</v>
      </c>
      <c r="AK276">
        <v>63600</v>
      </c>
      <c r="AL276">
        <v>0.011</v>
      </c>
      <c r="AM276" t="s">
        <v>1273</v>
      </c>
      <c r="AO276" t="s">
        <v>1274</v>
      </c>
      <c r="AP276" t="s">
        <v>184</v>
      </c>
      <c r="AQ276" t="s">
        <v>185</v>
      </c>
      <c r="AR276" t="s">
        <v>184</v>
      </c>
      <c r="AS276" t="s">
        <v>185</v>
      </c>
      <c r="AV276" t="s">
        <v>1271</v>
      </c>
    </row>
    <row r="277" ht="25.5" customHeight="1" spans="1:45">
      <c r="A277" t="s">
        <v>1271</v>
      </c>
      <c r="C277" t="s">
        <v>72</v>
      </c>
      <c r="E277" s="3" t="str">
        <f>HYPERLINK("https://app.hypeauditor.com/my-network/influencer/21261683/analytics/tiktok/leonistech","https://app.hypeauditor.com/my-network/influencer/21261683/analytics/tiktok/leonistech")</f>
        <v>https://app.hypeauditor.com/my-network/influencer/21261683/analytics/tiktok/leonistech</v>
      </c>
      <c r="F277" s="3" t="str">
        <f>HYPERLINK("https://www.tiktok.com/@leonistech","https://www.tiktok.com/@leonistech")</f>
        <v>https://www.tiktok.com/@leonistech</v>
      </c>
      <c r="G277" t="s">
        <v>52</v>
      </c>
      <c r="H277" t="s">
        <v>773</v>
      </c>
      <c r="I277" t="s">
        <v>56</v>
      </c>
      <c r="K277" t="s">
        <v>89</v>
      </c>
      <c r="L277" t="s">
        <v>54</v>
      </c>
      <c r="M277">
        <v>733300</v>
      </c>
      <c r="N277" t="s">
        <v>1275</v>
      </c>
      <c r="P277" t="s">
        <v>55</v>
      </c>
      <c r="R277" t="s">
        <v>54</v>
      </c>
      <c r="T277" t="s">
        <v>55</v>
      </c>
      <c r="X277" t="s">
        <v>55</v>
      </c>
      <c r="Z277" t="s">
        <v>54</v>
      </c>
      <c r="AB277" t="s">
        <v>55</v>
      </c>
      <c r="AD277" t="s">
        <v>55</v>
      </c>
      <c r="AF277" t="s">
        <v>55</v>
      </c>
      <c r="AH277" t="s">
        <v>55</v>
      </c>
      <c r="AJ277" t="s">
        <v>54</v>
      </c>
      <c r="AK277">
        <v>29800</v>
      </c>
      <c r="AL277">
        <v>0.0795</v>
      </c>
      <c r="AM277" t="s">
        <v>1276</v>
      </c>
      <c r="AN277">
        <v>900</v>
      </c>
      <c r="AO277" t="s">
        <v>1277</v>
      </c>
      <c r="AP277" t="s">
        <v>1278</v>
      </c>
      <c r="AQ277" t="s">
        <v>55</v>
      </c>
      <c r="AR277" t="s">
        <v>1279</v>
      </c>
      <c r="AS277" t="s">
        <v>55</v>
      </c>
    </row>
    <row r="278" ht="25.5" customHeight="1" spans="1:45">
      <c r="A278" t="s">
        <v>1280</v>
      </c>
      <c r="C278" t="s">
        <v>72</v>
      </c>
      <c r="E278" s="3" t="str">
        <f>HYPERLINK("https://app.hypeauditor.com/my-network/influencer/4368444/analytics/tiktok/asherintech","https://app.hypeauditor.com/my-network/influencer/4368444/analytics/tiktok/asherintech")</f>
        <v>https://app.hypeauditor.com/my-network/influencer/4368444/analytics/tiktok/asherintech</v>
      </c>
      <c r="F278" s="3" t="str">
        <f>HYPERLINK("https://www.tiktok.com/@asherintech","https://www.tiktok.com/@asherintech")</f>
        <v>https://www.tiktok.com/@asherintech</v>
      </c>
      <c r="G278" t="s">
        <v>52</v>
      </c>
      <c r="H278" t="s">
        <v>773</v>
      </c>
      <c r="I278" t="s">
        <v>56</v>
      </c>
      <c r="K278" t="s">
        <v>58</v>
      </c>
      <c r="L278" t="s">
        <v>59</v>
      </c>
      <c r="M278">
        <v>52300</v>
      </c>
      <c r="N278" t="s">
        <v>55</v>
      </c>
      <c r="P278" t="s">
        <v>55</v>
      </c>
      <c r="R278" t="s">
        <v>54</v>
      </c>
      <c r="T278" t="s">
        <v>55</v>
      </c>
      <c r="X278" t="s">
        <v>55</v>
      </c>
      <c r="Z278" t="s">
        <v>54</v>
      </c>
      <c r="AB278" t="s">
        <v>55</v>
      </c>
      <c r="AD278" t="s">
        <v>55</v>
      </c>
      <c r="AF278" t="s">
        <v>55</v>
      </c>
      <c r="AH278" t="s">
        <v>55</v>
      </c>
      <c r="AJ278" t="s">
        <v>54</v>
      </c>
      <c r="AK278">
        <v>2300</v>
      </c>
      <c r="AL278">
        <v>0.04</v>
      </c>
      <c r="AM278" t="s">
        <v>1281</v>
      </c>
      <c r="AO278" t="s">
        <v>1282</v>
      </c>
      <c r="AP278" t="s">
        <v>184</v>
      </c>
      <c r="AQ278" t="s">
        <v>185</v>
      </c>
      <c r="AR278" t="s">
        <v>184</v>
      </c>
      <c r="AS278" t="s">
        <v>185</v>
      </c>
    </row>
    <row r="279" ht="25.5" customHeight="1" spans="5:48">
      <c r="E279" s="3" t="str">
        <f>HYPERLINK("https://app.hypeauditor.com/my-network/influencer/631342/analytics/instagram/asherintech","https://app.hypeauditor.com/my-network/influencer/631342/analytics/instagram/asherintech")</f>
        <v>https://app.hypeauditor.com/my-network/influencer/631342/analytics/instagram/asherintech</v>
      </c>
      <c r="F279" s="3" t="str">
        <f>HYPERLINK("https://www.instagram.com/asherintech/reels/","https://www.instagram.com/asherintech/reels/")</f>
        <v>https://www.instagram.com/asherintech/reels/</v>
      </c>
      <c r="G279" t="s">
        <v>52</v>
      </c>
      <c r="H279" t="s">
        <v>773</v>
      </c>
      <c r="I279" t="s">
        <v>65</v>
      </c>
      <c r="L279" t="s">
        <v>54</v>
      </c>
      <c r="M279">
        <v>100700</v>
      </c>
      <c r="N279" t="s">
        <v>1283</v>
      </c>
      <c r="P279" t="s">
        <v>55</v>
      </c>
      <c r="R279" t="s">
        <v>54</v>
      </c>
      <c r="T279" t="s">
        <v>55</v>
      </c>
      <c r="X279" t="s">
        <v>55</v>
      </c>
      <c r="Z279" t="s">
        <v>54</v>
      </c>
      <c r="AB279" t="s">
        <v>55</v>
      </c>
      <c r="AD279" t="s">
        <v>55</v>
      </c>
      <c r="AF279" t="s">
        <v>55</v>
      </c>
      <c r="AH279" t="s">
        <v>55</v>
      </c>
      <c r="AJ279" t="s">
        <v>54</v>
      </c>
      <c r="AK279">
        <v>5700</v>
      </c>
      <c r="AL279">
        <v>0.0002</v>
      </c>
      <c r="AM279" t="s">
        <v>1284</v>
      </c>
      <c r="AO279" t="s">
        <v>1285</v>
      </c>
      <c r="AP279" t="s">
        <v>184</v>
      </c>
      <c r="AQ279" t="s">
        <v>185</v>
      </c>
      <c r="AR279" t="s">
        <v>184</v>
      </c>
      <c r="AS279" t="s">
        <v>185</v>
      </c>
      <c r="AV279" t="s">
        <v>1280</v>
      </c>
    </row>
    <row r="280" ht="25.5" customHeight="1" spans="1:45">
      <c r="A280" t="s">
        <v>1286</v>
      </c>
      <c r="C280" t="s">
        <v>72</v>
      </c>
      <c r="E280" s="3" t="str">
        <f>HYPERLINK("https://app.hypeauditor.com/my-network/influencer/728842/analytics/tiktok/limsaniity","https://app.hypeauditor.com/my-network/influencer/728842/analytics/tiktok/limsaniity")</f>
        <v>https://app.hypeauditor.com/my-network/influencer/728842/analytics/tiktok/limsaniity</v>
      </c>
      <c r="F280" s="3" t="str">
        <f>HYPERLINK("https://www.tiktok.com/@limsaniity","https://www.tiktok.com/@limsaniity")</f>
        <v>https://www.tiktok.com/@limsaniity</v>
      </c>
      <c r="G280" t="s">
        <v>52</v>
      </c>
      <c r="H280" t="s">
        <v>773</v>
      </c>
      <c r="I280" t="s">
        <v>56</v>
      </c>
      <c r="K280" t="s">
        <v>58</v>
      </c>
      <c r="L280" t="s">
        <v>59</v>
      </c>
      <c r="M280">
        <v>212500</v>
      </c>
      <c r="N280" t="s">
        <v>1287</v>
      </c>
      <c r="P280" t="s">
        <v>55</v>
      </c>
      <c r="R280" t="s">
        <v>54</v>
      </c>
      <c r="T280" t="s">
        <v>55</v>
      </c>
      <c r="X280" t="s">
        <v>55</v>
      </c>
      <c r="Z280" t="s">
        <v>54</v>
      </c>
      <c r="AB280" t="s">
        <v>55</v>
      </c>
      <c r="AD280" t="s">
        <v>55</v>
      </c>
      <c r="AF280" t="s">
        <v>55</v>
      </c>
      <c r="AH280" t="s">
        <v>55</v>
      </c>
      <c r="AJ280" t="s">
        <v>54</v>
      </c>
      <c r="AK280">
        <v>17500</v>
      </c>
      <c r="AL280">
        <v>0.0319</v>
      </c>
      <c r="AM280" t="s">
        <v>1288</v>
      </c>
      <c r="AO280" t="s">
        <v>1289</v>
      </c>
      <c r="AP280" t="s">
        <v>184</v>
      </c>
      <c r="AQ280" t="s">
        <v>185</v>
      </c>
      <c r="AR280" t="s">
        <v>184</v>
      </c>
      <c r="AS280" t="s">
        <v>185</v>
      </c>
    </row>
    <row r="281" ht="25.5" customHeight="1" spans="3:48">
      <c r="C281" t="s">
        <v>72</v>
      </c>
      <c r="E281" s="3" t="str">
        <f>HYPERLINK("https://app.hypeauditor.com/my-network/influencer/728842/analytics/youtube/UCMHVRfE2BgF4eC6lAsMKTzg","https://app.hypeauditor.com/my-network/influencer/728842/analytics/youtube/UCMHVRfE2BgF4eC6lAsMKTzg")</f>
        <v>https://app.hypeauditor.com/my-network/influencer/728842/analytics/youtube/UCMHVRfE2BgF4eC6lAsMKTzg</v>
      </c>
      <c r="F281" s="3" t="str">
        <f>HYPERLINK("https://www.youtube.com/@StevenLim_/shorts","https://www.youtube.com/@StevenLim_/shorts")</f>
        <v>https://www.youtube.com/@StevenLim_/shorts</v>
      </c>
      <c r="G281" t="s">
        <v>52</v>
      </c>
      <c r="H281" t="s">
        <v>773</v>
      </c>
      <c r="I281" t="s">
        <v>269</v>
      </c>
      <c r="L281" t="s">
        <v>54</v>
      </c>
      <c r="M281">
        <v>30900</v>
      </c>
      <c r="N281" t="s">
        <v>55</v>
      </c>
      <c r="P281" t="s">
        <v>55</v>
      </c>
      <c r="R281" t="s">
        <v>54</v>
      </c>
      <c r="T281" t="s">
        <v>55</v>
      </c>
      <c r="X281" t="s">
        <v>55</v>
      </c>
      <c r="Z281" t="s">
        <v>54</v>
      </c>
      <c r="AB281" t="s">
        <v>55</v>
      </c>
      <c r="AD281" t="s">
        <v>55</v>
      </c>
      <c r="AF281" t="s">
        <v>55</v>
      </c>
      <c r="AH281" t="s">
        <v>55</v>
      </c>
      <c r="AJ281" t="s">
        <v>54</v>
      </c>
      <c r="AK281">
        <v>591</v>
      </c>
      <c r="AL281">
        <v>0.0248</v>
      </c>
      <c r="AM281" t="s">
        <v>1290</v>
      </c>
      <c r="AO281" t="s">
        <v>1291</v>
      </c>
      <c r="AP281" t="s">
        <v>184</v>
      </c>
      <c r="AQ281" t="s">
        <v>185</v>
      </c>
      <c r="AR281" t="s">
        <v>184</v>
      </c>
      <c r="AS281" t="s">
        <v>185</v>
      </c>
      <c r="AV281" t="s">
        <v>1286</v>
      </c>
    </row>
    <row r="282" ht="25.5" customHeight="1" spans="1:45">
      <c r="A282" t="s">
        <v>1292</v>
      </c>
      <c r="C282" t="s">
        <v>72</v>
      </c>
      <c r="E282" s="3" t="str">
        <f>HYPERLINK("https://app.hypeauditor.com/my-network/influencer/464527/analytics/tiktok/yosheez","https://app.hypeauditor.com/my-network/influencer/464527/analytics/tiktok/yosheez")</f>
        <v>https://app.hypeauditor.com/my-network/influencer/464527/analytics/tiktok/yosheez</v>
      </c>
      <c r="F282" s="3" t="str">
        <f>HYPERLINK("https://www.tiktok.com/@yosheez","https://www.tiktok.com/@yosheez")</f>
        <v>https://www.tiktok.com/@yosheez</v>
      </c>
      <c r="G282" t="s">
        <v>52</v>
      </c>
      <c r="H282" t="s">
        <v>773</v>
      </c>
      <c r="I282" t="s">
        <v>56</v>
      </c>
      <c r="K282" t="s">
        <v>58</v>
      </c>
      <c r="L282" t="s">
        <v>59</v>
      </c>
      <c r="M282">
        <v>1200000</v>
      </c>
      <c r="N282" t="s">
        <v>117</v>
      </c>
      <c r="P282" t="s">
        <v>55</v>
      </c>
      <c r="R282" t="s">
        <v>54</v>
      </c>
      <c r="T282" t="s">
        <v>55</v>
      </c>
      <c r="X282" t="s">
        <v>55</v>
      </c>
      <c r="Z282" t="s">
        <v>54</v>
      </c>
      <c r="AB282" t="s">
        <v>55</v>
      </c>
      <c r="AD282" t="s">
        <v>55</v>
      </c>
      <c r="AF282" t="s">
        <v>55</v>
      </c>
      <c r="AH282" t="s">
        <v>55</v>
      </c>
      <c r="AJ282" t="s">
        <v>54</v>
      </c>
      <c r="AK282">
        <v>15600</v>
      </c>
      <c r="AL282">
        <v>0.0617</v>
      </c>
      <c r="AM282" t="s">
        <v>1293</v>
      </c>
      <c r="AO282" t="s">
        <v>1294</v>
      </c>
      <c r="AP282" t="s">
        <v>184</v>
      </c>
      <c r="AQ282" t="s">
        <v>185</v>
      </c>
      <c r="AR282" t="s">
        <v>184</v>
      </c>
      <c r="AS282" t="s">
        <v>185</v>
      </c>
    </row>
    <row r="283" ht="25.5" customHeight="1" spans="3:48">
      <c r="C283" t="s">
        <v>72</v>
      </c>
      <c r="E283" s="3" t="str">
        <f>HYPERLINK("https://app.hypeauditor.com/my-network/influencer/13741966/analytics/youtube/UCpaI1FRY8EGK6mEAL7Wfr9w","https://app.hypeauditor.com/my-network/influencer/13741966/analytics/youtube/UCpaI1FRY8EGK6mEAL7Wfr9w")</f>
        <v>https://app.hypeauditor.com/my-network/influencer/13741966/analytics/youtube/UCpaI1FRY8EGK6mEAL7Wfr9w</v>
      </c>
      <c r="F283" s="3" t="str">
        <f>HYPERLINK("https://www.youtube.com/@Yosheez/shorts","https://www.youtube.com/@Yosheez/shorts")</f>
        <v>https://www.youtube.com/@Yosheez/shorts</v>
      </c>
      <c r="G283" t="s">
        <v>52</v>
      </c>
      <c r="H283" t="s">
        <v>773</v>
      </c>
      <c r="I283" t="s">
        <v>269</v>
      </c>
      <c r="L283" t="s">
        <v>54</v>
      </c>
      <c r="M283">
        <v>114100</v>
      </c>
      <c r="N283" t="s">
        <v>1295</v>
      </c>
      <c r="P283" t="s">
        <v>55</v>
      </c>
      <c r="R283" t="s">
        <v>54</v>
      </c>
      <c r="T283" t="s">
        <v>55</v>
      </c>
      <c r="X283" t="s">
        <v>55</v>
      </c>
      <c r="Z283" t="s">
        <v>54</v>
      </c>
      <c r="AB283" t="s">
        <v>55</v>
      </c>
      <c r="AD283" t="s">
        <v>55</v>
      </c>
      <c r="AF283" t="s">
        <v>55</v>
      </c>
      <c r="AH283" t="s">
        <v>55</v>
      </c>
      <c r="AJ283" t="s">
        <v>54</v>
      </c>
      <c r="AK283">
        <v>7300</v>
      </c>
      <c r="AL283">
        <v>0.0563</v>
      </c>
      <c r="AM283" t="s">
        <v>1296</v>
      </c>
      <c r="AO283" t="s">
        <v>1297</v>
      </c>
      <c r="AP283" t="s">
        <v>184</v>
      </c>
      <c r="AQ283" t="s">
        <v>185</v>
      </c>
      <c r="AR283" t="s">
        <v>184</v>
      </c>
      <c r="AS283" t="s">
        <v>185</v>
      </c>
      <c r="AV283" t="s">
        <v>1292</v>
      </c>
    </row>
    <row r="284" ht="25.5" customHeight="1" spans="1:45">
      <c r="A284" t="s">
        <v>1298</v>
      </c>
      <c r="C284" t="s">
        <v>72</v>
      </c>
      <c r="E284" s="3" t="str">
        <f>HYPERLINK("https://app.hypeauditor.com/my-network/influencer/273412/analytics/tiktok/kayjayohpcs","https://app.hypeauditor.com/my-network/influencer/273412/analytics/tiktok/kayjayohpcs")</f>
        <v>https://app.hypeauditor.com/my-network/influencer/273412/analytics/tiktok/kayjayohpcs</v>
      </c>
      <c r="F284" s="3" t="str">
        <f>HYPERLINK("https://www.tiktok.com/@kayjayohpcs?lang=en","https://www.tiktok.com/@kayjayohpcs?lang=en")</f>
        <v>https://www.tiktok.com/@kayjayohpcs?lang=en</v>
      </c>
      <c r="G284" t="s">
        <v>52</v>
      </c>
      <c r="H284" t="s">
        <v>773</v>
      </c>
      <c r="I284" t="s">
        <v>56</v>
      </c>
      <c r="K284" t="s">
        <v>58</v>
      </c>
      <c r="L284" t="s">
        <v>59</v>
      </c>
      <c r="M284">
        <v>2200000</v>
      </c>
      <c r="N284" t="s">
        <v>893</v>
      </c>
      <c r="P284" t="s">
        <v>55</v>
      </c>
      <c r="R284" t="s">
        <v>54</v>
      </c>
      <c r="T284" t="s">
        <v>55</v>
      </c>
      <c r="X284" t="s">
        <v>55</v>
      </c>
      <c r="Z284" t="s">
        <v>54</v>
      </c>
      <c r="AB284" t="s">
        <v>55</v>
      </c>
      <c r="AD284" t="s">
        <v>55</v>
      </c>
      <c r="AF284" t="s">
        <v>55</v>
      </c>
      <c r="AH284" t="s">
        <v>55</v>
      </c>
      <c r="AJ284" t="s">
        <v>54</v>
      </c>
      <c r="AK284">
        <v>71400</v>
      </c>
      <c r="AL284">
        <v>0.1387</v>
      </c>
      <c r="AM284" t="s">
        <v>1299</v>
      </c>
      <c r="AO284" t="s">
        <v>1300</v>
      </c>
      <c r="AP284" t="s">
        <v>184</v>
      </c>
      <c r="AQ284" t="s">
        <v>185</v>
      </c>
      <c r="AR284" t="s">
        <v>184</v>
      </c>
      <c r="AS284" t="s">
        <v>185</v>
      </c>
    </row>
    <row r="285" ht="25.5" customHeight="1" spans="5:48">
      <c r="E285" s="3" t="str">
        <f>HYPERLINK("https://app.hypeauditor.com/my-network/influencer/18519918/analytics/instagram/kayjayohpcs","https://app.hypeauditor.com/my-network/influencer/18519918/analytics/instagram/kayjayohpcs")</f>
        <v>https://app.hypeauditor.com/my-network/influencer/18519918/analytics/instagram/kayjayohpcs</v>
      </c>
      <c r="F285" s="3" t="str">
        <f>HYPERLINK("https://www.instagram.com/kayjayohpcs/","https://www.instagram.com/kayjayohpcs/")</f>
        <v>https://www.instagram.com/kayjayohpcs/</v>
      </c>
      <c r="G285" t="s">
        <v>52</v>
      </c>
      <c r="H285" t="s">
        <v>773</v>
      </c>
      <c r="I285" t="s">
        <v>65</v>
      </c>
      <c r="L285" t="s">
        <v>54</v>
      </c>
      <c r="M285">
        <v>176000</v>
      </c>
      <c r="N285" t="s">
        <v>1301</v>
      </c>
      <c r="P285" t="s">
        <v>55</v>
      </c>
      <c r="R285" t="s">
        <v>54</v>
      </c>
      <c r="T285" t="s">
        <v>55</v>
      </c>
      <c r="X285" t="s">
        <v>55</v>
      </c>
      <c r="Z285" t="s">
        <v>54</v>
      </c>
      <c r="AB285" t="s">
        <v>55</v>
      </c>
      <c r="AD285" t="s">
        <v>55</v>
      </c>
      <c r="AF285" t="s">
        <v>55</v>
      </c>
      <c r="AH285" t="s">
        <v>55</v>
      </c>
      <c r="AJ285" t="s">
        <v>54</v>
      </c>
      <c r="AK285">
        <v>31600</v>
      </c>
      <c r="AL285">
        <v>0.0054</v>
      </c>
      <c r="AM285" t="s">
        <v>1302</v>
      </c>
      <c r="AO285" t="s">
        <v>1303</v>
      </c>
      <c r="AP285" t="s">
        <v>184</v>
      </c>
      <c r="AQ285" t="s">
        <v>185</v>
      </c>
      <c r="AR285" t="s">
        <v>184</v>
      </c>
      <c r="AS285" t="s">
        <v>185</v>
      </c>
      <c r="AV285" t="s">
        <v>1298</v>
      </c>
    </row>
    <row r="286" ht="25.5" customHeight="1" spans="5:48">
      <c r="E286" s="3" t="str">
        <f>HYPERLINK("https://app.hypeauditor.com/my-network/influencer/273412/analytics/youtube/UCdZknTFjRnKZT9Xtt7d3Vgg","https://app.hypeauditor.com/my-network/influencer/273412/analytics/youtube/UCdZknTFjRnKZT9Xtt7d3Vgg")</f>
        <v>https://app.hypeauditor.com/my-network/influencer/273412/analytics/youtube/UCdZknTFjRnKZT9Xtt7d3Vgg</v>
      </c>
      <c r="F286" s="3" t="str">
        <f>HYPERLINK("https://www.youtube.com/channel/UCdZknTFjRnKZT9Xtt7d3Vgg","https://www.youtube.com/channel/UCdZknTFjRnKZT9Xtt7d3Vgg")</f>
        <v>https://www.youtube.com/channel/UCdZknTFjRnKZT9Xtt7d3Vgg</v>
      </c>
      <c r="G286" t="s">
        <v>52</v>
      </c>
      <c r="H286" t="s">
        <v>773</v>
      </c>
      <c r="I286" t="s">
        <v>269</v>
      </c>
      <c r="L286" t="s">
        <v>54</v>
      </c>
      <c r="M286">
        <v>65600</v>
      </c>
      <c r="N286" t="s">
        <v>55</v>
      </c>
      <c r="P286" t="s">
        <v>55</v>
      </c>
      <c r="R286" t="s">
        <v>54</v>
      </c>
      <c r="T286" t="s">
        <v>55</v>
      </c>
      <c r="X286" t="s">
        <v>55</v>
      </c>
      <c r="Z286" t="s">
        <v>54</v>
      </c>
      <c r="AB286" t="s">
        <v>55</v>
      </c>
      <c r="AD286" t="s">
        <v>55</v>
      </c>
      <c r="AF286" t="s">
        <v>55</v>
      </c>
      <c r="AH286" t="s">
        <v>55</v>
      </c>
      <c r="AJ286" t="s">
        <v>54</v>
      </c>
      <c r="AK286">
        <v>6000</v>
      </c>
      <c r="AL286">
        <v>0.1202</v>
      </c>
      <c r="AM286" t="s">
        <v>1304</v>
      </c>
      <c r="AO286" t="s">
        <v>1305</v>
      </c>
      <c r="AP286" t="s">
        <v>184</v>
      </c>
      <c r="AQ286" t="s">
        <v>185</v>
      </c>
      <c r="AR286" t="s">
        <v>184</v>
      </c>
      <c r="AS286" t="s">
        <v>185</v>
      </c>
      <c r="AV286" t="s">
        <v>1298</v>
      </c>
    </row>
    <row r="287" ht="25.5" customHeight="1" spans="1:45">
      <c r="A287" t="s">
        <v>1306</v>
      </c>
      <c r="C287" t="s">
        <v>144</v>
      </c>
      <c r="E287" s="3" t="str">
        <f>HYPERLINK("https://app.hypeauditor.com/my-network/influencer/757633/analytics/tiktok/reaganlevi","https://app.hypeauditor.com/my-network/influencer/757633/analytics/tiktok/reaganlevi")</f>
        <v>https://app.hypeauditor.com/my-network/influencer/757633/analytics/tiktok/reaganlevi</v>
      </c>
      <c r="F287" s="3" t="str">
        <f>HYPERLINK("https://www.tiktok.com/@reaganlevi?lang=en","https://www.tiktok.com/@reaganlevi?lang=en")</f>
        <v>https://www.tiktok.com/@reaganlevi?lang=en</v>
      </c>
      <c r="G287" t="s">
        <v>52</v>
      </c>
      <c r="H287" t="s">
        <v>773</v>
      </c>
      <c r="I287" t="s">
        <v>56</v>
      </c>
      <c r="K287" t="s">
        <v>58</v>
      </c>
      <c r="L287" t="s">
        <v>59</v>
      </c>
      <c r="M287">
        <v>2000000</v>
      </c>
      <c r="N287" t="s">
        <v>1307</v>
      </c>
      <c r="P287" t="s">
        <v>55</v>
      </c>
      <c r="R287" t="s">
        <v>54</v>
      </c>
      <c r="T287" t="s">
        <v>55</v>
      </c>
      <c r="X287" t="s">
        <v>55</v>
      </c>
      <c r="Z287" t="s">
        <v>54</v>
      </c>
      <c r="AB287" t="s">
        <v>55</v>
      </c>
      <c r="AD287" t="s">
        <v>55</v>
      </c>
      <c r="AF287" t="s">
        <v>55</v>
      </c>
      <c r="AH287" t="s">
        <v>55</v>
      </c>
      <c r="AJ287" t="s">
        <v>54</v>
      </c>
      <c r="AK287">
        <v>7400</v>
      </c>
      <c r="AL287">
        <v>0.0204</v>
      </c>
      <c r="AM287" t="s">
        <v>1308</v>
      </c>
      <c r="AO287" t="s">
        <v>1309</v>
      </c>
      <c r="AP287" t="s">
        <v>184</v>
      </c>
      <c r="AQ287" t="s">
        <v>185</v>
      </c>
      <c r="AR287" t="s">
        <v>184</v>
      </c>
      <c r="AS287" t="s">
        <v>185</v>
      </c>
    </row>
    <row r="288" ht="25.5" customHeight="1" spans="5:48">
      <c r="E288" s="3" t="str">
        <f>HYPERLINK("https://app.hypeauditor.com/my-network/influencer/12195593/analytics/instagram/reagan.levi","https://app.hypeauditor.com/my-network/influencer/12195593/analytics/instagram/reagan.levi")</f>
        <v>https://app.hypeauditor.com/my-network/influencer/12195593/analytics/instagram/reagan.levi</v>
      </c>
      <c r="F288" s="3" t="str">
        <f>HYPERLINK("https://www.instagram.com/reagan.levi/reels/","https://www.instagram.com/reagan.levi/reels/")</f>
        <v>https://www.instagram.com/reagan.levi/reels/</v>
      </c>
      <c r="G288" t="s">
        <v>52</v>
      </c>
      <c r="H288" t="s">
        <v>773</v>
      </c>
      <c r="I288" t="s">
        <v>65</v>
      </c>
      <c r="L288" t="s">
        <v>54</v>
      </c>
      <c r="M288">
        <v>14100</v>
      </c>
      <c r="N288" t="s">
        <v>55</v>
      </c>
      <c r="P288" t="s">
        <v>55</v>
      </c>
      <c r="R288" t="s">
        <v>54</v>
      </c>
      <c r="T288" t="s">
        <v>55</v>
      </c>
      <c r="X288" t="s">
        <v>55</v>
      </c>
      <c r="Z288" t="s">
        <v>54</v>
      </c>
      <c r="AB288" t="s">
        <v>55</v>
      </c>
      <c r="AD288" t="s">
        <v>55</v>
      </c>
      <c r="AF288" t="s">
        <v>55</v>
      </c>
      <c r="AH288" t="s">
        <v>55</v>
      </c>
      <c r="AJ288" t="s">
        <v>54</v>
      </c>
      <c r="AM288" t="s">
        <v>54</v>
      </c>
      <c r="AO288" t="s">
        <v>54</v>
      </c>
      <c r="AV288" t="s">
        <v>1306</v>
      </c>
    </row>
    <row r="289" ht="25.5" customHeight="1" spans="1:45">
      <c r="A289" t="s">
        <v>1310</v>
      </c>
      <c r="E289" s="3" t="str">
        <f>HYPERLINK("https://app.hypeauditor.com/my-network/influencer/9307072/analytics/tiktok/julianalexanderthies","https://app.hypeauditor.com/my-network/influencer/9307072/analytics/tiktok/julianalexanderthies")</f>
        <v>https://app.hypeauditor.com/my-network/influencer/9307072/analytics/tiktok/julianalexanderthies</v>
      </c>
      <c r="F289" s="3" t="str">
        <f>HYPERLINK("https://www.tiktok.com/@julianalexanderthies","https://www.tiktok.com/@julianalexanderthies")</f>
        <v>https://www.tiktok.com/@julianalexanderthies</v>
      </c>
      <c r="G289" t="s">
        <v>52</v>
      </c>
      <c r="H289" t="s">
        <v>773</v>
      </c>
      <c r="I289" t="s">
        <v>56</v>
      </c>
      <c r="K289" t="s">
        <v>89</v>
      </c>
      <c r="L289" t="s">
        <v>54</v>
      </c>
      <c r="M289">
        <v>1800000</v>
      </c>
      <c r="N289" t="s">
        <v>1311</v>
      </c>
      <c r="P289" t="s">
        <v>55</v>
      </c>
      <c r="R289" t="s">
        <v>54</v>
      </c>
      <c r="T289" t="s">
        <v>55</v>
      </c>
      <c r="X289" t="s">
        <v>55</v>
      </c>
      <c r="Z289" t="s">
        <v>54</v>
      </c>
      <c r="AB289" t="s">
        <v>55</v>
      </c>
      <c r="AD289" t="s">
        <v>55</v>
      </c>
      <c r="AF289" t="s">
        <v>55</v>
      </c>
      <c r="AH289" t="s">
        <v>55</v>
      </c>
      <c r="AJ289" t="s">
        <v>54</v>
      </c>
      <c r="AK289">
        <v>67600</v>
      </c>
      <c r="AL289">
        <v>0.0237</v>
      </c>
      <c r="AM289" t="s">
        <v>1312</v>
      </c>
      <c r="AO289" t="s">
        <v>1313</v>
      </c>
      <c r="AP289" t="s">
        <v>184</v>
      </c>
      <c r="AQ289" t="s">
        <v>185</v>
      </c>
      <c r="AR289" t="s">
        <v>184</v>
      </c>
      <c r="AS289" t="s">
        <v>185</v>
      </c>
    </row>
    <row r="290" ht="25.5" customHeight="1" spans="1:45">
      <c r="A290" t="s">
        <v>1314</v>
      </c>
      <c r="E290" s="3" t="str">
        <f>HYPERLINK("https://app.hypeauditor.com/my-network/influencer/26444944/analytics/tiktok/toukiwanti","https://app.hypeauditor.com/my-network/influencer/26444944/analytics/tiktok/toukiwanti")</f>
        <v>https://app.hypeauditor.com/my-network/influencer/26444944/analytics/tiktok/toukiwanti</v>
      </c>
      <c r="F290" s="3" t="str">
        <f>HYPERLINK("https://www.tiktok.com/@toukiwanti","https://www.tiktok.com/@toukiwanti")</f>
        <v>https://www.tiktok.com/@toukiwanti</v>
      </c>
      <c r="G290" t="s">
        <v>52</v>
      </c>
      <c r="H290" t="s">
        <v>773</v>
      </c>
      <c r="I290" t="s">
        <v>56</v>
      </c>
      <c r="K290" t="s">
        <v>1315</v>
      </c>
      <c r="L290" t="s">
        <v>54</v>
      </c>
      <c r="M290">
        <v>311700</v>
      </c>
      <c r="N290" t="s">
        <v>1316</v>
      </c>
      <c r="P290" t="s">
        <v>55</v>
      </c>
      <c r="R290" t="s">
        <v>54</v>
      </c>
      <c r="T290" t="s">
        <v>55</v>
      </c>
      <c r="X290" t="s">
        <v>55</v>
      </c>
      <c r="Z290" t="s">
        <v>54</v>
      </c>
      <c r="AB290" t="s">
        <v>55</v>
      </c>
      <c r="AD290" t="s">
        <v>55</v>
      </c>
      <c r="AF290" t="s">
        <v>55</v>
      </c>
      <c r="AH290" t="s">
        <v>55</v>
      </c>
      <c r="AJ290" t="s">
        <v>54</v>
      </c>
      <c r="AK290">
        <v>6900</v>
      </c>
      <c r="AL290">
        <v>0.0389</v>
      </c>
      <c r="AM290" t="s">
        <v>1317</v>
      </c>
      <c r="AN290">
        <v>2000</v>
      </c>
      <c r="AO290" t="s">
        <v>1318</v>
      </c>
      <c r="AP290" t="s">
        <v>1319</v>
      </c>
      <c r="AQ290" t="s">
        <v>55</v>
      </c>
      <c r="AR290" t="s">
        <v>1320</v>
      </c>
      <c r="AS290" t="s">
        <v>55</v>
      </c>
    </row>
    <row r="291" ht="25.5" customHeight="1" spans="1:45">
      <c r="A291" t="s">
        <v>1321</v>
      </c>
      <c r="E291" s="3" t="str">
        <f>HYPERLINK("https://app.hypeauditor.com/my-network/influencer/917855/analytics/tiktok/reztechtok","https://app.hypeauditor.com/my-network/influencer/917855/analytics/tiktok/reztechtok")</f>
        <v>https://app.hypeauditor.com/my-network/influencer/917855/analytics/tiktok/reztechtok</v>
      </c>
      <c r="F291" s="3" t="str">
        <f>HYPERLINK("https://www.tiktok.com/@reztechtok","https://www.tiktok.com/@reztechtok")</f>
        <v>https://www.tiktok.com/@reztechtok</v>
      </c>
      <c r="G291" t="s">
        <v>52</v>
      </c>
      <c r="H291" t="s">
        <v>773</v>
      </c>
      <c r="I291" t="s">
        <v>56</v>
      </c>
      <c r="L291" t="s">
        <v>54</v>
      </c>
      <c r="M291">
        <v>125200</v>
      </c>
      <c r="N291" t="s">
        <v>1322</v>
      </c>
      <c r="P291" t="s">
        <v>55</v>
      </c>
      <c r="R291" t="s">
        <v>54</v>
      </c>
      <c r="T291" t="s">
        <v>55</v>
      </c>
      <c r="X291" t="s">
        <v>55</v>
      </c>
      <c r="Z291" t="s">
        <v>54</v>
      </c>
      <c r="AB291" t="s">
        <v>55</v>
      </c>
      <c r="AD291" t="s">
        <v>55</v>
      </c>
      <c r="AF291" t="s">
        <v>55</v>
      </c>
      <c r="AH291" t="s">
        <v>55</v>
      </c>
      <c r="AJ291" t="s">
        <v>54</v>
      </c>
      <c r="AK291">
        <v>78400</v>
      </c>
      <c r="AL291">
        <v>0.056</v>
      </c>
      <c r="AM291" t="s">
        <v>1323</v>
      </c>
      <c r="AN291">
        <v>400</v>
      </c>
      <c r="AO291" t="s">
        <v>1324</v>
      </c>
      <c r="AP291" t="s">
        <v>1325</v>
      </c>
      <c r="AQ291" t="s">
        <v>1326</v>
      </c>
      <c r="AR291" t="s">
        <v>1327</v>
      </c>
      <c r="AS291" t="s">
        <v>1328</v>
      </c>
    </row>
    <row r="292" ht="25.5" customHeight="1" spans="5:48">
      <c r="E292" s="3"/>
      <c r="F292" s="3" t="str">
        <f>HYPERLINK("https://www.instagram.com/reztechig/reels/","https://www.instagram.com/reztechig/reels/")</f>
        <v>https://www.instagram.com/reztechig/reels/</v>
      </c>
      <c r="G292" t="s">
        <v>52</v>
      </c>
      <c r="H292" t="s">
        <v>773</v>
      </c>
      <c r="I292" t="s">
        <v>65</v>
      </c>
      <c r="L292" t="s">
        <v>54</v>
      </c>
      <c r="M292">
        <v>4171</v>
      </c>
      <c r="N292" t="s">
        <v>55</v>
      </c>
      <c r="P292" t="s">
        <v>55</v>
      </c>
      <c r="R292" t="s">
        <v>54</v>
      </c>
      <c r="T292" t="s">
        <v>55</v>
      </c>
      <c r="X292" t="s">
        <v>55</v>
      </c>
      <c r="Z292" t="s">
        <v>54</v>
      </c>
      <c r="AB292" t="s">
        <v>55</v>
      </c>
      <c r="AD292" t="s">
        <v>55</v>
      </c>
      <c r="AF292" t="s">
        <v>55</v>
      </c>
      <c r="AH292" t="s">
        <v>55</v>
      </c>
      <c r="AJ292" t="s">
        <v>54</v>
      </c>
      <c r="AM292" t="s">
        <v>54</v>
      </c>
      <c r="AO292" t="s">
        <v>54</v>
      </c>
      <c r="AV292" t="s">
        <v>1321</v>
      </c>
    </row>
    <row r="293" ht="25.5" customHeight="1" spans="1:45">
      <c r="A293" t="s">
        <v>1329</v>
      </c>
      <c r="E293" s="3" t="str">
        <f>HYPERLINK("https://app.hypeauditor.com/my-network/influencer/32360794/analytics/tiktok/okamikazz","https://app.hypeauditor.com/my-network/influencer/32360794/analytics/tiktok/okamikazz")</f>
        <v>https://app.hypeauditor.com/my-network/influencer/32360794/analytics/tiktok/okamikazz</v>
      </c>
      <c r="F293" s="3" t="str">
        <f>HYPERLINK("https://www.tiktok.com/@okamikazz","https://www.tiktok.com/@okamikazz")</f>
        <v>https://www.tiktok.com/@okamikazz</v>
      </c>
      <c r="G293" t="s">
        <v>52</v>
      </c>
      <c r="H293" t="s">
        <v>773</v>
      </c>
      <c r="I293" t="s">
        <v>56</v>
      </c>
      <c r="K293" t="s">
        <v>89</v>
      </c>
      <c r="L293" t="s">
        <v>54</v>
      </c>
      <c r="M293">
        <v>23500</v>
      </c>
      <c r="N293" t="s">
        <v>55</v>
      </c>
      <c r="P293" t="s">
        <v>55</v>
      </c>
      <c r="R293" t="s">
        <v>54</v>
      </c>
      <c r="T293" t="s">
        <v>55</v>
      </c>
      <c r="X293" t="s">
        <v>55</v>
      </c>
      <c r="Z293" t="s">
        <v>54</v>
      </c>
      <c r="AB293" t="s">
        <v>55</v>
      </c>
      <c r="AD293" t="s">
        <v>55</v>
      </c>
      <c r="AF293" t="s">
        <v>55</v>
      </c>
      <c r="AH293" t="s">
        <v>55</v>
      </c>
      <c r="AJ293" t="s">
        <v>54</v>
      </c>
      <c r="AK293">
        <v>40917</v>
      </c>
      <c r="AL293">
        <v>0.0561</v>
      </c>
      <c r="AM293" t="s">
        <v>1330</v>
      </c>
      <c r="AN293">
        <v>60</v>
      </c>
      <c r="AO293" t="s">
        <v>1331</v>
      </c>
      <c r="AP293" t="s">
        <v>1332</v>
      </c>
      <c r="AQ293" t="s">
        <v>1333</v>
      </c>
      <c r="AR293" t="s">
        <v>1334</v>
      </c>
      <c r="AS293" t="s">
        <v>1335</v>
      </c>
    </row>
    <row r="294" ht="25.5" customHeight="1" spans="5:48">
      <c r="E294" s="3" t="str">
        <f>HYPERLINK("https://app.hypeauditor.com/my-network/influencer/33372131/analytics/instagram/kamikazz69","https://app.hypeauditor.com/my-network/influencer/33372131/analytics/instagram/kamikazz69")</f>
        <v>https://app.hypeauditor.com/my-network/influencer/33372131/analytics/instagram/kamikazz69</v>
      </c>
      <c r="F294" s="3" t="str">
        <f>HYPERLINK("https://www.instagram.com/kamikazz69","https://www.instagram.com/kamikazz69")</f>
        <v>https://www.instagram.com/kamikazz69</v>
      </c>
      <c r="G294" t="s">
        <v>52</v>
      </c>
      <c r="H294" t="s">
        <v>773</v>
      </c>
      <c r="I294" t="s">
        <v>65</v>
      </c>
      <c r="L294" t="s">
        <v>54</v>
      </c>
      <c r="M294">
        <v>2000</v>
      </c>
      <c r="N294" t="s">
        <v>55</v>
      </c>
      <c r="P294" t="s">
        <v>55</v>
      </c>
      <c r="R294" t="s">
        <v>54</v>
      </c>
      <c r="T294" t="s">
        <v>55</v>
      </c>
      <c r="X294" t="s">
        <v>55</v>
      </c>
      <c r="Z294" t="s">
        <v>54</v>
      </c>
      <c r="AB294" t="s">
        <v>55</v>
      </c>
      <c r="AD294" t="s">
        <v>55</v>
      </c>
      <c r="AF294" t="s">
        <v>55</v>
      </c>
      <c r="AH294" t="s">
        <v>55</v>
      </c>
      <c r="AJ294" t="s">
        <v>54</v>
      </c>
      <c r="AM294" t="s">
        <v>54</v>
      </c>
      <c r="AO294" t="s">
        <v>54</v>
      </c>
      <c r="AV294" t="s">
        <v>1329</v>
      </c>
    </row>
    <row r="295" ht="25.5" customHeight="1" spans="1:41">
      <c r="A295" t="s">
        <v>1336</v>
      </c>
      <c r="E295" s="3" t="str">
        <f>HYPERLINK("https://app.hypeauditor.com/my-network/influencer/33241193","https://app.hypeauditor.com/my-network/influencer/33241193")</f>
        <v>https://app.hypeauditor.com/my-network/influencer/33241193</v>
      </c>
      <c r="F295" s="3" t="str">
        <f>HYPERLINK("https://www.tiktok.com/@kuraele","https://www.tiktok.com/@kuraele")</f>
        <v>https://www.tiktok.com/@kuraele</v>
      </c>
      <c r="G295" t="s">
        <v>52</v>
      </c>
      <c r="H295" t="s">
        <v>773</v>
      </c>
      <c r="I295" t="s">
        <v>56</v>
      </c>
      <c r="K295" t="s">
        <v>97</v>
      </c>
      <c r="L295" t="s">
        <v>54</v>
      </c>
      <c r="M295">
        <v>28100</v>
      </c>
      <c r="N295" t="s">
        <v>55</v>
      </c>
      <c r="P295" t="s">
        <v>55</v>
      </c>
      <c r="R295" t="s">
        <v>54</v>
      </c>
      <c r="T295" t="s">
        <v>55</v>
      </c>
      <c r="X295" t="s">
        <v>55</v>
      </c>
      <c r="Z295" t="s">
        <v>54</v>
      </c>
      <c r="AB295" t="s">
        <v>55</v>
      </c>
      <c r="AD295" t="s">
        <v>55</v>
      </c>
      <c r="AF295" t="s">
        <v>55</v>
      </c>
      <c r="AH295" t="s">
        <v>55</v>
      </c>
      <c r="AJ295" t="s">
        <v>54</v>
      </c>
      <c r="AL295">
        <v>0.0242</v>
      </c>
      <c r="AM295" t="s">
        <v>54</v>
      </c>
      <c r="AN295">
        <v>360</v>
      </c>
      <c r="AO295" t="s">
        <v>54</v>
      </c>
    </row>
    <row r="296" ht="25.5" customHeight="1" spans="1:45">
      <c r="A296" t="s">
        <v>1337</v>
      </c>
      <c r="E296" s="3" t="str">
        <f>HYPERLINK("https://app.hypeauditor.com/my-network/influencer/918070/analytics/tiktok/sciencegamingtv","https://app.hypeauditor.com/my-network/influencer/918070/analytics/tiktok/sciencegamingtv")</f>
        <v>https://app.hypeauditor.com/my-network/influencer/918070/analytics/tiktok/sciencegamingtv</v>
      </c>
      <c r="F296" s="3" t="str">
        <f>HYPERLINK("https://www.tiktok.com/@sciencegamingtv","https://www.tiktok.com/@sciencegamingtv")</f>
        <v>https://www.tiktok.com/@sciencegamingtv</v>
      </c>
      <c r="G296" t="s">
        <v>52</v>
      </c>
      <c r="H296" t="s">
        <v>773</v>
      </c>
      <c r="I296" t="s">
        <v>56</v>
      </c>
      <c r="K296" t="s">
        <v>58</v>
      </c>
      <c r="L296" t="s">
        <v>59</v>
      </c>
      <c r="M296">
        <v>638100</v>
      </c>
      <c r="N296" t="s">
        <v>1338</v>
      </c>
      <c r="P296" t="s">
        <v>55</v>
      </c>
      <c r="R296" t="s">
        <v>54</v>
      </c>
      <c r="T296" t="s">
        <v>55</v>
      </c>
      <c r="X296" t="s">
        <v>55</v>
      </c>
      <c r="Z296" t="s">
        <v>54</v>
      </c>
      <c r="AB296" t="s">
        <v>55</v>
      </c>
      <c r="AD296" t="s">
        <v>55</v>
      </c>
      <c r="AF296" t="s">
        <v>55</v>
      </c>
      <c r="AH296" t="s">
        <v>55</v>
      </c>
      <c r="AJ296" t="s">
        <v>54</v>
      </c>
      <c r="AK296">
        <v>26500</v>
      </c>
      <c r="AL296">
        <v>0.0356</v>
      </c>
      <c r="AM296" t="s">
        <v>1339</v>
      </c>
      <c r="AN296">
        <v>1700</v>
      </c>
      <c r="AO296" t="s">
        <v>1340</v>
      </c>
      <c r="AP296" t="s">
        <v>1341</v>
      </c>
      <c r="AQ296" t="s">
        <v>55</v>
      </c>
      <c r="AR296" t="s">
        <v>1342</v>
      </c>
      <c r="AS296" t="s">
        <v>55</v>
      </c>
    </row>
    <row r="297" ht="25.5" customHeight="1" spans="5:48">
      <c r="E297" s="3" t="str">
        <f>HYPERLINK("https://app.hypeauditor.com/my-network/influencer/2719134/analytics/instagram/sciencegamingtv","https://app.hypeauditor.com/my-network/influencer/2719134/analytics/instagram/sciencegamingtv")</f>
        <v>https://app.hypeauditor.com/my-network/influencer/2719134/analytics/instagram/sciencegamingtv</v>
      </c>
      <c r="F297" s="3" t="str">
        <f>HYPERLINK("https://www.instagram.com/sciencegamingtv","https://www.instagram.com/sciencegamingtv")</f>
        <v>https://www.instagram.com/sciencegamingtv</v>
      </c>
      <c r="G297" t="s">
        <v>52</v>
      </c>
      <c r="H297" t="s">
        <v>773</v>
      </c>
      <c r="I297" t="s">
        <v>65</v>
      </c>
      <c r="K297" t="s">
        <v>58</v>
      </c>
      <c r="L297" t="s">
        <v>59</v>
      </c>
      <c r="M297">
        <v>114000</v>
      </c>
      <c r="N297" t="s">
        <v>1343</v>
      </c>
      <c r="P297" t="s">
        <v>55</v>
      </c>
      <c r="R297" t="s">
        <v>54</v>
      </c>
      <c r="T297" t="s">
        <v>55</v>
      </c>
      <c r="X297" t="s">
        <v>55</v>
      </c>
      <c r="Z297" t="s">
        <v>54</v>
      </c>
      <c r="AB297" t="s">
        <v>55</v>
      </c>
      <c r="AD297" t="s">
        <v>55</v>
      </c>
      <c r="AF297" t="s">
        <v>55</v>
      </c>
      <c r="AH297" t="s">
        <v>55</v>
      </c>
      <c r="AJ297" t="s">
        <v>54</v>
      </c>
      <c r="AK297">
        <v>60500</v>
      </c>
      <c r="AL297">
        <v>0.0077</v>
      </c>
      <c r="AM297" t="s">
        <v>1344</v>
      </c>
      <c r="AO297" t="s">
        <v>1345</v>
      </c>
      <c r="AP297" t="s">
        <v>184</v>
      </c>
      <c r="AQ297" t="s">
        <v>185</v>
      </c>
      <c r="AR297" t="s">
        <v>184</v>
      </c>
      <c r="AS297" t="s">
        <v>185</v>
      </c>
      <c r="AV297" t="s">
        <v>1337</v>
      </c>
    </row>
    <row r="298" ht="25.5" customHeight="1" spans="5:48">
      <c r="E298" s="3"/>
      <c r="F298" s="3" t="str">
        <f>HYPERLINK("https://www.youtube.com/@ScienceGamingTV","https://www.youtube.com/@ScienceGamingTV")</f>
        <v>https://www.youtube.com/@ScienceGamingTV</v>
      </c>
      <c r="G298" t="s">
        <v>52</v>
      </c>
      <c r="H298" t="s">
        <v>773</v>
      </c>
      <c r="I298" t="s">
        <v>269</v>
      </c>
      <c r="K298" t="s">
        <v>58</v>
      </c>
      <c r="L298" t="s">
        <v>59</v>
      </c>
      <c r="M298">
        <v>171100</v>
      </c>
      <c r="N298" t="s">
        <v>1346</v>
      </c>
      <c r="P298" t="s">
        <v>55</v>
      </c>
      <c r="R298" t="s">
        <v>54</v>
      </c>
      <c r="T298" t="s">
        <v>55</v>
      </c>
      <c r="X298" t="s">
        <v>55</v>
      </c>
      <c r="Z298" t="s">
        <v>54</v>
      </c>
      <c r="AB298" t="s">
        <v>55</v>
      </c>
      <c r="AD298" t="s">
        <v>55</v>
      </c>
      <c r="AF298" t="s">
        <v>55</v>
      </c>
      <c r="AH298" t="s">
        <v>55</v>
      </c>
      <c r="AJ298" t="s">
        <v>54</v>
      </c>
      <c r="AK298">
        <v>54200</v>
      </c>
      <c r="AL298">
        <v>0.0517</v>
      </c>
      <c r="AM298" t="s">
        <v>1347</v>
      </c>
      <c r="AO298" t="s">
        <v>1348</v>
      </c>
      <c r="AP298" t="s">
        <v>184</v>
      </c>
      <c r="AQ298" t="s">
        <v>185</v>
      </c>
      <c r="AR298" t="s">
        <v>184</v>
      </c>
      <c r="AS298" t="s">
        <v>185</v>
      </c>
      <c r="AV298" t="s">
        <v>1337</v>
      </c>
    </row>
    <row r="299" ht="25.5" customHeight="1" spans="1:45">
      <c r="A299" t="s">
        <v>1349</v>
      </c>
      <c r="C299" t="s">
        <v>82</v>
      </c>
      <c r="E299" s="3" t="str">
        <f>HYPERLINK("https://app.hypeauditor.com/my-network/influencer/23414356/analytics/tiktok/infodigitaefr","https://app.hypeauditor.com/my-network/influencer/23414356/analytics/tiktok/infodigitaefr")</f>
        <v>https://app.hypeauditor.com/my-network/influencer/23414356/analytics/tiktok/infodigitaefr</v>
      </c>
      <c r="F299" s="3" t="str">
        <f>HYPERLINK("https://www.tiktok.com/@infodigitaefr","https://www.tiktok.com/@infodigitaefr")</f>
        <v>https://www.tiktok.com/@infodigitaefr</v>
      </c>
      <c r="G299" t="s">
        <v>52</v>
      </c>
      <c r="H299" t="s">
        <v>773</v>
      </c>
      <c r="I299" t="s">
        <v>56</v>
      </c>
      <c r="K299" t="s">
        <v>58</v>
      </c>
      <c r="L299" t="s">
        <v>59</v>
      </c>
      <c r="M299">
        <v>73600</v>
      </c>
      <c r="N299" t="s">
        <v>55</v>
      </c>
      <c r="P299" t="s">
        <v>55</v>
      </c>
      <c r="R299" t="s">
        <v>54</v>
      </c>
      <c r="T299" t="s">
        <v>55</v>
      </c>
      <c r="X299" t="s">
        <v>55</v>
      </c>
      <c r="Z299" t="s">
        <v>54</v>
      </c>
      <c r="AB299" t="s">
        <v>55</v>
      </c>
      <c r="AD299" t="s">
        <v>55</v>
      </c>
      <c r="AF299" t="s">
        <v>55</v>
      </c>
      <c r="AH299" t="s">
        <v>55</v>
      </c>
      <c r="AJ299" t="s">
        <v>54</v>
      </c>
      <c r="AK299">
        <v>28400</v>
      </c>
      <c r="AL299">
        <v>0.0327</v>
      </c>
      <c r="AM299" t="s">
        <v>1350</v>
      </c>
      <c r="AN299">
        <v>200</v>
      </c>
      <c r="AO299" t="s">
        <v>1351</v>
      </c>
      <c r="AP299" t="s">
        <v>1352</v>
      </c>
      <c r="AQ299" t="s">
        <v>1353</v>
      </c>
      <c r="AR299" t="s">
        <v>1354</v>
      </c>
      <c r="AS299" t="s">
        <v>1355</v>
      </c>
    </row>
    <row r="300" ht="25.5" customHeight="1" spans="5:48">
      <c r="E300" s="3" t="str">
        <f>HYPERLINK("https://app.hypeauditor.com/my-network/influencer/29521975/analytics/youtube/UCni3jXvNfbv8pXmROsEFKHw","https://app.hypeauditor.com/my-network/influencer/29521975/analytics/youtube/UCni3jXvNfbv8pXmROsEFKHw")</f>
        <v>https://app.hypeauditor.com/my-network/influencer/29521975/analytics/youtube/UCni3jXvNfbv8pXmROsEFKHw</v>
      </c>
      <c r="F300" s="3" t="str">
        <f>HYPERLINK("https://www.youtube.com/@infodigitaefr7188","https://www.youtube.com/@infodigitaefr7188")</f>
        <v>https://www.youtube.com/@infodigitaefr7188</v>
      </c>
      <c r="G300" t="s">
        <v>52</v>
      </c>
      <c r="H300" t="s">
        <v>773</v>
      </c>
      <c r="I300" t="s">
        <v>269</v>
      </c>
      <c r="K300" t="s">
        <v>58</v>
      </c>
      <c r="L300" t="s">
        <v>59</v>
      </c>
      <c r="M300">
        <v>7500</v>
      </c>
      <c r="N300" t="s">
        <v>55</v>
      </c>
      <c r="P300" t="s">
        <v>55</v>
      </c>
      <c r="R300" t="s">
        <v>54</v>
      </c>
      <c r="T300" t="s">
        <v>55</v>
      </c>
      <c r="X300" t="s">
        <v>55</v>
      </c>
      <c r="Z300" t="s">
        <v>54</v>
      </c>
      <c r="AB300" t="s">
        <v>55</v>
      </c>
      <c r="AD300" t="s">
        <v>55</v>
      </c>
      <c r="AF300" t="s">
        <v>55</v>
      </c>
      <c r="AH300" t="s">
        <v>55</v>
      </c>
      <c r="AJ300" t="s">
        <v>54</v>
      </c>
      <c r="AK300">
        <v>3500</v>
      </c>
      <c r="AL300">
        <v>0.0451</v>
      </c>
      <c r="AM300" t="s">
        <v>1356</v>
      </c>
      <c r="AO300" t="s">
        <v>1357</v>
      </c>
      <c r="AP300" t="s">
        <v>184</v>
      </c>
      <c r="AQ300" t="s">
        <v>185</v>
      </c>
      <c r="AR300" t="s">
        <v>184</v>
      </c>
      <c r="AS300" t="s">
        <v>185</v>
      </c>
      <c r="AV300" t="s">
        <v>1349</v>
      </c>
    </row>
    <row r="301" ht="25.5" customHeight="1" spans="1:45">
      <c r="A301" t="s">
        <v>1358</v>
      </c>
      <c r="C301" t="s">
        <v>82</v>
      </c>
      <c r="E301" s="3" t="str">
        <f>HYPERLINK("https://app.hypeauditor.com/my-network/influencer/30491302/analytics/tiktok/rtxchicken","https://app.hypeauditor.com/my-network/influencer/30491302/analytics/tiktok/rtxchicken")</f>
        <v>https://app.hypeauditor.com/my-network/influencer/30491302/analytics/tiktok/rtxchicken</v>
      </c>
      <c r="F301" s="3" t="str">
        <f>HYPERLINK("https://www.tiktok.com/@rtxchicken","https://www.tiktok.com/@rtxchicken")</f>
        <v>https://www.tiktok.com/@rtxchicken</v>
      </c>
      <c r="G301" t="s">
        <v>52</v>
      </c>
      <c r="H301" t="s">
        <v>773</v>
      </c>
      <c r="I301" t="s">
        <v>56</v>
      </c>
      <c r="K301" t="s">
        <v>89</v>
      </c>
      <c r="L301" t="s">
        <v>54</v>
      </c>
      <c r="M301">
        <v>53700</v>
      </c>
      <c r="N301" t="s">
        <v>55</v>
      </c>
      <c r="P301" t="s">
        <v>55</v>
      </c>
      <c r="R301" t="s">
        <v>54</v>
      </c>
      <c r="T301" t="s">
        <v>55</v>
      </c>
      <c r="X301" t="s">
        <v>55</v>
      </c>
      <c r="Z301" t="s">
        <v>54</v>
      </c>
      <c r="AB301" t="s">
        <v>55</v>
      </c>
      <c r="AD301" t="s">
        <v>55</v>
      </c>
      <c r="AF301" t="s">
        <v>55</v>
      </c>
      <c r="AH301" t="s">
        <v>55</v>
      </c>
      <c r="AJ301" t="s">
        <v>54</v>
      </c>
      <c r="AK301">
        <v>14900</v>
      </c>
      <c r="AL301">
        <v>0.1108</v>
      </c>
      <c r="AM301" t="s">
        <v>1359</v>
      </c>
      <c r="AN301">
        <v>150</v>
      </c>
      <c r="AO301" t="s">
        <v>1360</v>
      </c>
      <c r="AP301" t="s">
        <v>1087</v>
      </c>
      <c r="AQ301" t="s">
        <v>1088</v>
      </c>
      <c r="AR301" t="s">
        <v>1327</v>
      </c>
      <c r="AS301" t="s">
        <v>1361</v>
      </c>
    </row>
    <row r="302" ht="25.5" customHeight="1" spans="1:45">
      <c r="A302" t="s">
        <v>1362</v>
      </c>
      <c r="E302" s="3" t="str">
        <f>HYPERLINK("https://app.hypeauditor.com/my-network/influencer/612407/analytics/tiktok/max.torstensson","https://app.hypeauditor.com/my-network/influencer/612407/analytics/tiktok/max.torstensson")</f>
        <v>https://app.hypeauditor.com/my-network/influencer/612407/analytics/tiktok/max.torstensson</v>
      </c>
      <c r="F302" s="3" t="str">
        <f>HYPERLINK("https://www.tiktok.com/@max.torstensson","https://www.tiktok.com/@max.torstensson")</f>
        <v>https://www.tiktok.com/@max.torstensson</v>
      </c>
      <c r="G302" t="s">
        <v>52</v>
      </c>
      <c r="H302" t="s">
        <v>773</v>
      </c>
      <c r="I302" t="s">
        <v>56</v>
      </c>
      <c r="K302" t="s">
        <v>97</v>
      </c>
      <c r="L302" t="s">
        <v>54</v>
      </c>
      <c r="M302">
        <v>52200</v>
      </c>
      <c r="N302" t="s">
        <v>55</v>
      </c>
      <c r="P302" t="s">
        <v>55</v>
      </c>
      <c r="R302" t="s">
        <v>54</v>
      </c>
      <c r="T302" t="s">
        <v>55</v>
      </c>
      <c r="X302" t="s">
        <v>55</v>
      </c>
      <c r="Z302" t="s">
        <v>54</v>
      </c>
      <c r="AB302" t="s">
        <v>55</v>
      </c>
      <c r="AD302" t="s">
        <v>55</v>
      </c>
      <c r="AF302" t="s">
        <v>55</v>
      </c>
      <c r="AH302" t="s">
        <v>55</v>
      </c>
      <c r="AJ302" t="s">
        <v>54</v>
      </c>
      <c r="AK302">
        <v>23400</v>
      </c>
      <c r="AL302">
        <v>0.052</v>
      </c>
      <c r="AM302" t="s">
        <v>1363</v>
      </c>
      <c r="AN302">
        <v>230</v>
      </c>
      <c r="AO302" t="s">
        <v>1364</v>
      </c>
      <c r="AP302" t="s">
        <v>1365</v>
      </c>
      <c r="AQ302" t="s">
        <v>1366</v>
      </c>
      <c r="AR302" t="s">
        <v>1367</v>
      </c>
      <c r="AS302" t="s">
        <v>1368</v>
      </c>
    </row>
    <row r="303" ht="25.5" customHeight="1" spans="1:45">
      <c r="A303" t="s">
        <v>1369</v>
      </c>
      <c r="E303" s="3" t="str">
        <f>HYPERLINK("https://app.hypeauditor.com/my-network/influencer/31483855/analytics/tiktok/jeeker97","https://app.hypeauditor.com/my-network/influencer/31483855/analytics/tiktok/jeeker97")</f>
        <v>https://app.hypeauditor.com/my-network/influencer/31483855/analytics/tiktok/jeeker97</v>
      </c>
      <c r="F303" s="3" t="str">
        <f>HYPERLINK("https://www.tiktok.com/@jeeker97","https://www.tiktok.com/@jeeker97")</f>
        <v>https://www.tiktok.com/@jeeker97</v>
      </c>
      <c r="G303" t="s">
        <v>52</v>
      </c>
      <c r="H303" t="s">
        <v>773</v>
      </c>
      <c r="I303" t="s">
        <v>56</v>
      </c>
      <c r="K303" t="s">
        <v>1370</v>
      </c>
      <c r="L303" t="s">
        <v>54</v>
      </c>
      <c r="M303">
        <v>1700000</v>
      </c>
      <c r="N303" t="s">
        <v>953</v>
      </c>
      <c r="P303" t="s">
        <v>55</v>
      </c>
      <c r="R303" t="s">
        <v>54</v>
      </c>
      <c r="T303" t="s">
        <v>55</v>
      </c>
      <c r="X303" t="s">
        <v>55</v>
      </c>
      <c r="Z303" t="s">
        <v>54</v>
      </c>
      <c r="AB303" t="s">
        <v>55</v>
      </c>
      <c r="AD303" t="s">
        <v>55</v>
      </c>
      <c r="AF303" t="s">
        <v>55</v>
      </c>
      <c r="AH303" t="s">
        <v>55</v>
      </c>
      <c r="AJ303" t="s">
        <v>54</v>
      </c>
      <c r="AK303">
        <v>377500</v>
      </c>
      <c r="AL303">
        <v>0.0719</v>
      </c>
      <c r="AM303" t="s">
        <v>1371</v>
      </c>
      <c r="AO303" t="s">
        <v>1372</v>
      </c>
      <c r="AP303" t="s">
        <v>184</v>
      </c>
      <c r="AQ303" t="s">
        <v>185</v>
      </c>
      <c r="AR303" t="s">
        <v>184</v>
      </c>
      <c r="AS303" t="s">
        <v>185</v>
      </c>
    </row>
    <row r="304" ht="25.5" customHeight="1" spans="1:45">
      <c r="A304" t="s">
        <v>1373</v>
      </c>
      <c r="C304" t="s">
        <v>144</v>
      </c>
      <c r="E304" s="3" t="str">
        <f>HYPERLINK("https://app.hypeauditor.com/my-network/influencer/32715126/analytics/tiktok/profitwithai7","https://app.hypeauditor.com/my-network/influencer/32715126/analytics/tiktok/profitwithai7")</f>
        <v>https://app.hypeauditor.com/my-network/influencer/32715126/analytics/tiktok/profitwithai7</v>
      </c>
      <c r="F304" s="3" t="str">
        <f>HYPERLINK("https://www.tiktok.com/@profitwithai7","https://www.tiktok.com/@profitwithai7")</f>
        <v>https://www.tiktok.com/@profitwithai7</v>
      </c>
      <c r="G304" t="s">
        <v>52</v>
      </c>
      <c r="H304" t="s">
        <v>773</v>
      </c>
      <c r="I304" t="s">
        <v>56</v>
      </c>
      <c r="K304" t="s">
        <v>97</v>
      </c>
      <c r="L304" t="s">
        <v>54</v>
      </c>
      <c r="M304">
        <v>14800</v>
      </c>
      <c r="N304" t="s">
        <v>55</v>
      </c>
      <c r="P304" t="s">
        <v>55</v>
      </c>
      <c r="R304" t="s">
        <v>54</v>
      </c>
      <c r="T304" t="s">
        <v>55</v>
      </c>
      <c r="X304" t="s">
        <v>55</v>
      </c>
      <c r="Z304" t="s">
        <v>54</v>
      </c>
      <c r="AB304" t="s">
        <v>55</v>
      </c>
      <c r="AD304" t="s">
        <v>55</v>
      </c>
      <c r="AF304" t="s">
        <v>55</v>
      </c>
      <c r="AH304" t="s">
        <v>55</v>
      </c>
      <c r="AJ304" t="s">
        <v>54</v>
      </c>
      <c r="AK304">
        <v>4100</v>
      </c>
      <c r="AL304">
        <v>0.0417</v>
      </c>
      <c r="AM304" t="s">
        <v>1374</v>
      </c>
      <c r="AN304">
        <v>100</v>
      </c>
      <c r="AO304" t="s">
        <v>1375</v>
      </c>
      <c r="AP304" t="s">
        <v>1039</v>
      </c>
      <c r="AQ304" t="s">
        <v>55</v>
      </c>
      <c r="AR304" t="s">
        <v>1376</v>
      </c>
      <c r="AS304" t="s">
        <v>55</v>
      </c>
    </row>
    <row r="305" ht="25.5" customHeight="1" spans="1:45">
      <c r="A305" t="s">
        <v>1377</v>
      </c>
      <c r="C305" t="s">
        <v>82</v>
      </c>
      <c r="E305" s="3" t="str">
        <f>HYPERLINK("https://app.hypeauditor.com/my-network/influencer/931221/analytics/tiktok/skawatv","https://app.hypeauditor.com/my-network/influencer/931221/analytics/tiktok/skawatv")</f>
        <v>https://app.hypeauditor.com/my-network/influencer/931221/analytics/tiktok/skawatv</v>
      </c>
      <c r="F305" s="3" t="str">
        <f>HYPERLINK("https://www.tiktok.com/@skawatv","https://www.tiktok.com/@skawatv")</f>
        <v>https://www.tiktok.com/@skawatv</v>
      </c>
      <c r="G305" t="s">
        <v>52</v>
      </c>
      <c r="H305" t="s">
        <v>773</v>
      </c>
      <c r="I305" t="s">
        <v>56</v>
      </c>
      <c r="K305" t="s">
        <v>58</v>
      </c>
      <c r="L305" t="s">
        <v>59</v>
      </c>
      <c r="M305">
        <v>368900</v>
      </c>
      <c r="N305" t="s">
        <v>1378</v>
      </c>
      <c r="P305" t="s">
        <v>55</v>
      </c>
      <c r="R305" t="s">
        <v>54</v>
      </c>
      <c r="T305" t="s">
        <v>55</v>
      </c>
      <c r="X305" t="s">
        <v>55</v>
      </c>
      <c r="Z305" t="s">
        <v>54</v>
      </c>
      <c r="AB305" t="s">
        <v>55</v>
      </c>
      <c r="AD305" t="s">
        <v>55</v>
      </c>
      <c r="AF305" t="s">
        <v>55</v>
      </c>
      <c r="AH305" t="s">
        <v>55</v>
      </c>
      <c r="AJ305" t="s">
        <v>54</v>
      </c>
      <c r="AK305">
        <v>70000</v>
      </c>
      <c r="AL305">
        <v>0.0995</v>
      </c>
      <c r="AM305" t="s">
        <v>1379</v>
      </c>
      <c r="AN305">
        <v>900</v>
      </c>
      <c r="AO305" t="s">
        <v>1380</v>
      </c>
      <c r="AP305" t="s">
        <v>1381</v>
      </c>
      <c r="AQ305" t="s">
        <v>1382</v>
      </c>
      <c r="AR305" t="s">
        <v>1383</v>
      </c>
      <c r="AS305" t="s">
        <v>1384</v>
      </c>
    </row>
    <row r="306" ht="25.5" customHeight="1" spans="1:45">
      <c r="A306" t="s">
        <v>1385</v>
      </c>
      <c r="C306" t="s">
        <v>72</v>
      </c>
      <c r="E306" s="3" t="str">
        <f>HYPERLINK("https://app.hypeauditor.com/my-network/influencer/663651/analytics/instagram/thedevlife","https://app.hypeauditor.com/my-network/influencer/663651/analytics/instagram/thedevlife")</f>
        <v>https://app.hypeauditor.com/my-network/influencer/663651/analytics/instagram/thedevlife</v>
      </c>
      <c r="F306" s="3" t="str">
        <f>HYPERLINK("https://www.instagram.com/thedevlife/reels/","https://www.instagram.com/thedevlife/reels/")</f>
        <v>https://www.instagram.com/thedevlife/reels/</v>
      </c>
      <c r="G306" t="s">
        <v>52</v>
      </c>
      <c r="H306" t="s">
        <v>773</v>
      </c>
      <c r="I306" t="s">
        <v>65</v>
      </c>
      <c r="K306" t="s">
        <v>58</v>
      </c>
      <c r="L306" t="s">
        <v>59</v>
      </c>
      <c r="M306">
        <v>149000</v>
      </c>
      <c r="N306" t="s">
        <v>1386</v>
      </c>
      <c r="P306" t="s">
        <v>55</v>
      </c>
      <c r="R306" t="s">
        <v>54</v>
      </c>
      <c r="T306" t="s">
        <v>55</v>
      </c>
      <c r="X306" t="s">
        <v>55</v>
      </c>
      <c r="Z306" t="s">
        <v>54</v>
      </c>
      <c r="AB306" t="s">
        <v>55</v>
      </c>
      <c r="AD306" t="s">
        <v>55</v>
      </c>
      <c r="AF306" t="s">
        <v>55</v>
      </c>
      <c r="AH306" t="s">
        <v>55</v>
      </c>
      <c r="AJ306" t="s">
        <v>54</v>
      </c>
      <c r="AK306">
        <v>20000</v>
      </c>
      <c r="AL306">
        <v>0.0026</v>
      </c>
      <c r="AM306" t="s">
        <v>1387</v>
      </c>
      <c r="AN306">
        <v>180</v>
      </c>
      <c r="AO306" t="s">
        <v>1388</v>
      </c>
      <c r="AP306" t="s">
        <v>1389</v>
      </c>
      <c r="AQ306" t="s">
        <v>1390</v>
      </c>
      <c r="AR306" t="s">
        <v>1391</v>
      </c>
      <c r="AS306" t="s">
        <v>55</v>
      </c>
    </row>
    <row r="307" ht="25.5" customHeight="1" spans="1:45">
      <c r="A307" t="s">
        <v>1392</v>
      </c>
      <c r="C307" t="s">
        <v>72</v>
      </c>
      <c r="E307" s="3" t="str">
        <f>HYPERLINK("https://app.hypeauditor.com/my-network/influencer/241870/analytics/tiktok/thejunglebadger","https://app.hypeauditor.com/my-network/influencer/241870/analytics/tiktok/thejunglebadger")</f>
        <v>https://app.hypeauditor.com/my-network/influencer/241870/analytics/tiktok/thejunglebadger</v>
      </c>
      <c r="F307" s="3" t="str">
        <f>HYPERLINK("https://www.tiktok.com/@thejunglebadger","https://www.tiktok.com/@thejunglebadger")</f>
        <v>https://www.tiktok.com/@thejunglebadger</v>
      </c>
      <c r="G307" t="s">
        <v>52</v>
      </c>
      <c r="H307" t="s">
        <v>773</v>
      </c>
      <c r="I307" t="s">
        <v>56</v>
      </c>
      <c r="K307" t="s">
        <v>58</v>
      </c>
      <c r="L307" t="s">
        <v>59</v>
      </c>
      <c r="M307">
        <v>260000</v>
      </c>
      <c r="N307" t="s">
        <v>1393</v>
      </c>
      <c r="P307" t="s">
        <v>55</v>
      </c>
      <c r="R307" t="s">
        <v>54</v>
      </c>
      <c r="T307" t="s">
        <v>55</v>
      </c>
      <c r="X307" t="s">
        <v>55</v>
      </c>
      <c r="Z307" t="s">
        <v>54</v>
      </c>
      <c r="AB307" t="s">
        <v>55</v>
      </c>
      <c r="AD307" t="s">
        <v>55</v>
      </c>
      <c r="AF307" t="s">
        <v>55</v>
      </c>
      <c r="AH307" t="s">
        <v>55</v>
      </c>
      <c r="AJ307" t="s">
        <v>54</v>
      </c>
      <c r="AK307">
        <v>15000</v>
      </c>
      <c r="AL307">
        <v>0.0304</v>
      </c>
      <c r="AM307" t="s">
        <v>1394</v>
      </c>
      <c r="AO307" t="s">
        <v>1395</v>
      </c>
      <c r="AP307" t="s">
        <v>184</v>
      </c>
      <c r="AQ307" t="s">
        <v>185</v>
      </c>
      <c r="AR307" t="s">
        <v>184</v>
      </c>
      <c r="AS307" t="s">
        <v>185</v>
      </c>
    </row>
    <row r="308" ht="25.5" customHeight="1" spans="1:45">
      <c r="A308" t="s">
        <v>1396</v>
      </c>
      <c r="C308" t="s">
        <v>72</v>
      </c>
      <c r="E308" s="3" t="str">
        <f>HYPERLINK("https://app.hypeauditor.com/my-network/influencer/33016601/analytics/tiktok/mattscomputerservices","https://app.hypeauditor.com/my-network/influencer/33016601/analytics/tiktok/mattscomputerservices")</f>
        <v>https://app.hypeauditor.com/my-network/influencer/33016601/analytics/tiktok/mattscomputerservices</v>
      </c>
      <c r="F308" s="3" t="str">
        <f>HYPERLINK("https://www.tiktok.com/@mattscomputerservices","https://www.tiktok.com/@mattscomputerservices")</f>
        <v>https://www.tiktok.com/@mattscomputerservices</v>
      </c>
      <c r="G308" t="s">
        <v>52</v>
      </c>
      <c r="H308" t="s">
        <v>773</v>
      </c>
      <c r="I308" t="s">
        <v>56</v>
      </c>
      <c r="K308" t="s">
        <v>58</v>
      </c>
      <c r="L308" t="s">
        <v>59</v>
      </c>
      <c r="M308">
        <v>81500</v>
      </c>
      <c r="N308" t="s">
        <v>55</v>
      </c>
      <c r="P308" t="s">
        <v>55</v>
      </c>
      <c r="R308" t="s">
        <v>54</v>
      </c>
      <c r="T308" t="s">
        <v>55</v>
      </c>
      <c r="X308" t="s">
        <v>55</v>
      </c>
      <c r="Z308" t="s">
        <v>54</v>
      </c>
      <c r="AB308" t="s">
        <v>55</v>
      </c>
      <c r="AD308" t="s">
        <v>55</v>
      </c>
      <c r="AF308" t="s">
        <v>55</v>
      </c>
      <c r="AH308" t="s">
        <v>55</v>
      </c>
      <c r="AJ308" t="s">
        <v>54</v>
      </c>
      <c r="AK308">
        <v>15000</v>
      </c>
      <c r="AL308">
        <v>0.0365</v>
      </c>
      <c r="AM308" t="s">
        <v>1397</v>
      </c>
      <c r="AN308">
        <v>200</v>
      </c>
      <c r="AO308" t="s">
        <v>1398</v>
      </c>
      <c r="AP308" t="s">
        <v>635</v>
      </c>
      <c r="AQ308" t="s">
        <v>636</v>
      </c>
      <c r="AR308" t="s">
        <v>1399</v>
      </c>
      <c r="AS308" t="s">
        <v>55</v>
      </c>
    </row>
    <row r="309" ht="25.5" customHeight="1" spans="1:45">
      <c r="A309" t="s">
        <v>1400</v>
      </c>
      <c r="C309" t="s">
        <v>51</v>
      </c>
      <c r="E309" s="3" t="str">
        <f>HYPERLINK("https://app.hypeauditor.com/my-network/influencer/4547379/analytics/instagram/stackovermemes","https://app.hypeauditor.com/my-network/influencer/4547379/analytics/instagram/stackovermemes")</f>
        <v>https://app.hypeauditor.com/my-network/influencer/4547379/analytics/instagram/stackovermemes</v>
      </c>
      <c r="F309" s="3" t="str">
        <f>HYPERLINK("https://www.instagram.com/stackovermemes/reels/","https://www.instagram.com/stackovermemes/reels/")</f>
        <v>https://www.instagram.com/stackovermemes/reels/</v>
      </c>
      <c r="G309" t="s">
        <v>52</v>
      </c>
      <c r="H309" t="s">
        <v>773</v>
      </c>
      <c r="I309" t="s">
        <v>65</v>
      </c>
      <c r="K309" t="s">
        <v>58</v>
      </c>
      <c r="L309" t="s">
        <v>59</v>
      </c>
      <c r="M309">
        <v>74000</v>
      </c>
      <c r="N309" t="s">
        <v>55</v>
      </c>
      <c r="P309" t="s">
        <v>55</v>
      </c>
      <c r="R309" t="s">
        <v>54</v>
      </c>
      <c r="T309" t="s">
        <v>55</v>
      </c>
      <c r="X309" t="s">
        <v>55</v>
      </c>
      <c r="Z309" t="s">
        <v>54</v>
      </c>
      <c r="AB309" t="s">
        <v>55</v>
      </c>
      <c r="AD309" t="s">
        <v>55</v>
      </c>
      <c r="AF309" t="s">
        <v>55</v>
      </c>
      <c r="AH309" t="s">
        <v>55</v>
      </c>
      <c r="AJ309" t="s">
        <v>54</v>
      </c>
      <c r="AK309">
        <v>30000</v>
      </c>
      <c r="AL309">
        <v>0.0164</v>
      </c>
      <c r="AM309" t="s">
        <v>1401</v>
      </c>
      <c r="AN309">
        <v>300</v>
      </c>
      <c r="AO309" t="s">
        <v>1402</v>
      </c>
      <c r="AP309" t="s">
        <v>139</v>
      </c>
      <c r="AQ309" t="s">
        <v>140</v>
      </c>
      <c r="AR309" t="s">
        <v>1403</v>
      </c>
      <c r="AS309" t="s">
        <v>55</v>
      </c>
    </row>
    <row r="310" ht="25.5" customHeight="1" spans="1:45">
      <c r="A310" t="s">
        <v>1404</v>
      </c>
      <c r="C310" t="s">
        <v>82</v>
      </c>
      <c r="E310" s="3" t="str">
        <f>HYPERLINK("https://app.hypeauditor.com/my-network/influencer/16544888/analytics/instagram/codingmermaid.ai","https://app.hypeauditor.com/my-network/influencer/16544888/analytics/instagram/codingmermaid.ai")</f>
        <v>https://app.hypeauditor.com/my-network/influencer/16544888/analytics/instagram/codingmermaid.ai</v>
      </c>
      <c r="F310" s="3" t="str">
        <f>HYPERLINK("https://www.instagram.com/codingmermaid.ai/","https://www.instagram.com/codingmermaid.ai/")</f>
        <v>https://www.instagram.com/codingmermaid.ai/</v>
      </c>
      <c r="G310" t="s">
        <v>52</v>
      </c>
      <c r="H310" t="s">
        <v>773</v>
      </c>
      <c r="I310" t="s">
        <v>65</v>
      </c>
      <c r="K310" t="s">
        <v>455</v>
      </c>
      <c r="L310" t="s">
        <v>54</v>
      </c>
      <c r="M310">
        <v>164100</v>
      </c>
      <c r="N310" t="s">
        <v>1405</v>
      </c>
      <c r="P310" t="s">
        <v>55</v>
      </c>
      <c r="R310" t="s">
        <v>54</v>
      </c>
      <c r="T310" t="s">
        <v>55</v>
      </c>
      <c r="X310" t="s">
        <v>55</v>
      </c>
      <c r="Z310" t="s">
        <v>54</v>
      </c>
      <c r="AB310" t="s">
        <v>55</v>
      </c>
      <c r="AD310" t="s">
        <v>55</v>
      </c>
      <c r="AF310" t="s">
        <v>55</v>
      </c>
      <c r="AH310" t="s">
        <v>55</v>
      </c>
      <c r="AJ310" t="s">
        <v>54</v>
      </c>
      <c r="AK310">
        <v>20000</v>
      </c>
      <c r="AL310">
        <v>0.0042</v>
      </c>
      <c r="AM310" t="s">
        <v>1406</v>
      </c>
      <c r="AN310">
        <v>300</v>
      </c>
      <c r="AO310" t="s">
        <v>1407</v>
      </c>
      <c r="AP310" t="s">
        <v>943</v>
      </c>
      <c r="AQ310" t="s">
        <v>944</v>
      </c>
      <c r="AR310" t="s">
        <v>1408</v>
      </c>
      <c r="AS310" t="s">
        <v>55</v>
      </c>
    </row>
    <row r="311" ht="25.5" customHeight="1" spans="1:48">
      <c r="A311" t="s">
        <v>965</v>
      </c>
      <c r="C311" t="s">
        <v>82</v>
      </c>
      <c r="E311" s="3"/>
      <c r="F311" s="3" t="str">
        <f>HYPERLINK("https://www.tiktok.com/@toquederetoque","https://www.tiktok.com/@toquederetoque")</f>
        <v>https://www.tiktok.com/@toquederetoque</v>
      </c>
      <c r="G311" t="s">
        <v>52</v>
      </c>
      <c r="H311" t="s">
        <v>53</v>
      </c>
      <c r="I311" t="s">
        <v>56</v>
      </c>
      <c r="K311" t="s">
        <v>89</v>
      </c>
      <c r="L311" t="s">
        <v>54</v>
      </c>
      <c r="M311">
        <v>620100</v>
      </c>
      <c r="N311" t="s">
        <v>1409</v>
      </c>
      <c r="P311" t="s">
        <v>55</v>
      </c>
      <c r="R311" t="s">
        <v>54</v>
      </c>
      <c r="T311" t="s">
        <v>55</v>
      </c>
      <c r="X311" t="s">
        <v>55</v>
      </c>
      <c r="Z311" t="s">
        <v>54</v>
      </c>
      <c r="AB311" t="s">
        <v>55</v>
      </c>
      <c r="AD311" t="s">
        <v>55</v>
      </c>
      <c r="AF311" t="s">
        <v>55</v>
      </c>
      <c r="AH311" t="s">
        <v>55</v>
      </c>
      <c r="AJ311" t="s">
        <v>54</v>
      </c>
      <c r="AK311">
        <v>50000</v>
      </c>
      <c r="AM311" t="s">
        <v>54</v>
      </c>
      <c r="AN311">
        <v>300</v>
      </c>
      <c r="AO311" t="s">
        <v>54</v>
      </c>
      <c r="AP311" t="s">
        <v>1410</v>
      </c>
      <c r="AQ311" t="s">
        <v>1411</v>
      </c>
      <c r="AV311" t="s">
        <v>965</v>
      </c>
    </row>
    <row r="312" ht="25.5" customHeight="1" spans="1:45">
      <c r="A312" t="s">
        <v>1212</v>
      </c>
      <c r="C312" t="s">
        <v>82</v>
      </c>
      <c r="E312" s="3" t="str">
        <f>HYPERLINK("https://app.hypeauditor.com/my-network/influencer/1629064/analytics/instagram/penlar.pc","https://app.hypeauditor.com/my-network/influencer/1629064/analytics/instagram/penlar.pc")</f>
        <v>https://app.hypeauditor.com/my-network/influencer/1629064/analytics/instagram/penlar.pc</v>
      </c>
      <c r="F312" s="3" t="str">
        <f>HYPERLINK("https://www.instagram.com/penlar.pc/reels/","https://www.instagram.com/penlar.pc/reels/")</f>
        <v>https://www.instagram.com/penlar.pc/reels/</v>
      </c>
      <c r="G312" t="s">
        <v>52</v>
      </c>
      <c r="H312" t="s">
        <v>773</v>
      </c>
      <c r="I312" t="s">
        <v>65</v>
      </c>
      <c r="K312" t="s">
        <v>58</v>
      </c>
      <c r="L312" t="s">
        <v>59</v>
      </c>
      <c r="M312">
        <v>451000</v>
      </c>
      <c r="N312" t="s">
        <v>1412</v>
      </c>
      <c r="P312" t="s">
        <v>55</v>
      </c>
      <c r="R312" t="s">
        <v>54</v>
      </c>
      <c r="T312" t="s">
        <v>55</v>
      </c>
      <c r="X312" t="s">
        <v>55</v>
      </c>
      <c r="Z312" t="s">
        <v>54</v>
      </c>
      <c r="AB312" t="s">
        <v>55</v>
      </c>
      <c r="AD312" t="s">
        <v>55</v>
      </c>
      <c r="AF312" t="s">
        <v>55</v>
      </c>
      <c r="AH312" t="s">
        <v>55</v>
      </c>
      <c r="AJ312" t="s">
        <v>54</v>
      </c>
      <c r="AK312">
        <v>40000</v>
      </c>
      <c r="AL312">
        <v>0.0018</v>
      </c>
      <c r="AM312" t="s">
        <v>1413</v>
      </c>
      <c r="AN312">
        <v>380</v>
      </c>
      <c r="AO312" t="s">
        <v>1414</v>
      </c>
      <c r="AP312" t="s">
        <v>821</v>
      </c>
      <c r="AQ312" t="s">
        <v>1415</v>
      </c>
      <c r="AR312" t="s">
        <v>1416</v>
      </c>
      <c r="AS312" t="s">
        <v>55</v>
      </c>
    </row>
    <row r="313" ht="25.5" customHeight="1" spans="3:48">
      <c r="C313" t="s">
        <v>82</v>
      </c>
      <c r="E313" s="3"/>
      <c r="F313" s="3" t="str">
        <f>HYPERLINK("https://www.tiktok.com/@penlar","https://www.tiktok.com/@penlar")</f>
        <v>https://www.tiktok.com/@penlar</v>
      </c>
      <c r="G313" t="s">
        <v>52</v>
      </c>
      <c r="H313" t="s">
        <v>773</v>
      </c>
      <c r="I313" t="s">
        <v>56</v>
      </c>
      <c r="K313" t="s">
        <v>58</v>
      </c>
      <c r="L313" t="s">
        <v>59</v>
      </c>
      <c r="M313">
        <v>234800</v>
      </c>
      <c r="N313" t="s">
        <v>1417</v>
      </c>
      <c r="P313" t="s">
        <v>55</v>
      </c>
      <c r="R313" t="s">
        <v>54</v>
      </c>
      <c r="T313" t="s">
        <v>55</v>
      </c>
      <c r="X313" t="s">
        <v>55</v>
      </c>
      <c r="Z313" t="s">
        <v>54</v>
      </c>
      <c r="AB313" t="s">
        <v>55</v>
      </c>
      <c r="AD313" t="s">
        <v>55</v>
      </c>
      <c r="AF313" t="s">
        <v>55</v>
      </c>
      <c r="AH313" t="s">
        <v>55</v>
      </c>
      <c r="AJ313" t="s">
        <v>54</v>
      </c>
      <c r="AK313">
        <v>2000</v>
      </c>
      <c r="AL313">
        <v>0.0303</v>
      </c>
      <c r="AM313" t="s">
        <v>1418</v>
      </c>
      <c r="AN313">
        <v>20</v>
      </c>
      <c r="AO313" t="s">
        <v>1419</v>
      </c>
      <c r="AP313" t="s">
        <v>139</v>
      </c>
      <c r="AQ313" t="s">
        <v>140</v>
      </c>
      <c r="AR313" t="s">
        <v>798</v>
      </c>
      <c r="AS313" t="s">
        <v>55</v>
      </c>
      <c r="AV313" t="s">
        <v>1212</v>
      </c>
    </row>
    <row r="314" ht="25.5" customHeight="1" spans="1:45">
      <c r="A314" t="s">
        <v>1420</v>
      </c>
      <c r="C314" t="s">
        <v>82</v>
      </c>
      <c r="E314" s="3" t="str">
        <f>HYPERLINK("https://app.hypeauditor.com/my-network/influencer/33071543/analytics/tiktok/carloslvlv","https://app.hypeauditor.com/my-network/influencer/33071543/analytics/tiktok/carloslvlv")</f>
        <v>https://app.hypeauditor.com/my-network/influencer/33071543/analytics/tiktok/carloslvlv</v>
      </c>
      <c r="F314" s="3" t="str">
        <f>HYPERLINK("https://www.tiktok.com/@carloslvlv","https://www.tiktok.com/@carloslvlv")</f>
        <v>https://www.tiktok.com/@carloslvlv</v>
      </c>
      <c r="G314" t="s">
        <v>52</v>
      </c>
      <c r="H314" t="s">
        <v>773</v>
      </c>
      <c r="I314" t="s">
        <v>56</v>
      </c>
      <c r="K314" t="s">
        <v>58</v>
      </c>
      <c r="L314" t="s">
        <v>59</v>
      </c>
      <c r="M314">
        <v>38000</v>
      </c>
      <c r="N314" t="s">
        <v>55</v>
      </c>
      <c r="P314" t="s">
        <v>55</v>
      </c>
      <c r="R314" t="s">
        <v>54</v>
      </c>
      <c r="T314" t="s">
        <v>55</v>
      </c>
      <c r="X314" t="s">
        <v>55</v>
      </c>
      <c r="Z314" t="s">
        <v>54</v>
      </c>
      <c r="AB314" t="s">
        <v>55</v>
      </c>
      <c r="AD314" t="s">
        <v>55</v>
      </c>
      <c r="AF314" t="s">
        <v>55</v>
      </c>
      <c r="AH314" t="s">
        <v>55</v>
      </c>
      <c r="AJ314" t="s">
        <v>54</v>
      </c>
      <c r="AK314">
        <v>10000</v>
      </c>
      <c r="AL314">
        <v>0.0513</v>
      </c>
      <c r="AM314" t="s">
        <v>1421</v>
      </c>
      <c r="AN314">
        <v>99</v>
      </c>
      <c r="AO314" t="s">
        <v>1422</v>
      </c>
      <c r="AP314" t="s">
        <v>1101</v>
      </c>
      <c r="AQ314" t="s">
        <v>1423</v>
      </c>
      <c r="AR314" t="s">
        <v>1424</v>
      </c>
      <c r="AS314" t="s">
        <v>1425</v>
      </c>
    </row>
    <row r="315" ht="25.5" customHeight="1" spans="1:45">
      <c r="A315" t="s">
        <v>1426</v>
      </c>
      <c r="C315" t="s">
        <v>72</v>
      </c>
      <c r="E315" s="3" t="str">
        <f>HYPERLINK("https://app.hypeauditor.com/my-network/influencer/17520123/analytics/instagram/ainewscentral","https://app.hypeauditor.com/my-network/influencer/17520123/analytics/instagram/ainewscentral")</f>
        <v>https://app.hypeauditor.com/my-network/influencer/17520123/analytics/instagram/ainewscentral</v>
      </c>
      <c r="F315" s="3" t="str">
        <f>HYPERLINK("https://www.instagram.com/ainewscentral/reels/","https://www.instagram.com/ainewscentral/reels/")</f>
        <v>https://www.instagram.com/ainewscentral/reels/</v>
      </c>
      <c r="G315" t="s">
        <v>52</v>
      </c>
      <c r="H315" t="s">
        <v>773</v>
      </c>
      <c r="I315" t="s">
        <v>65</v>
      </c>
      <c r="K315" t="s">
        <v>58</v>
      </c>
      <c r="L315" t="s">
        <v>59</v>
      </c>
      <c r="M315">
        <v>39000</v>
      </c>
      <c r="N315" t="s">
        <v>55</v>
      </c>
      <c r="P315" t="s">
        <v>55</v>
      </c>
      <c r="R315" t="s">
        <v>54</v>
      </c>
      <c r="T315" t="s">
        <v>55</v>
      </c>
      <c r="X315" t="s">
        <v>55</v>
      </c>
      <c r="Z315" t="s">
        <v>54</v>
      </c>
      <c r="AB315" t="s">
        <v>55</v>
      </c>
      <c r="AD315" t="s">
        <v>55</v>
      </c>
      <c r="AF315" t="s">
        <v>55</v>
      </c>
      <c r="AH315" t="s">
        <v>55</v>
      </c>
      <c r="AJ315" t="s">
        <v>54</v>
      </c>
      <c r="AK315">
        <v>5000</v>
      </c>
      <c r="AL315">
        <v>0.003</v>
      </c>
      <c r="AM315" t="s">
        <v>1427</v>
      </c>
      <c r="AN315">
        <v>50</v>
      </c>
      <c r="AO315" t="s">
        <v>1428</v>
      </c>
      <c r="AP315" t="s">
        <v>139</v>
      </c>
      <c r="AQ315" t="s">
        <v>140</v>
      </c>
      <c r="AR315" t="s">
        <v>821</v>
      </c>
      <c r="AS315" t="s">
        <v>55</v>
      </c>
    </row>
    <row r="316" ht="25.5" customHeight="1" spans="1:45">
      <c r="A316" t="s">
        <v>1429</v>
      </c>
      <c r="C316" t="s">
        <v>72</v>
      </c>
      <c r="E316" s="3" t="str">
        <f>HYPERLINK("https://app.hypeauditor.com/my-network/influencer/2159319/analytics/instagram/libertytgp","https://app.hypeauditor.com/my-network/influencer/2159319/analytics/instagram/libertytgp")</f>
        <v>https://app.hypeauditor.com/my-network/influencer/2159319/analytics/instagram/libertytgp</v>
      </c>
      <c r="F316" s="3" t="str">
        <f>HYPERLINK("https://www.instagram.com/libertytgp/reels/","https://www.instagram.com/libertytgp/reels/")</f>
        <v>https://www.instagram.com/libertytgp/reels/</v>
      </c>
      <c r="G316" t="s">
        <v>52</v>
      </c>
      <c r="H316" t="s">
        <v>773</v>
      </c>
      <c r="I316" t="s">
        <v>65</v>
      </c>
      <c r="K316" t="s">
        <v>97</v>
      </c>
      <c r="L316" t="s">
        <v>54</v>
      </c>
      <c r="M316">
        <v>255000</v>
      </c>
      <c r="N316" t="s">
        <v>1430</v>
      </c>
      <c r="P316" t="s">
        <v>55</v>
      </c>
      <c r="R316" t="s">
        <v>54</v>
      </c>
      <c r="T316" t="s">
        <v>55</v>
      </c>
      <c r="X316" t="s">
        <v>55</v>
      </c>
      <c r="Z316" t="s">
        <v>54</v>
      </c>
      <c r="AB316" t="s">
        <v>55</v>
      </c>
      <c r="AD316" t="s">
        <v>55</v>
      </c>
      <c r="AF316" t="s">
        <v>55</v>
      </c>
      <c r="AH316" t="s">
        <v>55</v>
      </c>
      <c r="AJ316" t="s">
        <v>54</v>
      </c>
      <c r="AK316">
        <v>30000</v>
      </c>
      <c r="AL316">
        <v>0.004</v>
      </c>
      <c r="AM316" t="s">
        <v>1431</v>
      </c>
      <c r="AN316">
        <v>300</v>
      </c>
      <c r="AO316" t="s">
        <v>634</v>
      </c>
      <c r="AP316" t="s">
        <v>139</v>
      </c>
      <c r="AQ316" t="s">
        <v>140</v>
      </c>
      <c r="AR316" t="s">
        <v>1432</v>
      </c>
      <c r="AS316" t="s">
        <v>55</v>
      </c>
    </row>
    <row r="317" ht="25.5" customHeight="1" spans="1:45">
      <c r="A317" t="s">
        <v>1433</v>
      </c>
      <c r="C317" t="s">
        <v>82</v>
      </c>
      <c r="E317" s="3" t="str">
        <f>HYPERLINK("https://app.hypeauditor.com/my-network/influencer/24216099/analytics/tiktok/officialzatt","https://app.hypeauditor.com/my-network/influencer/24216099/analytics/tiktok/officialzatt")</f>
        <v>https://app.hypeauditor.com/my-network/influencer/24216099/analytics/tiktok/officialzatt</v>
      </c>
      <c r="F317" s="3" t="str">
        <f>HYPERLINK("https://www.tiktok.com/@officialzatt","https://www.tiktok.com/@officialzatt")</f>
        <v>https://www.tiktok.com/@officialzatt</v>
      </c>
      <c r="G317" t="s">
        <v>52</v>
      </c>
      <c r="H317" t="s">
        <v>773</v>
      </c>
      <c r="I317" t="s">
        <v>56</v>
      </c>
      <c r="K317" t="s">
        <v>58</v>
      </c>
      <c r="L317" t="s">
        <v>59</v>
      </c>
      <c r="M317">
        <v>12000</v>
      </c>
      <c r="N317" t="s">
        <v>55</v>
      </c>
      <c r="P317" t="s">
        <v>55</v>
      </c>
      <c r="R317" t="s">
        <v>54</v>
      </c>
      <c r="T317" t="s">
        <v>55</v>
      </c>
      <c r="X317" t="s">
        <v>55</v>
      </c>
      <c r="Z317" t="s">
        <v>54</v>
      </c>
      <c r="AB317" t="s">
        <v>55</v>
      </c>
      <c r="AD317" t="s">
        <v>55</v>
      </c>
      <c r="AF317" t="s">
        <v>55</v>
      </c>
      <c r="AH317" t="s">
        <v>55</v>
      </c>
      <c r="AJ317" t="s">
        <v>54</v>
      </c>
      <c r="AK317">
        <v>2000</v>
      </c>
      <c r="AL317">
        <v>0.0689</v>
      </c>
      <c r="AM317" t="s">
        <v>1434</v>
      </c>
      <c r="AN317">
        <v>20</v>
      </c>
      <c r="AO317" t="s">
        <v>1435</v>
      </c>
      <c r="AP317" t="s">
        <v>139</v>
      </c>
      <c r="AQ317" t="s">
        <v>140</v>
      </c>
      <c r="AR317" t="s">
        <v>1436</v>
      </c>
      <c r="AS317" t="s">
        <v>1437</v>
      </c>
    </row>
    <row r="318" ht="25.5" customHeight="1" spans="1:45">
      <c r="A318" t="s">
        <v>1438</v>
      </c>
      <c r="C318" t="s">
        <v>82</v>
      </c>
      <c r="E318" s="3" t="str">
        <f>HYPERLINK("https://app.hypeauditor.com/my-network/influencer/7516627/analytics/instagram/codingkite_","https://app.hypeauditor.com/my-network/influencer/7516627/analytics/instagram/codingkite_")</f>
        <v>https://app.hypeauditor.com/my-network/influencer/7516627/analytics/instagram/codingkite_</v>
      </c>
      <c r="F318" s="3" t="str">
        <f>HYPERLINK("https://www.instagram.com/codingkite_/","https://www.instagram.com/codingkite_/")</f>
        <v>https://www.instagram.com/codingkite_/</v>
      </c>
      <c r="G318" t="s">
        <v>52</v>
      </c>
      <c r="H318" t="s">
        <v>773</v>
      </c>
      <c r="I318" t="s">
        <v>65</v>
      </c>
      <c r="K318" t="s">
        <v>58</v>
      </c>
      <c r="L318" t="s">
        <v>59</v>
      </c>
      <c r="M318">
        <v>128300</v>
      </c>
      <c r="N318" t="s">
        <v>1439</v>
      </c>
      <c r="P318" t="s">
        <v>55</v>
      </c>
      <c r="R318" t="s">
        <v>54</v>
      </c>
      <c r="T318" t="s">
        <v>55</v>
      </c>
      <c r="X318" t="s">
        <v>55</v>
      </c>
      <c r="Z318" t="s">
        <v>54</v>
      </c>
      <c r="AB318" t="s">
        <v>55</v>
      </c>
      <c r="AD318" t="s">
        <v>55</v>
      </c>
      <c r="AF318" t="s">
        <v>55</v>
      </c>
      <c r="AH318" t="s">
        <v>55</v>
      </c>
      <c r="AJ318" t="s">
        <v>54</v>
      </c>
      <c r="AK318">
        <v>30000</v>
      </c>
      <c r="AL318">
        <v>0.0071</v>
      </c>
      <c r="AM318" t="s">
        <v>1440</v>
      </c>
      <c r="AN318">
        <v>299</v>
      </c>
      <c r="AO318" t="s">
        <v>1441</v>
      </c>
      <c r="AP318" t="s">
        <v>1442</v>
      </c>
      <c r="AQ318" t="s">
        <v>1443</v>
      </c>
      <c r="AR318" t="s">
        <v>1444</v>
      </c>
      <c r="AS318" t="s">
        <v>55</v>
      </c>
    </row>
    <row r="319" ht="25.5" customHeight="1" spans="1:41">
      <c r="A319" t="s">
        <v>1445</v>
      </c>
      <c r="C319" t="s">
        <v>72</v>
      </c>
      <c r="E319" s="3" t="str">
        <f>HYPERLINK("https://app.hypeauditor.com/my-network/influencer/33240866/analytics/tiktok/chiico.tech","https://app.hypeauditor.com/my-network/influencer/33240866/analytics/tiktok/chiico.tech")</f>
        <v>https://app.hypeauditor.com/my-network/influencer/33240866/analytics/tiktok/chiico.tech</v>
      </c>
      <c r="F319" s="3" t="str">
        <f>HYPERLINK("https://www.tiktok.com/@chiico.ts","https://www.tiktok.com/@chiico.ts")</f>
        <v>https://www.tiktok.com/@chiico.ts</v>
      </c>
      <c r="G319" t="s">
        <v>52</v>
      </c>
      <c r="H319" t="s">
        <v>773</v>
      </c>
      <c r="I319" t="s">
        <v>56</v>
      </c>
      <c r="K319" t="s">
        <v>97</v>
      </c>
      <c r="L319" t="s">
        <v>54</v>
      </c>
      <c r="M319">
        <v>3300</v>
      </c>
      <c r="N319" t="s">
        <v>55</v>
      </c>
      <c r="P319" t="s">
        <v>55</v>
      </c>
      <c r="R319" t="s">
        <v>54</v>
      </c>
      <c r="T319" t="s">
        <v>55</v>
      </c>
      <c r="X319" t="s">
        <v>55</v>
      </c>
      <c r="Z319" t="s">
        <v>54</v>
      </c>
      <c r="AB319" t="s">
        <v>55</v>
      </c>
      <c r="AD319" t="s">
        <v>55</v>
      </c>
      <c r="AF319" t="s">
        <v>55</v>
      </c>
      <c r="AH319" t="s">
        <v>55</v>
      </c>
      <c r="AJ319" t="s">
        <v>54</v>
      </c>
      <c r="AL319">
        <v>0.0766</v>
      </c>
      <c r="AM319" t="s">
        <v>54</v>
      </c>
      <c r="AN319">
        <v>20</v>
      </c>
      <c r="AO319" t="s">
        <v>54</v>
      </c>
    </row>
    <row r="320" ht="25.5" customHeight="1" spans="5:41">
      <c r="E320" s="3"/>
      <c r="F320" s="3"/>
      <c r="G320" t="s">
        <v>52</v>
      </c>
      <c r="H320" t="s">
        <v>773</v>
      </c>
      <c r="L320" t="s">
        <v>54</v>
      </c>
      <c r="P320" t="s">
        <v>55</v>
      </c>
      <c r="R320" t="s">
        <v>54</v>
      </c>
      <c r="T320" t="s">
        <v>55</v>
      </c>
      <c r="X320" t="s">
        <v>55</v>
      </c>
      <c r="Z320" t="s">
        <v>54</v>
      </c>
      <c r="AB320" t="s">
        <v>55</v>
      </c>
      <c r="AD320" t="s">
        <v>55</v>
      </c>
      <c r="AF320" t="s">
        <v>55</v>
      </c>
      <c r="AH320" t="s">
        <v>55</v>
      </c>
      <c r="AJ320" t="s">
        <v>54</v>
      </c>
      <c r="AM320" t="s">
        <v>54</v>
      </c>
      <c r="AO320" t="s">
        <v>54</v>
      </c>
    </row>
    <row r="321" ht="25.5" customHeight="1" spans="1:45">
      <c r="A321" t="s">
        <v>1446</v>
      </c>
      <c r="C321" t="s">
        <v>72</v>
      </c>
      <c r="E321" s="3" t="str">
        <f>HYPERLINK("https://app.hypeauditor.com/my-network/influencer/513529/analytics/tiktok/tomex56","https://app.hypeauditor.com/my-network/influencer/513529/analytics/tiktok/tomex56")</f>
        <v>https://app.hypeauditor.com/my-network/influencer/513529/analytics/tiktok/tomex56</v>
      </c>
      <c r="F321" s="3" t="str">
        <f>HYPERLINK("https://www.tiktok.com/@tomex56","https://www.tiktok.com/@tomex56")</f>
        <v>https://www.tiktok.com/@tomex56</v>
      </c>
      <c r="G321" t="s">
        <v>52</v>
      </c>
      <c r="H321" t="s">
        <v>53</v>
      </c>
      <c r="I321" t="s">
        <v>56</v>
      </c>
      <c r="K321" t="s">
        <v>89</v>
      </c>
      <c r="L321" t="s">
        <v>54</v>
      </c>
      <c r="M321">
        <v>898200</v>
      </c>
      <c r="N321" t="s">
        <v>1447</v>
      </c>
      <c r="P321" t="s">
        <v>55</v>
      </c>
      <c r="R321" t="s">
        <v>54</v>
      </c>
      <c r="T321" t="s">
        <v>55</v>
      </c>
      <c r="X321" t="s">
        <v>55</v>
      </c>
      <c r="Z321" t="s">
        <v>54</v>
      </c>
      <c r="AB321" t="s">
        <v>55</v>
      </c>
      <c r="AD321" t="s">
        <v>55</v>
      </c>
      <c r="AF321" t="s">
        <v>55</v>
      </c>
      <c r="AH321" t="s">
        <v>55</v>
      </c>
      <c r="AJ321" t="s">
        <v>54</v>
      </c>
      <c r="AK321">
        <v>155700</v>
      </c>
      <c r="AL321">
        <v>0.0813</v>
      </c>
      <c r="AM321" t="s">
        <v>1448</v>
      </c>
      <c r="AN321">
        <v>1500</v>
      </c>
      <c r="AO321" t="s">
        <v>1449</v>
      </c>
      <c r="AP321" t="s">
        <v>1450</v>
      </c>
      <c r="AQ321" t="s">
        <v>1451</v>
      </c>
      <c r="AR321" t="s">
        <v>1452</v>
      </c>
      <c r="AS321" t="s">
        <v>1453</v>
      </c>
    </row>
    <row r="322" ht="25.5" customHeight="1" spans="1:48">
      <c r="A322" t="s">
        <v>1446</v>
      </c>
      <c r="C322" t="s">
        <v>72</v>
      </c>
      <c r="E322" s="3" t="str">
        <f>HYPERLINK("https://app.hypeauditor.com/my-network/influencer/513529/analytics/instagram/eltomex","https://app.hypeauditor.com/my-network/influencer/513529/analytics/instagram/eltomex")</f>
        <v>https://app.hypeauditor.com/my-network/influencer/513529/analytics/instagram/eltomex</v>
      </c>
      <c r="F322" s="3" t="str">
        <f>HYPERLINK("https://www.instagram.com/eltomex/reels/","https://www.instagram.com/eltomex/reels/")</f>
        <v>https://www.instagram.com/eltomex/reels/</v>
      </c>
      <c r="G322" t="s">
        <v>52</v>
      </c>
      <c r="H322" t="s">
        <v>53</v>
      </c>
      <c r="I322" t="s">
        <v>65</v>
      </c>
      <c r="K322" t="s">
        <v>89</v>
      </c>
      <c r="L322" t="s">
        <v>54</v>
      </c>
      <c r="M322">
        <v>81400</v>
      </c>
      <c r="N322" t="s">
        <v>55</v>
      </c>
      <c r="P322" t="s">
        <v>55</v>
      </c>
      <c r="R322" t="s">
        <v>54</v>
      </c>
      <c r="T322" t="s">
        <v>55</v>
      </c>
      <c r="X322" t="s">
        <v>55</v>
      </c>
      <c r="Z322" t="s">
        <v>54</v>
      </c>
      <c r="AB322" t="s">
        <v>55</v>
      </c>
      <c r="AD322" t="s">
        <v>55</v>
      </c>
      <c r="AF322" t="s">
        <v>55</v>
      </c>
      <c r="AH322" t="s">
        <v>55</v>
      </c>
      <c r="AJ322" t="s">
        <v>54</v>
      </c>
      <c r="AK322">
        <v>50000</v>
      </c>
      <c r="AL322">
        <v>0.0315</v>
      </c>
      <c r="AM322" t="s">
        <v>1454</v>
      </c>
      <c r="AN322">
        <v>500</v>
      </c>
      <c r="AO322" t="s">
        <v>1455</v>
      </c>
      <c r="AP322" t="s">
        <v>139</v>
      </c>
      <c r="AQ322" t="s">
        <v>140</v>
      </c>
      <c r="AR322" t="s">
        <v>1456</v>
      </c>
      <c r="AS322" t="s">
        <v>1457</v>
      </c>
      <c r="AV322" t="s">
        <v>1446</v>
      </c>
    </row>
    <row r="323" ht="25.5" customHeight="1" spans="1:48">
      <c r="A323" t="s">
        <v>88</v>
      </c>
      <c r="C323" t="s">
        <v>82</v>
      </c>
      <c r="E323" s="3" t="str">
        <f>HYPERLINK("https://app.hypeauditor.com/my-network/influencer/18232409/analytics/instagram/ilmastro85","https://app.hypeauditor.com/my-network/influencer/18232409/analytics/instagram/ilmastro85")</f>
        <v>https://app.hypeauditor.com/my-network/influencer/18232409/analytics/instagram/ilmastro85</v>
      </c>
      <c r="F323" s="3" t="str">
        <f>HYPERLINK("https://www.instagram.com/ilmastro85/reels/","https://www.instagram.com/ilmastro85/reels/")</f>
        <v>https://www.instagram.com/ilmastro85/reels/</v>
      </c>
      <c r="G323" t="s">
        <v>52</v>
      </c>
      <c r="H323" t="s">
        <v>53</v>
      </c>
      <c r="I323" t="s">
        <v>65</v>
      </c>
      <c r="K323" t="s">
        <v>89</v>
      </c>
      <c r="L323" t="s">
        <v>54</v>
      </c>
      <c r="M323">
        <v>9500</v>
      </c>
      <c r="N323" t="s">
        <v>55</v>
      </c>
      <c r="P323" t="s">
        <v>55</v>
      </c>
      <c r="R323" t="s">
        <v>54</v>
      </c>
      <c r="T323" t="s">
        <v>55</v>
      </c>
      <c r="X323" t="s">
        <v>55</v>
      </c>
      <c r="Z323" t="s">
        <v>54</v>
      </c>
      <c r="AB323" t="s">
        <v>55</v>
      </c>
      <c r="AD323" t="s">
        <v>55</v>
      </c>
      <c r="AF323" t="s">
        <v>55</v>
      </c>
      <c r="AH323" t="s">
        <v>55</v>
      </c>
      <c r="AJ323" t="s">
        <v>54</v>
      </c>
      <c r="AK323">
        <v>1500</v>
      </c>
      <c r="AL323">
        <v>0.002</v>
      </c>
      <c r="AM323" t="s">
        <v>1458</v>
      </c>
      <c r="AN323">
        <v>15</v>
      </c>
      <c r="AO323" t="s">
        <v>1459</v>
      </c>
      <c r="AP323" t="s">
        <v>139</v>
      </c>
      <c r="AQ323" t="s">
        <v>140</v>
      </c>
      <c r="AR323" t="s">
        <v>1460</v>
      </c>
      <c r="AS323" t="s">
        <v>55</v>
      </c>
      <c r="AV323" t="s">
        <v>88</v>
      </c>
    </row>
    <row r="324" ht="25.5" customHeight="1" spans="1:45">
      <c r="A324" t="s">
        <v>1461</v>
      </c>
      <c r="C324" t="s">
        <v>72</v>
      </c>
      <c r="E324" s="3" t="str">
        <f>HYPERLINK("https://app.hypeauditor.com/my-network/influencer/844528/analytics/instagram/professorfinanzen","https://app.hypeauditor.com/my-network/influencer/844528/analytics/instagram/professorfinanzen")</f>
        <v>https://app.hypeauditor.com/my-network/influencer/844528/analytics/instagram/professorfinanzen</v>
      </c>
      <c r="F324" s="3" t="str">
        <f>HYPERLINK("https://www.instagram.com/professorfinanzen/reels/","https://www.instagram.com/professorfinanzen/reels/")</f>
        <v>https://www.instagram.com/professorfinanzen/reels/</v>
      </c>
      <c r="G324" t="s">
        <v>52</v>
      </c>
      <c r="H324" t="s">
        <v>53</v>
      </c>
      <c r="I324" t="s">
        <v>65</v>
      </c>
      <c r="K324" t="s">
        <v>89</v>
      </c>
      <c r="L324" t="s">
        <v>54</v>
      </c>
      <c r="M324">
        <v>642000</v>
      </c>
      <c r="N324" t="s">
        <v>1462</v>
      </c>
      <c r="P324" t="s">
        <v>55</v>
      </c>
      <c r="R324" t="s">
        <v>54</v>
      </c>
      <c r="T324" t="s">
        <v>55</v>
      </c>
      <c r="X324" t="s">
        <v>55</v>
      </c>
      <c r="Z324" t="s">
        <v>54</v>
      </c>
      <c r="AB324" t="s">
        <v>55</v>
      </c>
      <c r="AD324" t="s">
        <v>55</v>
      </c>
      <c r="AF324" t="s">
        <v>55</v>
      </c>
      <c r="AH324" t="s">
        <v>55</v>
      </c>
      <c r="AJ324" t="s">
        <v>54</v>
      </c>
      <c r="AK324">
        <v>100000</v>
      </c>
      <c r="AL324">
        <v>0.0009</v>
      </c>
      <c r="AM324" t="s">
        <v>1463</v>
      </c>
      <c r="AN324">
        <v>1000</v>
      </c>
      <c r="AO324" t="s">
        <v>1464</v>
      </c>
      <c r="AP324" t="s">
        <v>139</v>
      </c>
      <c r="AQ324" t="s">
        <v>140</v>
      </c>
      <c r="AR324" t="s">
        <v>348</v>
      </c>
      <c r="AS324" t="s">
        <v>55</v>
      </c>
    </row>
    <row r="325" ht="25.5" customHeight="1" spans="1:45">
      <c r="A325" t="s">
        <v>1465</v>
      </c>
      <c r="C325" t="s">
        <v>131</v>
      </c>
      <c r="E325" s="3" t="str">
        <f>HYPERLINK("https://app.hypeauditor.com/my-network/influencer/595858/analytics/instagram/philpallen","https://app.hypeauditor.com/my-network/influencer/595858/analytics/instagram/philpallen")</f>
        <v>https://app.hypeauditor.com/my-network/influencer/595858/analytics/instagram/philpallen</v>
      </c>
      <c r="F325" s="3" t="str">
        <f>HYPERLINK("https://www.instagram.com/philpallen/reels/","https://www.instagram.com/philpallen/reels/")</f>
        <v>https://www.instagram.com/philpallen/reels/</v>
      </c>
      <c r="G325" t="s">
        <v>52</v>
      </c>
      <c r="H325" t="s">
        <v>53</v>
      </c>
      <c r="I325" t="s">
        <v>65</v>
      </c>
      <c r="K325" t="s">
        <v>58</v>
      </c>
      <c r="L325" t="s">
        <v>59</v>
      </c>
      <c r="M325">
        <v>26900</v>
      </c>
      <c r="N325" t="s">
        <v>55</v>
      </c>
      <c r="P325" t="s">
        <v>55</v>
      </c>
      <c r="R325" t="s">
        <v>54</v>
      </c>
      <c r="T325" t="s">
        <v>55</v>
      </c>
      <c r="X325" t="s">
        <v>55</v>
      </c>
      <c r="Z325" t="s">
        <v>54</v>
      </c>
      <c r="AB325" t="s">
        <v>55</v>
      </c>
      <c r="AD325" t="s">
        <v>55</v>
      </c>
      <c r="AF325" t="s">
        <v>55</v>
      </c>
      <c r="AH325" t="s">
        <v>55</v>
      </c>
      <c r="AJ325" t="s">
        <v>54</v>
      </c>
      <c r="AK325">
        <v>1000</v>
      </c>
      <c r="AL325">
        <v>0.0107</v>
      </c>
      <c r="AM325" t="s">
        <v>1466</v>
      </c>
      <c r="AN325">
        <v>50</v>
      </c>
      <c r="AO325" t="s">
        <v>1467</v>
      </c>
      <c r="AP325" t="s">
        <v>1468</v>
      </c>
      <c r="AQ325" t="s">
        <v>55</v>
      </c>
      <c r="AR325" t="s">
        <v>1469</v>
      </c>
      <c r="AS325" t="s">
        <v>1470</v>
      </c>
    </row>
    <row r="326" ht="25.5" customHeight="1" spans="1:41">
      <c r="A326" t="s">
        <v>1471</v>
      </c>
      <c r="E326" s="3"/>
      <c r="F326" s="3"/>
      <c r="G326" t="s">
        <v>52</v>
      </c>
      <c r="H326" t="s">
        <v>1065</v>
      </c>
      <c r="L326" t="s">
        <v>54</v>
      </c>
      <c r="P326" t="s">
        <v>55</v>
      </c>
      <c r="R326" t="s">
        <v>54</v>
      </c>
      <c r="T326" t="s">
        <v>55</v>
      </c>
      <c r="X326" t="s">
        <v>55</v>
      </c>
      <c r="Z326" t="s">
        <v>54</v>
      </c>
      <c r="AB326" t="s">
        <v>55</v>
      </c>
      <c r="AD326" t="s">
        <v>55</v>
      </c>
      <c r="AF326" t="s">
        <v>55</v>
      </c>
      <c r="AH326" t="s">
        <v>55</v>
      </c>
      <c r="AJ326" t="s">
        <v>54</v>
      </c>
      <c r="AM326" t="s">
        <v>54</v>
      </c>
      <c r="AO326" t="s">
        <v>54</v>
      </c>
    </row>
    <row r="327" ht="25.5" customHeight="1" spans="1:41">
      <c r="A327" t="s">
        <v>1472</v>
      </c>
      <c r="E327" s="3"/>
      <c r="F327" s="3"/>
      <c r="G327" t="s">
        <v>52</v>
      </c>
      <c r="H327" t="s">
        <v>1065</v>
      </c>
      <c r="L327" t="s">
        <v>54</v>
      </c>
      <c r="P327" t="s">
        <v>55</v>
      </c>
      <c r="R327" t="s">
        <v>54</v>
      </c>
      <c r="T327" t="s">
        <v>55</v>
      </c>
      <c r="X327" t="s">
        <v>55</v>
      </c>
      <c r="Z327" t="s">
        <v>54</v>
      </c>
      <c r="AB327" t="s">
        <v>55</v>
      </c>
      <c r="AD327" t="s">
        <v>55</v>
      </c>
      <c r="AF327" t="s">
        <v>55</v>
      </c>
      <c r="AH327" t="s">
        <v>55</v>
      </c>
      <c r="AJ327" t="s">
        <v>54</v>
      </c>
      <c r="AM327" t="s">
        <v>54</v>
      </c>
      <c r="AO327" t="s">
        <v>54</v>
      </c>
    </row>
    <row r="328" ht="25.5" customHeight="1" spans="1:41">
      <c r="A328" t="s">
        <v>1473</v>
      </c>
      <c r="C328" t="s">
        <v>51</v>
      </c>
      <c r="E328" s="3"/>
      <c r="F328" s="3"/>
      <c r="G328" t="s">
        <v>52</v>
      </c>
      <c r="H328" t="s">
        <v>1065</v>
      </c>
      <c r="L328" t="s">
        <v>54</v>
      </c>
      <c r="P328" t="s">
        <v>55</v>
      </c>
      <c r="R328" t="s">
        <v>54</v>
      </c>
      <c r="T328" t="s">
        <v>55</v>
      </c>
      <c r="X328" t="s">
        <v>55</v>
      </c>
      <c r="Z328" t="s">
        <v>54</v>
      </c>
      <c r="AB328" t="s">
        <v>55</v>
      </c>
      <c r="AD328" t="s">
        <v>55</v>
      </c>
      <c r="AF328" t="s">
        <v>55</v>
      </c>
      <c r="AH328" t="s">
        <v>55</v>
      </c>
      <c r="AJ328" t="s">
        <v>54</v>
      </c>
      <c r="AM328" t="s">
        <v>54</v>
      </c>
      <c r="AN328">
        <v>750</v>
      </c>
      <c r="AO328" t="s">
        <v>54</v>
      </c>
    </row>
    <row r="329" ht="25.5" customHeight="1" spans="1:41">
      <c r="A329" t="s">
        <v>1474</v>
      </c>
      <c r="E329" s="3"/>
      <c r="F329" s="3"/>
      <c r="G329" t="s">
        <v>52</v>
      </c>
      <c r="H329" t="s">
        <v>1065</v>
      </c>
      <c r="L329" t="s">
        <v>54</v>
      </c>
      <c r="P329" t="s">
        <v>55</v>
      </c>
      <c r="R329" t="s">
        <v>54</v>
      </c>
      <c r="T329" t="s">
        <v>55</v>
      </c>
      <c r="X329" t="s">
        <v>55</v>
      </c>
      <c r="Z329" t="s">
        <v>54</v>
      </c>
      <c r="AB329" t="s">
        <v>55</v>
      </c>
      <c r="AD329" t="s">
        <v>55</v>
      </c>
      <c r="AF329" t="s">
        <v>55</v>
      </c>
      <c r="AH329" t="s">
        <v>55</v>
      </c>
      <c r="AJ329" t="s">
        <v>54</v>
      </c>
      <c r="AM329" t="s">
        <v>54</v>
      </c>
      <c r="AO329" t="s">
        <v>54</v>
      </c>
    </row>
    <row r="330" ht="25.5" customHeight="1" spans="1:41">
      <c r="A330" t="s">
        <v>1475</v>
      </c>
      <c r="E330" s="3"/>
      <c r="F330" s="3" t="str">
        <f>HYPERLINK("https://www.tiktok.com/@ifynaijacan_/video/7437106693865000238?lang=en","https://www.tiktok.com/@ifynaijacan_/video/7437106693865000238?lang=en")</f>
        <v>https://www.tiktok.com/@ifynaijacan_/video/7437106693865000238?lang=en</v>
      </c>
      <c r="G330" t="s">
        <v>52</v>
      </c>
      <c r="H330" t="s">
        <v>1065</v>
      </c>
      <c r="I330" t="s">
        <v>56</v>
      </c>
      <c r="K330" t="s">
        <v>58</v>
      </c>
      <c r="L330" t="s">
        <v>59</v>
      </c>
      <c r="M330">
        <v>16200</v>
      </c>
      <c r="N330" t="s">
        <v>55</v>
      </c>
      <c r="P330" t="s">
        <v>55</v>
      </c>
      <c r="R330" t="s">
        <v>54</v>
      </c>
      <c r="T330" t="s">
        <v>55</v>
      </c>
      <c r="X330" t="s">
        <v>55</v>
      </c>
      <c r="Z330" t="s">
        <v>54</v>
      </c>
      <c r="AB330" t="s">
        <v>55</v>
      </c>
      <c r="AD330" t="s">
        <v>55</v>
      </c>
      <c r="AF330" t="s">
        <v>55</v>
      </c>
      <c r="AH330" t="s">
        <v>55</v>
      </c>
      <c r="AJ330" t="s">
        <v>54</v>
      </c>
      <c r="AM330" t="s">
        <v>54</v>
      </c>
      <c r="AN330">
        <v>50</v>
      </c>
      <c r="AO330" t="s">
        <v>54</v>
      </c>
    </row>
    <row r="331" ht="25.5" customHeight="1" spans="1:45">
      <c r="A331" t="s">
        <v>1476</v>
      </c>
      <c r="C331" t="s">
        <v>82</v>
      </c>
      <c r="E331" s="3" t="str">
        <f>HYPERLINK("https://app.hypeauditor.com/my-network/influencer/9125414/analytics/instagram/brandycreativa","https://app.hypeauditor.com/my-network/influencer/9125414/analytics/instagram/brandycreativa")</f>
        <v>https://app.hypeauditor.com/my-network/influencer/9125414/analytics/instagram/brandycreativa</v>
      </c>
      <c r="F331" s="3" t="str">
        <f>HYPERLINK("https://www.instagram.com/reel/CxgzkLdp7kB/","https://www.instagram.com/reel/CxgzkLdp7kB/")</f>
        <v>https://www.instagram.com/reel/CxgzkLdp7kB/</v>
      </c>
      <c r="G331" t="s">
        <v>52</v>
      </c>
      <c r="H331" t="s">
        <v>53</v>
      </c>
      <c r="I331" t="s">
        <v>65</v>
      </c>
      <c r="K331" t="s">
        <v>89</v>
      </c>
      <c r="L331" t="s">
        <v>54</v>
      </c>
      <c r="M331">
        <v>55100</v>
      </c>
      <c r="N331" t="s">
        <v>55</v>
      </c>
      <c r="P331" t="s">
        <v>55</v>
      </c>
      <c r="R331" t="s">
        <v>54</v>
      </c>
      <c r="T331" t="s">
        <v>55</v>
      </c>
      <c r="X331" t="s">
        <v>55</v>
      </c>
      <c r="Z331" t="s">
        <v>54</v>
      </c>
      <c r="AB331" t="s">
        <v>55</v>
      </c>
      <c r="AD331" t="s">
        <v>55</v>
      </c>
      <c r="AF331" t="s">
        <v>55</v>
      </c>
      <c r="AH331" t="s">
        <v>55</v>
      </c>
      <c r="AJ331" t="s">
        <v>54</v>
      </c>
      <c r="AK331">
        <v>25000</v>
      </c>
      <c r="AL331">
        <v>0.0195</v>
      </c>
      <c r="AM331" t="s">
        <v>1477</v>
      </c>
      <c r="AN331">
        <v>250</v>
      </c>
      <c r="AO331" t="s">
        <v>1478</v>
      </c>
      <c r="AP331" t="s">
        <v>139</v>
      </c>
      <c r="AQ331" t="s">
        <v>140</v>
      </c>
      <c r="AR331" t="s">
        <v>1479</v>
      </c>
      <c r="AS331" t="s">
        <v>55</v>
      </c>
    </row>
    <row r="332" ht="25.5" customHeight="1" spans="1:48">
      <c r="A332" t="s">
        <v>1446</v>
      </c>
      <c r="C332" t="s">
        <v>72</v>
      </c>
      <c r="E332" s="3" t="str">
        <f>HYPERLINK("https://app.hypeauditor.com/my-network/influencer/513529/analytics/youtube/UCHCiaRsqvtMriZlVxYMP5ig","https://app.hypeauditor.com/my-network/influencer/513529/analytics/youtube/UCHCiaRsqvtMriZlVxYMP5ig")</f>
        <v>https://app.hypeauditor.com/my-network/influencer/513529/analytics/youtube/UCHCiaRsqvtMriZlVxYMP5ig</v>
      </c>
      <c r="F332" s="3" t="str">
        <f>HYPERLINK("http://youtube.com/channel/UCHCiaRsqvtMriZlVxYMP5ig","http://youtube.com/channel/UCHCiaRsqvtMriZlVxYMP5ig")</f>
        <v>http://youtube.com/channel/UCHCiaRsqvtMriZlVxYMP5ig</v>
      </c>
      <c r="G332" t="s">
        <v>52</v>
      </c>
      <c r="H332" t="s">
        <v>53</v>
      </c>
      <c r="I332" t="s">
        <v>269</v>
      </c>
      <c r="K332" t="s">
        <v>89</v>
      </c>
      <c r="L332" t="s">
        <v>54</v>
      </c>
      <c r="M332">
        <v>1600000</v>
      </c>
      <c r="N332" t="s">
        <v>113</v>
      </c>
      <c r="P332" t="s">
        <v>55</v>
      </c>
      <c r="R332" t="s">
        <v>54</v>
      </c>
      <c r="T332" t="s">
        <v>55</v>
      </c>
      <c r="X332" t="s">
        <v>55</v>
      </c>
      <c r="Z332" t="s">
        <v>54</v>
      </c>
      <c r="AB332" t="s">
        <v>55</v>
      </c>
      <c r="AD332" t="s">
        <v>55</v>
      </c>
      <c r="AF332" t="s">
        <v>55</v>
      </c>
      <c r="AH332" t="s">
        <v>55</v>
      </c>
      <c r="AJ332" t="s">
        <v>54</v>
      </c>
      <c r="AK332">
        <v>100000</v>
      </c>
      <c r="AL332">
        <v>0.1059</v>
      </c>
      <c r="AM332" t="s">
        <v>1480</v>
      </c>
      <c r="AN332">
        <v>500</v>
      </c>
      <c r="AO332" t="s">
        <v>1481</v>
      </c>
      <c r="AP332" t="s">
        <v>600</v>
      </c>
      <c r="AQ332" t="s">
        <v>601</v>
      </c>
      <c r="AR332" t="s">
        <v>1482</v>
      </c>
      <c r="AS332" t="s">
        <v>1483</v>
      </c>
      <c r="AV332" t="s">
        <v>1446</v>
      </c>
    </row>
    <row r="333" ht="25.5" customHeight="1" spans="1:45">
      <c r="A333" t="s">
        <v>1484</v>
      </c>
      <c r="C333" t="s">
        <v>72</v>
      </c>
      <c r="E333" s="3" t="str">
        <f>HYPERLINK("https://app.hypeauditor.com/my-network/influencer/376616/analytics/instagram/codingforweb","https://app.hypeauditor.com/my-network/influencer/376616/analytics/instagram/codingforweb")</f>
        <v>https://app.hypeauditor.com/my-network/influencer/376616/analytics/instagram/codingforweb</v>
      </c>
      <c r="F333" s="3" t="str">
        <f>HYPERLINK("https://www.instagram.com/codingforweb/reels/","https://www.instagram.com/codingforweb/reels/")</f>
        <v>https://www.instagram.com/codingforweb/reels/</v>
      </c>
      <c r="G333" t="s">
        <v>52</v>
      </c>
      <c r="H333" t="s">
        <v>53</v>
      </c>
      <c r="I333" t="s">
        <v>65</v>
      </c>
      <c r="K333" t="s">
        <v>89</v>
      </c>
      <c r="L333" t="s">
        <v>54</v>
      </c>
      <c r="M333">
        <v>70500</v>
      </c>
      <c r="N333" t="s">
        <v>55</v>
      </c>
      <c r="P333" t="s">
        <v>55</v>
      </c>
      <c r="R333" t="s">
        <v>54</v>
      </c>
      <c r="T333" t="s">
        <v>55</v>
      </c>
      <c r="X333" t="s">
        <v>55</v>
      </c>
      <c r="Z333" t="s">
        <v>54</v>
      </c>
      <c r="AB333" t="s">
        <v>55</v>
      </c>
      <c r="AD333" t="s">
        <v>55</v>
      </c>
      <c r="AF333" t="s">
        <v>55</v>
      </c>
      <c r="AH333" t="s">
        <v>55</v>
      </c>
      <c r="AJ333" t="s">
        <v>54</v>
      </c>
      <c r="AK333">
        <v>30000</v>
      </c>
      <c r="AL333">
        <v>0.0063</v>
      </c>
      <c r="AM333" t="s">
        <v>1485</v>
      </c>
      <c r="AN333">
        <v>300</v>
      </c>
      <c r="AO333" t="s">
        <v>1486</v>
      </c>
      <c r="AP333" t="s">
        <v>139</v>
      </c>
      <c r="AQ333" t="s">
        <v>140</v>
      </c>
      <c r="AR333" t="s">
        <v>1487</v>
      </c>
      <c r="AS333" t="s">
        <v>55</v>
      </c>
    </row>
    <row r="334" ht="25.5" customHeight="1" spans="5:48">
      <c r="E334" s="3"/>
      <c r="F334" s="3" t="s">
        <v>1488</v>
      </c>
      <c r="G334" t="s">
        <v>52</v>
      </c>
      <c r="H334" t="s">
        <v>773</v>
      </c>
      <c r="I334" t="s">
        <v>1489</v>
      </c>
      <c r="L334" t="s">
        <v>54</v>
      </c>
      <c r="M334">
        <v>4300</v>
      </c>
      <c r="N334" t="s">
        <v>55</v>
      </c>
      <c r="P334" t="s">
        <v>55</v>
      </c>
      <c r="R334" t="s">
        <v>54</v>
      </c>
      <c r="T334" t="s">
        <v>55</v>
      </c>
      <c r="X334" t="s">
        <v>55</v>
      </c>
      <c r="Z334" t="s">
        <v>54</v>
      </c>
      <c r="AB334" t="s">
        <v>55</v>
      </c>
      <c r="AD334" t="s">
        <v>55</v>
      </c>
      <c r="AF334" t="s">
        <v>55</v>
      </c>
      <c r="AH334" t="s">
        <v>55</v>
      </c>
      <c r="AJ334" t="s">
        <v>54</v>
      </c>
      <c r="AM334" t="s">
        <v>54</v>
      </c>
      <c r="AO334" t="s">
        <v>54</v>
      </c>
      <c r="AV334" t="s">
        <v>1111</v>
      </c>
    </row>
    <row r="335" ht="25.5" customHeight="1" spans="1:48">
      <c r="A335" t="s">
        <v>1465</v>
      </c>
      <c r="C335" t="s">
        <v>144</v>
      </c>
      <c r="E335" s="3"/>
      <c r="F335" s="3" t="str">
        <f>HYPERLINK("https://www.youtube.com/@philpallen/featured","https://www.youtube.com/@philpallen/featured")</f>
        <v>https://www.youtube.com/@philpallen/featured</v>
      </c>
      <c r="G335" t="s">
        <v>52</v>
      </c>
      <c r="H335" t="s">
        <v>53</v>
      </c>
      <c r="I335" t="s">
        <v>269</v>
      </c>
      <c r="K335" t="s">
        <v>58</v>
      </c>
      <c r="L335" t="s">
        <v>59</v>
      </c>
      <c r="P335" t="s">
        <v>55</v>
      </c>
      <c r="R335" t="s">
        <v>54</v>
      </c>
      <c r="T335" t="s">
        <v>55</v>
      </c>
      <c r="X335" t="s">
        <v>55</v>
      </c>
      <c r="Z335" t="s">
        <v>54</v>
      </c>
      <c r="AB335" t="s">
        <v>55</v>
      </c>
      <c r="AD335" t="s">
        <v>55</v>
      </c>
      <c r="AF335" t="s">
        <v>55</v>
      </c>
      <c r="AH335" t="s">
        <v>55</v>
      </c>
      <c r="AJ335" t="s">
        <v>54</v>
      </c>
      <c r="AM335" t="s">
        <v>54</v>
      </c>
      <c r="AO335" t="s">
        <v>54</v>
      </c>
      <c r="AV335" t="s">
        <v>1465</v>
      </c>
    </row>
    <row r="336" ht="25.5" customHeight="1" spans="1:45">
      <c r="A336" t="s">
        <v>1490</v>
      </c>
      <c r="C336" t="s">
        <v>72</v>
      </c>
      <c r="E336" s="3" t="str">
        <f>HYPERLINK("https://app.hypeauditor.com/my-network/influencer/4120943/analytics/tiktok/theomarnatour","https://app.hypeauditor.com/my-network/influencer/4120943/analytics/tiktok/theomarnatour")</f>
        <v>https://app.hypeauditor.com/my-network/influencer/4120943/analytics/tiktok/theomarnatour</v>
      </c>
      <c r="F336" s="3" t="str">
        <f>HYPERLINK("https://www.tiktok.com/@theomarnatour","https://www.tiktok.com/@theomarnatour")</f>
        <v>https://www.tiktok.com/@theomarnatour</v>
      </c>
      <c r="G336" t="s">
        <v>52</v>
      </c>
      <c r="H336" t="s">
        <v>317</v>
      </c>
      <c r="I336" t="s">
        <v>56</v>
      </c>
      <c r="K336" t="s">
        <v>58</v>
      </c>
      <c r="L336" t="s">
        <v>59</v>
      </c>
      <c r="M336">
        <v>65000</v>
      </c>
      <c r="N336" t="s">
        <v>55</v>
      </c>
      <c r="P336" t="s">
        <v>55</v>
      </c>
      <c r="R336" t="s">
        <v>54</v>
      </c>
      <c r="T336" t="s">
        <v>55</v>
      </c>
      <c r="X336" t="s">
        <v>55</v>
      </c>
      <c r="Z336" t="s">
        <v>54</v>
      </c>
      <c r="AB336" t="s">
        <v>55</v>
      </c>
      <c r="AD336" t="s">
        <v>55</v>
      </c>
      <c r="AF336" t="s">
        <v>55</v>
      </c>
      <c r="AH336" t="s">
        <v>55</v>
      </c>
      <c r="AJ336" t="s">
        <v>54</v>
      </c>
      <c r="AK336">
        <v>7100</v>
      </c>
      <c r="AL336">
        <v>0.023</v>
      </c>
      <c r="AM336" t="s">
        <v>1491</v>
      </c>
      <c r="AN336">
        <v>80</v>
      </c>
      <c r="AO336" t="s">
        <v>1492</v>
      </c>
      <c r="AP336" t="s">
        <v>332</v>
      </c>
      <c r="AQ336" t="s">
        <v>1493</v>
      </c>
      <c r="AR336" t="s">
        <v>1494</v>
      </c>
      <c r="AS336" t="s">
        <v>55</v>
      </c>
    </row>
    <row r="337" ht="25.5" customHeight="1" spans="1:45">
      <c r="A337" t="s">
        <v>1495</v>
      </c>
      <c r="C337" t="s">
        <v>82</v>
      </c>
      <c r="E337" s="3" t="str">
        <f>HYPERLINK("https://app.hypeauditor.com/my-network/influencer/32715182/analytics/tiktok/alexcraviotto","https://app.hypeauditor.com/my-network/influencer/32715182/analytics/tiktok/alexcraviotto")</f>
        <v>https://app.hypeauditor.com/my-network/influencer/32715182/analytics/tiktok/alexcraviotto</v>
      </c>
      <c r="F337" s="3" t="str">
        <f>HYPERLINK("https://www.tiktok.com/@alexcraviotto","https://www.tiktok.com/@alexcraviotto")</f>
        <v>https://www.tiktok.com/@alexcraviotto</v>
      </c>
      <c r="G337" t="s">
        <v>52</v>
      </c>
      <c r="H337" t="s">
        <v>773</v>
      </c>
      <c r="I337" t="s">
        <v>56</v>
      </c>
      <c r="K337" t="s">
        <v>58</v>
      </c>
      <c r="L337" t="s">
        <v>59</v>
      </c>
      <c r="M337">
        <v>38400</v>
      </c>
      <c r="N337" t="s">
        <v>55</v>
      </c>
      <c r="P337" t="s">
        <v>55</v>
      </c>
      <c r="R337" t="s">
        <v>54</v>
      </c>
      <c r="T337" t="s">
        <v>55</v>
      </c>
      <c r="X337" t="s">
        <v>55</v>
      </c>
      <c r="Z337" t="s">
        <v>54</v>
      </c>
      <c r="AB337" t="s">
        <v>55</v>
      </c>
      <c r="AD337" t="s">
        <v>55</v>
      </c>
      <c r="AF337" t="s">
        <v>55</v>
      </c>
      <c r="AH337" t="s">
        <v>55</v>
      </c>
      <c r="AJ337" t="s">
        <v>54</v>
      </c>
      <c r="AK337">
        <v>7000</v>
      </c>
      <c r="AL337">
        <v>0.0586</v>
      </c>
      <c r="AM337" t="s">
        <v>1496</v>
      </c>
      <c r="AN337">
        <v>100</v>
      </c>
      <c r="AO337" t="s">
        <v>1497</v>
      </c>
      <c r="AP337" t="s">
        <v>1498</v>
      </c>
      <c r="AQ337" t="s">
        <v>1499</v>
      </c>
      <c r="AR337" t="s">
        <v>1500</v>
      </c>
      <c r="AS337" t="s">
        <v>55</v>
      </c>
    </row>
    <row r="338" ht="25.5" customHeight="1" spans="1:45">
      <c r="A338" t="s">
        <v>1501</v>
      </c>
      <c r="C338" t="s">
        <v>72</v>
      </c>
      <c r="E338" s="3" t="str">
        <f>HYPERLINK("https://app.hypeauditor.com/my-network/influencer/7458736/analytics/instagram/c1evergirl","https://app.hypeauditor.com/my-network/influencer/7458736/analytics/instagram/c1evergirl")</f>
        <v>https://app.hypeauditor.com/my-network/influencer/7458736/analytics/instagram/c1evergirl</v>
      </c>
      <c r="F338" s="3" t="str">
        <f>HYPERLINK("https://www.instagram.com/c1evergirl/reels/","https://www.instagram.com/c1evergirl/reels/")</f>
        <v>https://www.instagram.com/c1evergirl/reels/</v>
      </c>
      <c r="G338" t="s">
        <v>52</v>
      </c>
      <c r="H338" t="s">
        <v>773</v>
      </c>
      <c r="I338" t="s">
        <v>65</v>
      </c>
      <c r="K338" t="s">
        <v>58</v>
      </c>
      <c r="L338" t="s">
        <v>59</v>
      </c>
      <c r="M338">
        <v>23500</v>
      </c>
      <c r="N338" t="s">
        <v>55</v>
      </c>
      <c r="P338" t="s">
        <v>55</v>
      </c>
      <c r="R338" t="s">
        <v>54</v>
      </c>
      <c r="T338" t="s">
        <v>55</v>
      </c>
      <c r="X338" t="s">
        <v>55</v>
      </c>
      <c r="Z338" t="s">
        <v>54</v>
      </c>
      <c r="AB338" t="s">
        <v>55</v>
      </c>
      <c r="AD338" t="s">
        <v>55</v>
      </c>
      <c r="AF338" t="s">
        <v>55</v>
      </c>
      <c r="AH338" t="s">
        <v>55</v>
      </c>
      <c r="AJ338" t="s">
        <v>54</v>
      </c>
      <c r="AK338">
        <v>5000</v>
      </c>
      <c r="AL338">
        <v>0.0293</v>
      </c>
      <c r="AM338" t="s">
        <v>1502</v>
      </c>
      <c r="AN338">
        <v>100</v>
      </c>
      <c r="AO338" t="s">
        <v>1503</v>
      </c>
      <c r="AP338" t="s">
        <v>731</v>
      </c>
      <c r="AQ338" t="s">
        <v>55</v>
      </c>
      <c r="AR338" t="s">
        <v>1436</v>
      </c>
      <c r="AS338" t="s">
        <v>1504</v>
      </c>
    </row>
    <row r="339" ht="25.5" customHeight="1" spans="1:48">
      <c r="A339" t="s">
        <v>1501</v>
      </c>
      <c r="E339" s="3" t="str">
        <f>HYPERLINK("https://app.hypeauditor.com/my-network/influencer/33041235/analytics/tiktok/c1evergirl","https://app.hypeauditor.com/my-network/influencer/33041235/analytics/tiktok/c1evergirl")</f>
        <v>https://app.hypeauditor.com/my-network/influencer/33041235/analytics/tiktok/c1evergirl</v>
      </c>
      <c r="F339" s="3" t="str">
        <f>HYPERLINK("https://www.tiktok.com/@c1evergirl","https://www.tiktok.com/@c1evergirl")</f>
        <v>https://www.tiktok.com/@c1evergirl</v>
      </c>
      <c r="G339" t="s">
        <v>52</v>
      </c>
      <c r="H339" t="s">
        <v>773</v>
      </c>
      <c r="I339" t="s">
        <v>56</v>
      </c>
      <c r="K339" t="s">
        <v>58</v>
      </c>
      <c r="L339" t="s">
        <v>59</v>
      </c>
      <c r="M339">
        <v>3900</v>
      </c>
      <c r="N339" t="s">
        <v>55</v>
      </c>
      <c r="P339" t="s">
        <v>55</v>
      </c>
      <c r="R339" t="s">
        <v>54</v>
      </c>
      <c r="T339" t="s">
        <v>55</v>
      </c>
      <c r="X339" t="s">
        <v>55</v>
      </c>
      <c r="Z339" t="s">
        <v>54</v>
      </c>
      <c r="AB339" t="s">
        <v>55</v>
      </c>
      <c r="AD339" t="s">
        <v>55</v>
      </c>
      <c r="AF339" t="s">
        <v>55</v>
      </c>
      <c r="AH339" t="s">
        <v>55</v>
      </c>
      <c r="AJ339" t="s">
        <v>54</v>
      </c>
      <c r="AK339">
        <v>533</v>
      </c>
      <c r="AM339" t="s">
        <v>54</v>
      </c>
      <c r="AO339" t="s">
        <v>54</v>
      </c>
      <c r="AP339" t="s">
        <v>184</v>
      </c>
      <c r="AQ339" t="s">
        <v>185</v>
      </c>
      <c r="AV339" t="s">
        <v>1501</v>
      </c>
    </row>
    <row r="340" ht="25.5" customHeight="1" spans="1:45">
      <c r="A340" t="s">
        <v>1505</v>
      </c>
      <c r="C340" t="s">
        <v>82</v>
      </c>
      <c r="E340" s="3" t="str">
        <f>HYPERLINK("https://app.hypeauditor.com/my-network/influencer/33235136/analytics/tiktok/techtrickzz","https://app.hypeauditor.com/my-network/influencer/33235136/analytics/tiktok/techtrickzz")</f>
        <v>https://app.hypeauditor.com/my-network/influencer/33235136/analytics/tiktok/techtrickzz</v>
      </c>
      <c r="F340" s="3" t="str">
        <f>HYPERLINK("https://www.tiktok.com/@techtrickzz","https://www.tiktok.com/@techtrickzz")</f>
        <v>https://www.tiktok.com/@techtrickzz</v>
      </c>
      <c r="G340" t="s">
        <v>52</v>
      </c>
      <c r="H340" t="s">
        <v>773</v>
      </c>
      <c r="I340" t="s">
        <v>56</v>
      </c>
      <c r="K340" t="s">
        <v>97</v>
      </c>
      <c r="L340" t="s">
        <v>54</v>
      </c>
      <c r="M340">
        <v>311100</v>
      </c>
      <c r="N340" t="s">
        <v>1506</v>
      </c>
      <c r="P340" t="s">
        <v>55</v>
      </c>
      <c r="R340" t="s">
        <v>54</v>
      </c>
      <c r="T340" t="s">
        <v>55</v>
      </c>
      <c r="X340" t="s">
        <v>55</v>
      </c>
      <c r="Z340" t="s">
        <v>54</v>
      </c>
      <c r="AB340" t="s">
        <v>55</v>
      </c>
      <c r="AD340" t="s">
        <v>55</v>
      </c>
      <c r="AF340" t="s">
        <v>55</v>
      </c>
      <c r="AH340" t="s">
        <v>55</v>
      </c>
      <c r="AJ340" t="s">
        <v>54</v>
      </c>
      <c r="AK340">
        <v>16400</v>
      </c>
      <c r="AL340">
        <v>0.0377</v>
      </c>
      <c r="AM340" t="s">
        <v>1507</v>
      </c>
      <c r="AN340">
        <v>200</v>
      </c>
      <c r="AO340" t="s">
        <v>1508</v>
      </c>
      <c r="AP340" t="s">
        <v>1509</v>
      </c>
      <c r="AQ340" t="s">
        <v>1510</v>
      </c>
      <c r="AR340" t="s">
        <v>1511</v>
      </c>
      <c r="AS340" t="s">
        <v>55</v>
      </c>
    </row>
    <row r="341" ht="25.5" customHeight="1" spans="1:41">
      <c r="A341" t="s">
        <v>1512</v>
      </c>
      <c r="C341" t="s">
        <v>72</v>
      </c>
      <c r="E341" s="3" t="str">
        <f>HYPERLINK("https://app.hypeauditor.com/my-network/influencer/32812113/analytics/tiktok/barney.tech","https://app.hypeauditor.com/my-network/influencer/32812113/analytics/tiktok/barney.tech")</f>
        <v>https://app.hypeauditor.com/my-network/influencer/32812113/analytics/tiktok/barney.tech</v>
      </c>
      <c r="F341" s="3" t="str">
        <f>HYPERLINK("https://www.tiktok.com/@barney.tech","https://www.tiktok.com/@barney.tech")</f>
        <v>https://www.tiktok.com/@barney.tech</v>
      </c>
      <c r="G341" t="s">
        <v>52</v>
      </c>
      <c r="H341" t="s">
        <v>317</v>
      </c>
      <c r="I341" t="s">
        <v>56</v>
      </c>
      <c r="K341" t="s">
        <v>58</v>
      </c>
      <c r="L341" t="s">
        <v>59</v>
      </c>
      <c r="P341" t="s">
        <v>55</v>
      </c>
      <c r="R341" t="s">
        <v>54</v>
      </c>
      <c r="T341" t="s">
        <v>55</v>
      </c>
      <c r="X341" t="s">
        <v>55</v>
      </c>
      <c r="Z341" t="s">
        <v>54</v>
      </c>
      <c r="AB341" t="s">
        <v>55</v>
      </c>
      <c r="AD341" t="s">
        <v>55</v>
      </c>
      <c r="AF341" t="s">
        <v>55</v>
      </c>
      <c r="AH341" t="s">
        <v>55</v>
      </c>
      <c r="AJ341" t="s">
        <v>54</v>
      </c>
      <c r="AM341" t="s">
        <v>54</v>
      </c>
      <c r="AN341">
        <v>15</v>
      </c>
      <c r="AO341" t="s">
        <v>54</v>
      </c>
    </row>
    <row r="342" ht="25.5" customHeight="1" spans="1:41">
      <c r="A342" t="s">
        <v>1513</v>
      </c>
      <c r="C342" t="s">
        <v>72</v>
      </c>
      <c r="E342" s="3" t="str">
        <f>HYPERLINK("https://app.hypeauditor.com/my-network/influencer/10245399/analytics/tiktok/harrylittle","https://app.hypeauditor.com/my-network/influencer/10245399/analytics/tiktok/harrylittle")</f>
        <v>https://app.hypeauditor.com/my-network/influencer/10245399/analytics/tiktok/harrylittle</v>
      </c>
      <c r="F342" s="3" t="str">
        <f>HYPERLINK("https://www.tiktok.com/@harrylittle","https://www.tiktok.com/@harrylittle")</f>
        <v>https://www.tiktok.com/@harrylittle</v>
      </c>
      <c r="G342" t="s">
        <v>52</v>
      </c>
      <c r="H342" t="s">
        <v>317</v>
      </c>
      <c r="I342" t="s">
        <v>56</v>
      </c>
      <c r="K342" t="s">
        <v>58</v>
      </c>
      <c r="L342" t="s">
        <v>59</v>
      </c>
      <c r="P342" t="s">
        <v>55</v>
      </c>
      <c r="R342" t="s">
        <v>54</v>
      </c>
      <c r="T342" t="s">
        <v>55</v>
      </c>
      <c r="X342" t="s">
        <v>55</v>
      </c>
      <c r="Z342" t="s">
        <v>54</v>
      </c>
      <c r="AB342" t="s">
        <v>55</v>
      </c>
      <c r="AD342" t="s">
        <v>55</v>
      </c>
      <c r="AF342" t="s">
        <v>55</v>
      </c>
      <c r="AH342" t="s">
        <v>55</v>
      </c>
      <c r="AJ342" t="s">
        <v>54</v>
      </c>
      <c r="AM342" t="s">
        <v>54</v>
      </c>
      <c r="AN342">
        <v>2500</v>
      </c>
      <c r="AO342" t="s">
        <v>54</v>
      </c>
    </row>
    <row r="343" ht="25.5" customHeight="1" spans="1:41">
      <c r="A343" t="s">
        <v>1514</v>
      </c>
      <c r="C343" t="s">
        <v>72</v>
      </c>
      <c r="E343" s="3" t="str">
        <f>HYPERLINK("https://app.hypeauditor.com/my-network/influencer/7902419/analytics/instagram/twineenterprise","https://app.hypeauditor.com/my-network/influencer/7902419/analytics/instagram/twineenterprise")</f>
        <v>https://app.hypeauditor.com/my-network/influencer/7902419/analytics/instagram/twineenterprise</v>
      </c>
      <c r="F343" s="3" t="str">
        <f>HYPERLINK("https://www.instagram.com/twineenterprise/reels/","https://www.instagram.com/twineenterprise/reels/")</f>
        <v>https://www.instagram.com/twineenterprise/reels/</v>
      </c>
      <c r="G343" t="s">
        <v>52</v>
      </c>
      <c r="H343" t="s">
        <v>317</v>
      </c>
      <c r="K343" t="s">
        <v>58</v>
      </c>
      <c r="L343" t="s">
        <v>59</v>
      </c>
      <c r="P343" t="s">
        <v>55</v>
      </c>
      <c r="R343" t="s">
        <v>54</v>
      </c>
      <c r="T343" t="s">
        <v>55</v>
      </c>
      <c r="X343" t="s">
        <v>55</v>
      </c>
      <c r="Z343" t="s">
        <v>54</v>
      </c>
      <c r="AB343" t="s">
        <v>55</v>
      </c>
      <c r="AD343" t="s">
        <v>55</v>
      </c>
      <c r="AF343" t="s">
        <v>55</v>
      </c>
      <c r="AH343" t="s">
        <v>55</v>
      </c>
      <c r="AJ343" t="s">
        <v>54</v>
      </c>
      <c r="AM343" t="s">
        <v>54</v>
      </c>
      <c r="AO343" t="s">
        <v>54</v>
      </c>
    </row>
    <row r="344" ht="25.5" customHeight="1" spans="1:43">
      <c r="A344" t="s">
        <v>1515</v>
      </c>
      <c r="C344" t="s">
        <v>72</v>
      </c>
      <c r="E344" s="3" t="str">
        <f>HYPERLINK("https://app.hypeauditor.com/my-network/influencer/1879390/analytics/instagram/sethgodwin","https://app.hypeauditor.com/my-network/influencer/1879390/analytics/instagram/sethgodwin")</f>
        <v>https://app.hypeauditor.com/my-network/influencer/1879390/analytics/instagram/sethgodwin</v>
      </c>
      <c r="F344" s="3" t="str">
        <f>HYPERLINK("https://www.instagram.com/sethgodwin/reels/","https://www.instagram.com/sethgodwin/reels/")</f>
        <v>https://www.instagram.com/sethgodwin/reels/</v>
      </c>
      <c r="G344" t="s">
        <v>52</v>
      </c>
      <c r="H344" t="s">
        <v>53</v>
      </c>
      <c r="I344" t="s">
        <v>65</v>
      </c>
      <c r="K344" t="s">
        <v>58</v>
      </c>
      <c r="L344" t="s">
        <v>59</v>
      </c>
      <c r="P344" t="s">
        <v>55</v>
      </c>
      <c r="R344" t="s">
        <v>54</v>
      </c>
      <c r="T344" t="s">
        <v>55</v>
      </c>
      <c r="X344" t="s">
        <v>55</v>
      </c>
      <c r="Z344" t="s">
        <v>54</v>
      </c>
      <c r="AB344" t="s">
        <v>55</v>
      </c>
      <c r="AD344" t="s">
        <v>55</v>
      </c>
      <c r="AF344" t="s">
        <v>55</v>
      </c>
      <c r="AH344" t="s">
        <v>55</v>
      </c>
      <c r="AJ344" t="s">
        <v>54</v>
      </c>
      <c r="AK344">
        <v>8000</v>
      </c>
      <c r="AM344" t="s">
        <v>54</v>
      </c>
      <c r="AN344">
        <v>100</v>
      </c>
      <c r="AO344" t="s">
        <v>54</v>
      </c>
      <c r="AP344" t="s">
        <v>1516</v>
      </c>
      <c r="AQ344" t="s">
        <v>1517</v>
      </c>
    </row>
    <row r="345" ht="25.5" customHeight="1" spans="1:48">
      <c r="A345" t="s">
        <v>1518</v>
      </c>
      <c r="C345" t="s">
        <v>72</v>
      </c>
      <c r="E345" s="3" t="str">
        <f>HYPERLINK("https://app.hypeauditor.com/my-network/influencer/54432/analytics/tiktok/seth.godwin","https://app.hypeauditor.com/my-network/influencer/54432/analytics/tiktok/seth.godwin")</f>
        <v>https://app.hypeauditor.com/my-network/influencer/54432/analytics/tiktok/seth.godwin</v>
      </c>
      <c r="F345" s="3" t="str">
        <f>HYPERLINK("https://www.tiktok.com/@seth.godwin","https://www.tiktok.com/@seth.godwin")</f>
        <v>https://www.tiktok.com/@seth.godwin</v>
      </c>
      <c r="G345" t="s">
        <v>52</v>
      </c>
      <c r="H345" t="s">
        <v>53</v>
      </c>
      <c r="I345" t="s">
        <v>56</v>
      </c>
      <c r="K345" t="s">
        <v>58</v>
      </c>
      <c r="L345" t="s">
        <v>59</v>
      </c>
      <c r="P345" t="s">
        <v>55</v>
      </c>
      <c r="R345" t="s">
        <v>54</v>
      </c>
      <c r="T345" t="s">
        <v>55</v>
      </c>
      <c r="X345" t="s">
        <v>55</v>
      </c>
      <c r="Z345" t="s">
        <v>54</v>
      </c>
      <c r="AB345" t="s">
        <v>55</v>
      </c>
      <c r="AD345" t="s">
        <v>55</v>
      </c>
      <c r="AF345" t="s">
        <v>55</v>
      </c>
      <c r="AH345" t="s">
        <v>55</v>
      </c>
      <c r="AJ345" t="s">
        <v>54</v>
      </c>
      <c r="AK345">
        <v>10000</v>
      </c>
      <c r="AM345" t="s">
        <v>54</v>
      </c>
      <c r="AN345">
        <v>100</v>
      </c>
      <c r="AO345" t="s">
        <v>54</v>
      </c>
      <c r="AP345" t="s">
        <v>139</v>
      </c>
      <c r="AQ345" t="s">
        <v>140</v>
      </c>
      <c r="AV345" t="s">
        <v>1515</v>
      </c>
    </row>
    <row r="346" ht="25.5" customHeight="1" spans="1:41">
      <c r="A346" t="s">
        <v>1519</v>
      </c>
      <c r="E346" s="3" t="str">
        <f>HYPERLINK("https://app.hypeauditor.com/my-network/influencer/8974/analytics/tiktok/saraalmadani","https://app.hypeauditor.com/my-network/influencer/8974/analytics/tiktok/saraalmadani")</f>
        <v>https://app.hypeauditor.com/my-network/influencer/8974/analytics/tiktok/saraalmadani</v>
      </c>
      <c r="F346" s="3"/>
      <c r="G346" t="s">
        <v>52</v>
      </c>
      <c r="L346" t="s">
        <v>54</v>
      </c>
      <c r="P346" t="s">
        <v>55</v>
      </c>
      <c r="R346" t="s">
        <v>54</v>
      </c>
      <c r="T346" t="s">
        <v>55</v>
      </c>
      <c r="X346" t="s">
        <v>55</v>
      </c>
      <c r="Z346" t="s">
        <v>54</v>
      </c>
      <c r="AB346" t="s">
        <v>55</v>
      </c>
      <c r="AD346" t="s">
        <v>55</v>
      </c>
      <c r="AF346" t="s">
        <v>55</v>
      </c>
      <c r="AH346" t="s">
        <v>55</v>
      </c>
      <c r="AJ346" t="s">
        <v>54</v>
      </c>
      <c r="AM346" t="s">
        <v>54</v>
      </c>
      <c r="AO346" t="s">
        <v>54</v>
      </c>
    </row>
    <row r="347" ht="25.5" customHeight="1" spans="5:41">
      <c r="E347" s="3"/>
      <c r="F347" s="3"/>
      <c r="G347" t="s">
        <v>52</v>
      </c>
      <c r="L347" t="s">
        <v>54</v>
      </c>
      <c r="P347" t="s">
        <v>55</v>
      </c>
      <c r="R347" t="s">
        <v>54</v>
      </c>
      <c r="T347" t="s">
        <v>55</v>
      </c>
      <c r="X347" t="s">
        <v>55</v>
      </c>
      <c r="Z347" t="s">
        <v>54</v>
      </c>
      <c r="AB347" t="s">
        <v>55</v>
      </c>
      <c r="AD347" t="s">
        <v>55</v>
      </c>
      <c r="AF347" t="s">
        <v>55</v>
      </c>
      <c r="AH347" t="s">
        <v>55</v>
      </c>
      <c r="AJ347" t="s">
        <v>54</v>
      </c>
      <c r="AM347" t="s">
        <v>54</v>
      </c>
      <c r="AO347" t="s">
        <v>54</v>
      </c>
    </row>
    <row r="348" ht="25.5" customHeight="1" spans="1:41">
      <c r="A348" t="s">
        <v>1520</v>
      </c>
      <c r="E348" s="3"/>
      <c r="F348" s="3" t="str">
        <f>HYPERLINK("https://www.tiktok.com/@genevievelongbrake?lang=en","https://www.tiktok.com/@genevievelongbrake?lang=en")</f>
        <v>https://www.tiktok.com/@genevievelongbrake?lang=en</v>
      </c>
      <c r="G348" t="s">
        <v>52</v>
      </c>
      <c r="H348" t="s">
        <v>1065</v>
      </c>
      <c r="I348" t="s">
        <v>56</v>
      </c>
      <c r="L348" t="s">
        <v>54</v>
      </c>
      <c r="P348" t="s">
        <v>55</v>
      </c>
      <c r="R348" t="s">
        <v>54</v>
      </c>
      <c r="T348" t="s">
        <v>55</v>
      </c>
      <c r="X348" t="s">
        <v>55</v>
      </c>
      <c r="Z348" t="s">
        <v>54</v>
      </c>
      <c r="AB348" t="s">
        <v>55</v>
      </c>
      <c r="AD348" t="s">
        <v>55</v>
      </c>
      <c r="AF348" t="s">
        <v>55</v>
      </c>
      <c r="AH348" t="s">
        <v>55</v>
      </c>
      <c r="AJ348" t="s">
        <v>54</v>
      </c>
      <c r="AM348" t="s">
        <v>54</v>
      </c>
      <c r="AN348">
        <v>100</v>
      </c>
      <c r="AO348" t="s">
        <v>54</v>
      </c>
    </row>
    <row r="349" ht="25.5" customHeight="1" spans="1:45">
      <c r="A349" t="s">
        <v>1521</v>
      </c>
      <c r="C349" t="s">
        <v>82</v>
      </c>
      <c r="E349" s="3" t="str">
        <f>HYPERLINK("https://app.hypeauditor.com/my-network/influencer/30471957/analytics/tiktok/felon_entrepreneur","https://app.hypeauditor.com/my-network/influencer/30471957/analytics/tiktok/felon_entrepreneur")</f>
        <v>https://app.hypeauditor.com/my-network/influencer/30471957/analytics/tiktok/felon_entrepreneur</v>
      </c>
      <c r="F349" s="3" t="str">
        <f>HYPERLINK("https://www.tiktok.com/@felon_entrepreneur","https://www.tiktok.com/@felon_entrepreneur")</f>
        <v>https://www.tiktok.com/@felon_entrepreneur</v>
      </c>
      <c r="G349" t="s">
        <v>52</v>
      </c>
      <c r="H349" t="s">
        <v>317</v>
      </c>
      <c r="I349" t="s">
        <v>56</v>
      </c>
      <c r="K349" t="s">
        <v>58</v>
      </c>
      <c r="L349" t="s">
        <v>59</v>
      </c>
      <c r="M349">
        <v>125300</v>
      </c>
      <c r="N349" t="s">
        <v>1522</v>
      </c>
      <c r="P349" t="s">
        <v>55</v>
      </c>
      <c r="R349" t="s">
        <v>54</v>
      </c>
      <c r="T349" t="s">
        <v>55</v>
      </c>
      <c r="X349" t="s">
        <v>55</v>
      </c>
      <c r="Z349" t="s">
        <v>54</v>
      </c>
      <c r="AB349" t="s">
        <v>55</v>
      </c>
      <c r="AD349" t="s">
        <v>55</v>
      </c>
      <c r="AF349" t="s">
        <v>55</v>
      </c>
      <c r="AH349" t="s">
        <v>55</v>
      </c>
      <c r="AJ349" t="s">
        <v>54</v>
      </c>
      <c r="AK349">
        <v>4000</v>
      </c>
      <c r="AL349">
        <v>0.0326</v>
      </c>
      <c r="AM349" t="s">
        <v>1523</v>
      </c>
      <c r="AN349">
        <v>100</v>
      </c>
      <c r="AO349" t="s">
        <v>1524</v>
      </c>
      <c r="AP349" t="s">
        <v>383</v>
      </c>
      <c r="AQ349" t="s">
        <v>55</v>
      </c>
      <c r="AR349" t="s">
        <v>1525</v>
      </c>
      <c r="AS349" t="s">
        <v>55</v>
      </c>
    </row>
    <row r="350" ht="25.5" customHeight="1" spans="1:45">
      <c r="A350" t="s">
        <v>1526</v>
      </c>
      <c r="C350" t="s">
        <v>72</v>
      </c>
      <c r="E350" s="3" t="str">
        <f>HYPERLINK("https://app.hypeauditor.com/my-network/influencer/5196509/analytics/instagram/craftingwithcassandra","https://app.hypeauditor.com/my-network/influencer/5196509/analytics/instagram/craftingwithcassandra")</f>
        <v>https://app.hypeauditor.com/my-network/influencer/5196509/analytics/instagram/craftingwithcassandra</v>
      </c>
      <c r="F350" s="3" t="str">
        <f>HYPERLINK("https://www.instagram.com/craftingwithcassandra/reels/","https://www.instagram.com/craftingwithcassandra/reels/")</f>
        <v>https://www.instagram.com/craftingwithcassandra/reels/</v>
      </c>
      <c r="G350" t="s">
        <v>52</v>
      </c>
      <c r="H350" t="s">
        <v>317</v>
      </c>
      <c r="I350" t="s">
        <v>65</v>
      </c>
      <c r="K350" t="s">
        <v>58</v>
      </c>
      <c r="L350" t="s">
        <v>59</v>
      </c>
      <c r="M350">
        <v>281100</v>
      </c>
      <c r="N350" t="s">
        <v>1527</v>
      </c>
      <c r="P350" t="s">
        <v>55</v>
      </c>
      <c r="R350" t="s">
        <v>54</v>
      </c>
      <c r="T350" t="s">
        <v>55</v>
      </c>
      <c r="X350" t="s">
        <v>55</v>
      </c>
      <c r="Z350" t="s">
        <v>54</v>
      </c>
      <c r="AB350" t="s">
        <v>55</v>
      </c>
      <c r="AD350" t="s">
        <v>55</v>
      </c>
      <c r="AF350" t="s">
        <v>55</v>
      </c>
      <c r="AH350" t="s">
        <v>55</v>
      </c>
      <c r="AJ350" t="s">
        <v>54</v>
      </c>
      <c r="AK350">
        <v>13100</v>
      </c>
      <c r="AL350">
        <v>0.0016</v>
      </c>
      <c r="AM350" t="s">
        <v>1528</v>
      </c>
      <c r="AN350">
        <v>130</v>
      </c>
      <c r="AO350" t="s">
        <v>1529</v>
      </c>
      <c r="AP350" t="s">
        <v>1530</v>
      </c>
      <c r="AQ350" t="s">
        <v>1531</v>
      </c>
      <c r="AR350" t="s">
        <v>1532</v>
      </c>
      <c r="AS350" t="s">
        <v>55</v>
      </c>
    </row>
    <row r="351" ht="25.5" customHeight="1" spans="1:45">
      <c r="A351" t="s">
        <v>1533</v>
      </c>
      <c r="C351" t="s">
        <v>82</v>
      </c>
      <c r="E351" s="3" t="str">
        <f>HYPERLINK("https://app.hypeauditor.com/my-network/influencer/4491364/analytics/instagram/spgmarks","https://app.hypeauditor.com/my-network/influencer/4491364/analytics/instagram/spgmarks")</f>
        <v>https://app.hypeauditor.com/my-network/influencer/4491364/analytics/instagram/spgmarks</v>
      </c>
      <c r="F351" s="3" t="str">
        <f>HYPERLINK("https://www.instagram.com/spgmarks/reels/","https://www.instagram.com/spgmarks/reels/")</f>
        <v>https://www.instagram.com/spgmarks/reels/</v>
      </c>
      <c r="G351" t="s">
        <v>52</v>
      </c>
      <c r="H351" t="s">
        <v>317</v>
      </c>
      <c r="I351" t="s">
        <v>65</v>
      </c>
      <c r="K351" t="s">
        <v>58</v>
      </c>
      <c r="L351" t="s">
        <v>59</v>
      </c>
      <c r="M351">
        <v>50500</v>
      </c>
      <c r="N351" t="s">
        <v>55</v>
      </c>
      <c r="P351" t="s">
        <v>55</v>
      </c>
      <c r="R351" t="s">
        <v>54</v>
      </c>
      <c r="T351" t="s">
        <v>55</v>
      </c>
      <c r="X351" t="s">
        <v>55</v>
      </c>
      <c r="Z351" t="s">
        <v>54</v>
      </c>
      <c r="AB351" t="s">
        <v>55</v>
      </c>
      <c r="AD351" t="s">
        <v>55</v>
      </c>
      <c r="AF351" t="s">
        <v>55</v>
      </c>
      <c r="AH351" t="s">
        <v>55</v>
      </c>
      <c r="AJ351" t="s">
        <v>54</v>
      </c>
      <c r="AK351">
        <v>1300</v>
      </c>
      <c r="AL351">
        <v>0.0054</v>
      </c>
      <c r="AM351" t="s">
        <v>1534</v>
      </c>
      <c r="AN351">
        <v>150</v>
      </c>
      <c r="AO351" t="s">
        <v>1535</v>
      </c>
      <c r="AP351" t="s">
        <v>1536</v>
      </c>
      <c r="AQ351" t="s">
        <v>55</v>
      </c>
      <c r="AR351" t="s">
        <v>1537</v>
      </c>
      <c r="AS351" t="s">
        <v>55</v>
      </c>
    </row>
    <row r="352" ht="25.5" customHeight="1" spans="1:45">
      <c r="A352" t="s">
        <v>1538</v>
      </c>
      <c r="C352" t="s">
        <v>72</v>
      </c>
      <c r="E352" s="3" t="str">
        <f>HYPERLINK("https://app.hypeauditor.com/my-network/influencer/29949146/analytics/tiktok/stefffanos","https://app.hypeauditor.com/my-network/influencer/29949146/analytics/tiktok/stefffanos")</f>
        <v>https://app.hypeauditor.com/my-network/influencer/29949146/analytics/tiktok/stefffanos</v>
      </c>
      <c r="F352" s="3" t="str">
        <f>HYPERLINK("https://www.tiktok.com/@stefffanos","https://www.tiktok.com/@stefffanos")</f>
        <v>https://www.tiktok.com/@stefffanos</v>
      </c>
      <c r="G352" t="s">
        <v>52</v>
      </c>
      <c r="H352" t="s">
        <v>317</v>
      </c>
      <c r="I352" t="s">
        <v>56</v>
      </c>
      <c r="K352" t="s">
        <v>58</v>
      </c>
      <c r="L352" t="s">
        <v>59</v>
      </c>
      <c r="M352">
        <v>151000</v>
      </c>
      <c r="N352" t="s">
        <v>1539</v>
      </c>
      <c r="P352" t="s">
        <v>55</v>
      </c>
      <c r="R352" t="s">
        <v>54</v>
      </c>
      <c r="T352" t="s">
        <v>55</v>
      </c>
      <c r="X352" t="s">
        <v>55</v>
      </c>
      <c r="Z352" t="s">
        <v>54</v>
      </c>
      <c r="AB352" t="s">
        <v>55</v>
      </c>
      <c r="AD352" t="s">
        <v>55</v>
      </c>
      <c r="AF352" t="s">
        <v>55</v>
      </c>
      <c r="AH352" t="s">
        <v>55</v>
      </c>
      <c r="AJ352" t="s">
        <v>54</v>
      </c>
      <c r="AK352">
        <v>25900</v>
      </c>
      <c r="AL352">
        <v>0.0893</v>
      </c>
      <c r="AM352" t="s">
        <v>1540</v>
      </c>
      <c r="AN352">
        <v>2000</v>
      </c>
      <c r="AO352" t="s">
        <v>1541</v>
      </c>
      <c r="AP352" t="s">
        <v>1542</v>
      </c>
      <c r="AQ352" t="s">
        <v>55</v>
      </c>
      <c r="AR352" t="s">
        <v>1543</v>
      </c>
      <c r="AS352" t="s">
        <v>55</v>
      </c>
    </row>
    <row r="353" ht="25.5" customHeight="1" spans="1:45">
      <c r="A353" t="s">
        <v>1544</v>
      </c>
      <c r="C353" t="s">
        <v>82</v>
      </c>
      <c r="E353" s="3" t="str">
        <f>HYPERLINK("https://app.hypeauditor.com/my-network/influencer/463165/analytics/instagram/3d.designer_","https://app.hypeauditor.com/my-network/influencer/463165/analytics/instagram/3d.designer_")</f>
        <v>https://app.hypeauditor.com/my-network/influencer/463165/analytics/instagram/3d.designer_</v>
      </c>
      <c r="F353" s="3" t="str">
        <f>HYPERLINK("https://www.instagram.com/3d.designer_/","https://www.instagram.com/3d.designer_/")</f>
        <v>https://www.instagram.com/3d.designer_/</v>
      </c>
      <c r="G353" t="s">
        <v>52</v>
      </c>
      <c r="H353" t="s">
        <v>317</v>
      </c>
      <c r="I353" t="s">
        <v>56</v>
      </c>
      <c r="K353" t="s">
        <v>58</v>
      </c>
      <c r="L353" t="s">
        <v>59</v>
      </c>
      <c r="M353">
        <v>478600</v>
      </c>
      <c r="N353" t="s">
        <v>1545</v>
      </c>
      <c r="P353" t="s">
        <v>55</v>
      </c>
      <c r="R353" t="s">
        <v>54</v>
      </c>
      <c r="T353" t="s">
        <v>55</v>
      </c>
      <c r="X353" t="s">
        <v>55</v>
      </c>
      <c r="Z353" t="s">
        <v>54</v>
      </c>
      <c r="AB353" t="s">
        <v>55</v>
      </c>
      <c r="AD353" t="s">
        <v>55</v>
      </c>
      <c r="AF353" t="s">
        <v>55</v>
      </c>
      <c r="AH353" t="s">
        <v>55</v>
      </c>
      <c r="AJ353" t="s">
        <v>54</v>
      </c>
      <c r="AK353">
        <v>65800</v>
      </c>
      <c r="AL353">
        <v>0.0044</v>
      </c>
      <c r="AM353" t="s">
        <v>1546</v>
      </c>
      <c r="AO353" t="s">
        <v>1547</v>
      </c>
      <c r="AP353" t="s">
        <v>184</v>
      </c>
      <c r="AQ353" t="s">
        <v>185</v>
      </c>
      <c r="AR353" t="s">
        <v>184</v>
      </c>
      <c r="AS353" t="s">
        <v>185</v>
      </c>
    </row>
    <row r="354" ht="25.5" customHeight="1" spans="1:45">
      <c r="A354" t="s">
        <v>1548</v>
      </c>
      <c r="E354" s="3" t="str">
        <f>HYPERLINK("https://app.hypeauditor.com/my-network/influencer/462982/analytics/tiktok/mattupham","https://app.hypeauditor.com/my-network/influencer/462982/analytics/tiktok/mattupham")</f>
        <v>https://app.hypeauditor.com/my-network/influencer/462982/analytics/tiktok/mattupham</v>
      </c>
      <c r="F354" s="3" t="str">
        <f>HYPERLINK("https://www.tiktok.com/@mattupham","https://www.tiktok.com/@mattupham")</f>
        <v>https://www.tiktok.com/@mattupham</v>
      </c>
      <c r="G354" t="s">
        <v>52</v>
      </c>
      <c r="H354" t="s">
        <v>317</v>
      </c>
      <c r="I354" t="s">
        <v>56</v>
      </c>
      <c r="K354" t="s">
        <v>58</v>
      </c>
      <c r="L354" t="s">
        <v>59</v>
      </c>
      <c r="M354">
        <v>506000</v>
      </c>
      <c r="N354" t="s">
        <v>1549</v>
      </c>
      <c r="P354" t="s">
        <v>55</v>
      </c>
      <c r="R354" t="s">
        <v>54</v>
      </c>
      <c r="T354" t="s">
        <v>55</v>
      </c>
      <c r="X354" t="s">
        <v>55</v>
      </c>
      <c r="Z354" t="s">
        <v>54</v>
      </c>
      <c r="AB354" t="s">
        <v>55</v>
      </c>
      <c r="AD354" t="s">
        <v>55</v>
      </c>
      <c r="AF354" t="s">
        <v>55</v>
      </c>
      <c r="AH354" t="s">
        <v>55</v>
      </c>
      <c r="AJ354" t="s">
        <v>54</v>
      </c>
      <c r="AK354">
        <v>697</v>
      </c>
      <c r="AL354">
        <v>0.0279</v>
      </c>
      <c r="AM354" t="s">
        <v>1550</v>
      </c>
      <c r="AN354">
        <v>200</v>
      </c>
      <c r="AO354" t="s">
        <v>1551</v>
      </c>
      <c r="AP354" t="s">
        <v>1552</v>
      </c>
      <c r="AQ354" t="s">
        <v>55</v>
      </c>
      <c r="AR354" t="s">
        <v>1553</v>
      </c>
      <c r="AS354" t="s">
        <v>55</v>
      </c>
    </row>
    <row r="355" ht="25.5" customHeight="1" spans="5:48">
      <c r="E355" s="3" t="str">
        <f>HYPERLINK("https://app.hypeauditor.com/my-network/influencer/462982/analytics/youtube/UCARXVHuf1Ca_PfPPpX1SjSw","https://app.hypeauditor.com/my-network/influencer/462982/analytics/youtube/UCARXVHuf1Ca_PfPPpX1SjSw")</f>
        <v>https://app.hypeauditor.com/my-network/influencer/462982/analytics/youtube/UCARXVHuf1Ca_PfPPpX1SjSw</v>
      </c>
      <c r="F355" s="3" t="str">
        <f>HYPERLINK("https://www.youtube.com/@mattupham/shorts","https://www.youtube.com/@mattupham/shorts")</f>
        <v>https://www.youtube.com/@mattupham/shorts</v>
      </c>
      <c r="G355" t="s">
        <v>52</v>
      </c>
      <c r="H355" t="s">
        <v>317</v>
      </c>
      <c r="I355" t="s">
        <v>65</v>
      </c>
      <c r="L355" t="s">
        <v>54</v>
      </c>
      <c r="M355">
        <v>101800</v>
      </c>
      <c r="N355" t="s">
        <v>1554</v>
      </c>
      <c r="P355" t="s">
        <v>55</v>
      </c>
      <c r="R355" t="s">
        <v>54</v>
      </c>
      <c r="T355" t="s">
        <v>55</v>
      </c>
      <c r="X355" t="s">
        <v>55</v>
      </c>
      <c r="Z355" t="s">
        <v>54</v>
      </c>
      <c r="AB355" t="s">
        <v>55</v>
      </c>
      <c r="AD355" t="s">
        <v>55</v>
      </c>
      <c r="AF355" t="s">
        <v>55</v>
      </c>
      <c r="AH355" t="s">
        <v>55</v>
      </c>
      <c r="AJ355" t="s">
        <v>54</v>
      </c>
      <c r="AK355">
        <v>6300</v>
      </c>
      <c r="AL355">
        <v>0.0013</v>
      </c>
      <c r="AM355" t="s">
        <v>1555</v>
      </c>
      <c r="AN355">
        <v>120</v>
      </c>
      <c r="AO355" t="s">
        <v>1556</v>
      </c>
      <c r="AP355" t="s">
        <v>1557</v>
      </c>
      <c r="AQ355" t="s">
        <v>1558</v>
      </c>
      <c r="AR355" t="s">
        <v>1559</v>
      </c>
      <c r="AS355" t="s">
        <v>55</v>
      </c>
      <c r="AV355" t="s">
        <v>1548</v>
      </c>
    </row>
    <row r="356" ht="25.5" customHeight="1" spans="5:48">
      <c r="E356" s="3" t="str">
        <f>HYPERLINK("https://app.hypeauditor.com/my-network/influencer/462982/analytics/instagram/mattupham","https://app.hypeauditor.com/my-network/influencer/462982/analytics/instagram/mattupham")</f>
        <v>https://app.hypeauditor.com/my-network/influencer/462982/analytics/instagram/mattupham</v>
      </c>
      <c r="F356" s="3" t="str">
        <f>HYPERLINK("https://www.tiktok.com/@mattupham","https://www.tiktok.com/@mattupham")</f>
        <v>https://www.tiktok.com/@mattupham</v>
      </c>
      <c r="G356" t="s">
        <v>52</v>
      </c>
      <c r="H356" t="s">
        <v>317</v>
      </c>
      <c r="I356" t="s">
        <v>269</v>
      </c>
      <c r="L356" t="s">
        <v>54</v>
      </c>
      <c r="M356">
        <v>61200</v>
      </c>
      <c r="N356" t="s">
        <v>55</v>
      </c>
      <c r="P356" t="s">
        <v>55</v>
      </c>
      <c r="R356" t="s">
        <v>54</v>
      </c>
      <c r="T356" t="s">
        <v>55</v>
      </c>
      <c r="X356" t="s">
        <v>55</v>
      </c>
      <c r="Z356" t="s">
        <v>54</v>
      </c>
      <c r="AB356" t="s">
        <v>55</v>
      </c>
      <c r="AD356" t="s">
        <v>55</v>
      </c>
      <c r="AF356" t="s">
        <v>55</v>
      </c>
      <c r="AH356" t="s">
        <v>55</v>
      </c>
      <c r="AJ356" t="s">
        <v>54</v>
      </c>
      <c r="AK356">
        <v>6400</v>
      </c>
      <c r="AL356">
        <v>0.0227</v>
      </c>
      <c r="AM356" t="s">
        <v>1560</v>
      </c>
      <c r="AN356">
        <v>500</v>
      </c>
      <c r="AO356" t="s">
        <v>1561</v>
      </c>
      <c r="AP356" t="s">
        <v>1562</v>
      </c>
      <c r="AQ356" t="s">
        <v>55</v>
      </c>
      <c r="AR356" t="s">
        <v>1563</v>
      </c>
      <c r="AS356" t="s">
        <v>55</v>
      </c>
      <c r="AV356" t="s">
        <v>1548</v>
      </c>
    </row>
    <row r="357" ht="25.5" customHeight="1" spans="1:45">
      <c r="A357" t="s">
        <v>1564</v>
      </c>
      <c r="C357" t="s">
        <v>72</v>
      </c>
      <c r="E357" s="3" t="str">
        <f>HYPERLINK("https://app.hypeauditor.com/my-network/influencer/20536558/analytics/tiktok/russflipswhips","https://app.hypeauditor.com/my-network/influencer/20536558/analytics/tiktok/russflipswhips")</f>
        <v>https://app.hypeauditor.com/my-network/influencer/20536558/analytics/tiktok/russflipswhips</v>
      </c>
      <c r="F357" s="3" t="str">
        <f>HYPERLINK("https://www.tiktok.com/@russflipswhips","https://www.tiktok.com/@russflipswhips")</f>
        <v>https://www.tiktok.com/@russflipswhips</v>
      </c>
      <c r="G357" t="s">
        <v>52</v>
      </c>
      <c r="H357" t="s">
        <v>317</v>
      </c>
      <c r="I357" t="s">
        <v>56</v>
      </c>
      <c r="K357" t="s">
        <v>58</v>
      </c>
      <c r="L357" t="s">
        <v>59</v>
      </c>
      <c r="M357">
        <v>598100</v>
      </c>
      <c r="N357" t="s">
        <v>1565</v>
      </c>
      <c r="P357" t="s">
        <v>55</v>
      </c>
      <c r="R357" t="s">
        <v>54</v>
      </c>
      <c r="T357" t="s">
        <v>55</v>
      </c>
      <c r="X357" t="s">
        <v>55</v>
      </c>
      <c r="Z357" t="s">
        <v>54</v>
      </c>
      <c r="AB357" t="s">
        <v>55</v>
      </c>
      <c r="AD357" t="s">
        <v>55</v>
      </c>
      <c r="AF357" t="s">
        <v>55</v>
      </c>
      <c r="AH357" t="s">
        <v>55</v>
      </c>
      <c r="AJ357" t="s">
        <v>54</v>
      </c>
      <c r="AK357">
        <v>137400</v>
      </c>
      <c r="AL357">
        <v>0.0759</v>
      </c>
      <c r="AM357" t="s">
        <v>1566</v>
      </c>
      <c r="AN357">
        <v>1500</v>
      </c>
      <c r="AO357" t="s">
        <v>1567</v>
      </c>
      <c r="AP357" t="s">
        <v>1568</v>
      </c>
      <c r="AQ357" t="s">
        <v>1569</v>
      </c>
      <c r="AR357" t="s">
        <v>1570</v>
      </c>
      <c r="AS357" t="s">
        <v>1571</v>
      </c>
    </row>
    <row r="358" ht="25.5" customHeight="1" spans="1:45">
      <c r="A358" t="s">
        <v>1572</v>
      </c>
      <c r="C358" t="s">
        <v>72</v>
      </c>
      <c r="E358" s="3" t="str">
        <f>HYPERLINK("https://app.hypeauditor.com/my-network/influencer/29944131/analytics/tiktok/shedoesai","https://app.hypeauditor.com/my-network/influencer/29944131/analytics/tiktok/shedoesai")</f>
        <v>https://app.hypeauditor.com/my-network/influencer/29944131/analytics/tiktok/shedoesai</v>
      </c>
      <c r="F358" s="3" t="str">
        <f>HYPERLINK("https://www.tiktok.com/@shedoesai","https://www.tiktok.com/@shedoesai")</f>
        <v>https://www.tiktok.com/@shedoesai</v>
      </c>
      <c r="G358" t="s">
        <v>52</v>
      </c>
      <c r="H358" t="s">
        <v>317</v>
      </c>
      <c r="I358" t="s">
        <v>56</v>
      </c>
      <c r="K358" t="s">
        <v>58</v>
      </c>
      <c r="L358" t="s">
        <v>59</v>
      </c>
      <c r="M358">
        <v>198300</v>
      </c>
      <c r="N358" t="s">
        <v>1573</v>
      </c>
      <c r="P358" t="s">
        <v>55</v>
      </c>
      <c r="R358" t="s">
        <v>54</v>
      </c>
      <c r="T358" t="s">
        <v>55</v>
      </c>
      <c r="X358" t="s">
        <v>55</v>
      </c>
      <c r="Z358" t="s">
        <v>54</v>
      </c>
      <c r="AB358" t="s">
        <v>55</v>
      </c>
      <c r="AD358" t="s">
        <v>55</v>
      </c>
      <c r="AF358" t="s">
        <v>55</v>
      </c>
      <c r="AH358" t="s">
        <v>55</v>
      </c>
      <c r="AJ358" t="s">
        <v>54</v>
      </c>
      <c r="AK358">
        <v>4400</v>
      </c>
      <c r="AL358">
        <v>0.0463</v>
      </c>
      <c r="AM358" t="s">
        <v>1574</v>
      </c>
      <c r="AN358">
        <v>200</v>
      </c>
      <c r="AO358" t="s">
        <v>1575</v>
      </c>
      <c r="AP358" t="s">
        <v>1576</v>
      </c>
      <c r="AQ358" t="s">
        <v>55</v>
      </c>
      <c r="AR358" t="s">
        <v>1577</v>
      </c>
      <c r="AS358" t="s">
        <v>55</v>
      </c>
    </row>
    <row r="359" ht="25.5" customHeight="1" spans="1:45">
      <c r="A359" t="s">
        <v>1578</v>
      </c>
      <c r="C359" t="s">
        <v>72</v>
      </c>
      <c r="E359" s="3" t="str">
        <f>HYPERLINK("https://app.hypeauditor.com/my-network/influencer/7722133/analytics","https://app.hypeauditor.com/my-network/influencer/7722133/analytics")</f>
        <v>https://app.hypeauditor.com/my-network/influencer/7722133/analytics</v>
      </c>
      <c r="F359" s="3" t="str">
        <f>HYPERLINK("https://www.instagram.com/htmlcoding_/","https://www.instagram.com/htmlcoding_/")</f>
        <v>https://www.instagram.com/htmlcoding_/</v>
      </c>
      <c r="G359" t="s">
        <v>52</v>
      </c>
      <c r="H359" t="s">
        <v>317</v>
      </c>
      <c r="I359" t="s">
        <v>65</v>
      </c>
      <c r="K359" t="s">
        <v>58</v>
      </c>
      <c r="L359" t="s">
        <v>59</v>
      </c>
      <c r="M359">
        <v>200300</v>
      </c>
      <c r="N359" t="s">
        <v>1579</v>
      </c>
      <c r="P359" t="s">
        <v>55</v>
      </c>
      <c r="R359" t="s">
        <v>54</v>
      </c>
      <c r="T359" t="s">
        <v>55</v>
      </c>
      <c r="X359" t="s">
        <v>55</v>
      </c>
      <c r="Z359" t="s">
        <v>54</v>
      </c>
      <c r="AB359" t="s">
        <v>55</v>
      </c>
      <c r="AD359" t="s">
        <v>55</v>
      </c>
      <c r="AF359" t="s">
        <v>55</v>
      </c>
      <c r="AH359" t="s">
        <v>55</v>
      </c>
      <c r="AJ359" t="s">
        <v>54</v>
      </c>
      <c r="AK359">
        <v>13000</v>
      </c>
      <c r="AL359">
        <v>0.0016</v>
      </c>
      <c r="AM359" t="s">
        <v>1580</v>
      </c>
      <c r="AN359">
        <v>150</v>
      </c>
      <c r="AO359" t="s">
        <v>1581</v>
      </c>
      <c r="AP359" t="s">
        <v>1582</v>
      </c>
      <c r="AQ359" t="s">
        <v>1583</v>
      </c>
      <c r="AR359" t="s">
        <v>1416</v>
      </c>
      <c r="AS359" t="s">
        <v>55</v>
      </c>
    </row>
    <row r="360" ht="25.5" customHeight="1" spans="1:45">
      <c r="A360" t="s">
        <v>1584</v>
      </c>
      <c r="C360" t="s">
        <v>72</v>
      </c>
      <c r="E360" s="3" t="str">
        <f>HYPERLINK("https://app.hypeauditor.com/my-network/influencer/30759712/analytics/instagram/michellexcomputer","https://app.hypeauditor.com/my-network/influencer/30759712/analytics/instagram/michellexcomputer")</f>
        <v>https://app.hypeauditor.com/my-network/influencer/30759712/analytics/instagram/michellexcomputer</v>
      </c>
      <c r="F360" s="3" t="str">
        <f>HYPERLINK("https://www.instagram.com/michellexcomputer/reels/","https://www.instagram.com/michellexcomputer/reels/")</f>
        <v>https://www.instagram.com/michellexcomputer/reels/</v>
      </c>
      <c r="G360" t="s">
        <v>52</v>
      </c>
      <c r="H360" t="s">
        <v>317</v>
      </c>
      <c r="I360" t="s">
        <v>65</v>
      </c>
      <c r="K360" t="s">
        <v>58</v>
      </c>
      <c r="L360" t="s">
        <v>59</v>
      </c>
      <c r="M360">
        <v>86300</v>
      </c>
      <c r="N360" t="s">
        <v>55</v>
      </c>
      <c r="P360" t="s">
        <v>55</v>
      </c>
      <c r="R360" t="s">
        <v>54</v>
      </c>
      <c r="T360" t="s">
        <v>55</v>
      </c>
      <c r="X360" t="s">
        <v>55</v>
      </c>
      <c r="Z360" t="s">
        <v>54</v>
      </c>
      <c r="AB360" t="s">
        <v>55</v>
      </c>
      <c r="AD360" t="s">
        <v>55</v>
      </c>
      <c r="AF360" t="s">
        <v>55</v>
      </c>
      <c r="AH360" t="s">
        <v>55</v>
      </c>
      <c r="AJ360" t="s">
        <v>54</v>
      </c>
      <c r="AK360">
        <v>16700</v>
      </c>
      <c r="AL360">
        <v>0.0056</v>
      </c>
      <c r="AM360" t="s">
        <v>1585</v>
      </c>
      <c r="AN360">
        <v>200</v>
      </c>
      <c r="AO360" t="s">
        <v>1586</v>
      </c>
      <c r="AP360" t="s">
        <v>1587</v>
      </c>
      <c r="AQ360" t="s">
        <v>1588</v>
      </c>
      <c r="AR360" t="s">
        <v>669</v>
      </c>
      <c r="AS360" t="s">
        <v>55</v>
      </c>
    </row>
    <row r="361" ht="25.5" customHeight="1" spans="5:48">
      <c r="E361" s="3" t="str">
        <f>HYPERLINK("https://app.hypeauditor.com/my-network/influencer/20174854/analytics/tiktok/michellexcomputer","https://app.hypeauditor.com/my-network/influencer/20174854/analytics/tiktok/michellexcomputer")</f>
        <v>https://app.hypeauditor.com/my-network/influencer/20174854/analytics/tiktok/michellexcomputer</v>
      </c>
      <c r="F361" s="3" t="str">
        <f>HYPERLINK("https://www.tiktok.com/@michellexcomputer","https://www.tiktok.com/@michellexcomputer")</f>
        <v>https://www.tiktok.com/@michellexcomputer</v>
      </c>
      <c r="G361" t="s">
        <v>52</v>
      </c>
      <c r="H361" t="s">
        <v>317</v>
      </c>
      <c r="I361" t="s">
        <v>56</v>
      </c>
      <c r="L361" t="s">
        <v>54</v>
      </c>
      <c r="M361">
        <v>68600</v>
      </c>
      <c r="N361" t="s">
        <v>55</v>
      </c>
      <c r="P361" t="s">
        <v>55</v>
      </c>
      <c r="R361" t="s">
        <v>54</v>
      </c>
      <c r="T361" t="s">
        <v>55</v>
      </c>
      <c r="X361" t="s">
        <v>55</v>
      </c>
      <c r="Z361" t="s">
        <v>54</v>
      </c>
      <c r="AB361" t="s">
        <v>55</v>
      </c>
      <c r="AD361" t="s">
        <v>55</v>
      </c>
      <c r="AF361" t="s">
        <v>55</v>
      </c>
      <c r="AH361" t="s">
        <v>55</v>
      </c>
      <c r="AJ361" t="s">
        <v>54</v>
      </c>
      <c r="AK361">
        <v>1800</v>
      </c>
      <c r="AL361">
        <v>0.0822</v>
      </c>
      <c r="AM361" t="s">
        <v>1589</v>
      </c>
      <c r="AO361" t="s">
        <v>1590</v>
      </c>
      <c r="AP361" t="s">
        <v>184</v>
      </c>
      <c r="AQ361" t="s">
        <v>185</v>
      </c>
      <c r="AR361" t="s">
        <v>184</v>
      </c>
      <c r="AS361" t="s">
        <v>185</v>
      </c>
      <c r="AV361" t="s">
        <v>1584</v>
      </c>
    </row>
    <row r="362" ht="25.5" customHeight="1" spans="1:45">
      <c r="A362" t="s">
        <v>1591</v>
      </c>
      <c r="E362" s="3" t="str">
        <f>HYPERLINK("https://app.hypeauditor.com/my-network/influencer/8121534/analytics/tiktok/jigpx","https://app.hypeauditor.com/my-network/influencer/8121534/analytics/tiktok/jigpx")</f>
        <v>https://app.hypeauditor.com/my-network/influencer/8121534/analytics/tiktok/jigpx</v>
      </c>
      <c r="F362" s="3" t="str">
        <f>HYPERLINK("https://www.tiktok.com/@jigpx","https://www.tiktok.com/@jigpx")</f>
        <v>https://www.tiktok.com/@jigpx</v>
      </c>
      <c r="G362" t="s">
        <v>52</v>
      </c>
      <c r="H362" t="s">
        <v>317</v>
      </c>
      <c r="I362" t="s">
        <v>56</v>
      </c>
      <c r="K362" t="s">
        <v>58</v>
      </c>
      <c r="L362" t="s">
        <v>59</v>
      </c>
      <c r="M362">
        <v>4900000</v>
      </c>
      <c r="N362" t="s">
        <v>1592</v>
      </c>
      <c r="P362" t="s">
        <v>55</v>
      </c>
      <c r="R362" t="s">
        <v>54</v>
      </c>
      <c r="T362" t="s">
        <v>55</v>
      </c>
      <c r="X362" t="s">
        <v>55</v>
      </c>
      <c r="Z362" t="s">
        <v>54</v>
      </c>
      <c r="AB362" t="s">
        <v>55</v>
      </c>
      <c r="AD362" t="s">
        <v>55</v>
      </c>
      <c r="AF362" t="s">
        <v>55</v>
      </c>
      <c r="AH362" t="s">
        <v>55</v>
      </c>
      <c r="AJ362" t="s">
        <v>54</v>
      </c>
      <c r="AK362">
        <v>189300</v>
      </c>
      <c r="AL362">
        <v>0.0154</v>
      </c>
      <c r="AM362" t="s">
        <v>1593</v>
      </c>
      <c r="AN362">
        <v>4000</v>
      </c>
      <c r="AO362" t="s">
        <v>1594</v>
      </c>
      <c r="AP362" t="s">
        <v>1595</v>
      </c>
      <c r="AQ362" t="s">
        <v>55</v>
      </c>
      <c r="AR362" t="s">
        <v>1596</v>
      </c>
      <c r="AS362" t="s">
        <v>55</v>
      </c>
    </row>
    <row r="363" ht="25.5" customHeight="1" spans="5:48">
      <c r="E363" s="3" t="str">
        <f>HYPERLINK("https://app.hypeauditor.com/my-network/influencer/7711540/analytics/instagram/jigpx","https://app.hypeauditor.com/my-network/influencer/7711540/analytics/instagram/jigpx")</f>
        <v>https://app.hypeauditor.com/my-network/influencer/7711540/analytics/instagram/jigpx</v>
      </c>
      <c r="F363" s="3" t="str">
        <f>HYPERLINK("https://www.instagram.com/jigpx/reels/","https://www.instagram.com/jigpx/reels/")</f>
        <v>https://www.instagram.com/jigpx/reels/</v>
      </c>
      <c r="G363" t="s">
        <v>52</v>
      </c>
      <c r="H363" t="s">
        <v>317</v>
      </c>
      <c r="I363" t="s">
        <v>65</v>
      </c>
      <c r="L363" t="s">
        <v>54</v>
      </c>
      <c r="M363">
        <v>750700</v>
      </c>
      <c r="N363" t="s">
        <v>1597</v>
      </c>
      <c r="P363" t="s">
        <v>55</v>
      </c>
      <c r="R363" t="s">
        <v>54</v>
      </c>
      <c r="T363" t="s">
        <v>55</v>
      </c>
      <c r="X363" t="s">
        <v>55</v>
      </c>
      <c r="Z363" t="s">
        <v>54</v>
      </c>
      <c r="AB363" t="s">
        <v>55</v>
      </c>
      <c r="AD363" t="s">
        <v>55</v>
      </c>
      <c r="AF363" t="s">
        <v>55</v>
      </c>
      <c r="AH363" t="s">
        <v>55</v>
      </c>
      <c r="AJ363" t="s">
        <v>54</v>
      </c>
      <c r="AK363">
        <v>941500</v>
      </c>
      <c r="AL363">
        <v>0.0253</v>
      </c>
      <c r="AM363" t="s">
        <v>1598</v>
      </c>
      <c r="AO363" t="s">
        <v>1599</v>
      </c>
      <c r="AP363" t="s">
        <v>184</v>
      </c>
      <c r="AQ363" t="s">
        <v>185</v>
      </c>
      <c r="AR363" t="s">
        <v>184</v>
      </c>
      <c r="AS363" t="s">
        <v>185</v>
      </c>
      <c r="AV363" t="s">
        <v>1591</v>
      </c>
    </row>
    <row r="364" ht="25.5" customHeight="1" spans="5:48">
      <c r="E364" s="3" t="str">
        <f>HYPERLINK("https://app.hypeauditor.com/my-network/influencer/analytics/youtube/UCYQOBFF8fKxvAKu-qzxzp-A?from=suggester","https://app.hypeauditor.com/my-network/influencer/analytics/youtube/UCYQOBFF8fKxvAKu-qzxzp-A?from=suggester")</f>
        <v>https://app.hypeauditor.com/my-network/influencer/analytics/youtube/UCYQOBFF8fKxvAKu-qzxzp-A?from=suggester</v>
      </c>
      <c r="F364" s="3" t="str">
        <f>HYPERLINK("https://www.youtube.com/@jigpx/shorts","https://www.youtube.com/@jigpx/shorts")</f>
        <v>https://www.youtube.com/@jigpx/shorts</v>
      </c>
      <c r="G364" t="s">
        <v>52</v>
      </c>
      <c r="H364" t="s">
        <v>317</v>
      </c>
      <c r="I364" t="s">
        <v>269</v>
      </c>
      <c r="L364" t="s">
        <v>54</v>
      </c>
      <c r="M364">
        <v>11900</v>
      </c>
      <c r="N364" t="s">
        <v>55</v>
      </c>
      <c r="P364" t="s">
        <v>55</v>
      </c>
      <c r="R364" t="s">
        <v>54</v>
      </c>
      <c r="T364" t="s">
        <v>55</v>
      </c>
      <c r="X364" t="s">
        <v>55</v>
      </c>
      <c r="Z364" t="s">
        <v>54</v>
      </c>
      <c r="AB364" t="s">
        <v>55</v>
      </c>
      <c r="AD364" t="s">
        <v>55</v>
      </c>
      <c r="AF364" t="s">
        <v>55</v>
      </c>
      <c r="AH364" t="s">
        <v>55</v>
      </c>
      <c r="AJ364" t="s">
        <v>54</v>
      </c>
      <c r="AK364">
        <v>39400</v>
      </c>
      <c r="AL364">
        <v>0.0165</v>
      </c>
      <c r="AM364" t="s">
        <v>1600</v>
      </c>
      <c r="AO364" t="s">
        <v>1601</v>
      </c>
      <c r="AP364" t="s">
        <v>184</v>
      </c>
      <c r="AQ364" t="s">
        <v>185</v>
      </c>
      <c r="AR364" t="s">
        <v>184</v>
      </c>
      <c r="AS364" t="s">
        <v>185</v>
      </c>
      <c r="AV364" t="s">
        <v>1591</v>
      </c>
    </row>
    <row r="365" ht="25.5" customHeight="1" spans="1:45">
      <c r="A365" t="s">
        <v>1602</v>
      </c>
      <c r="E365" s="3" t="str">
        <f>HYPERLINK("https://app.hypeauditor.com/my-network/influencer/7524834/analytics/instagram/frankiequirroz","https://app.hypeauditor.com/my-network/influencer/7524834/analytics/instagram/frankiequirroz")</f>
        <v>https://app.hypeauditor.com/my-network/influencer/7524834/analytics/instagram/frankiequirroz</v>
      </c>
      <c r="F365" s="3" t="str">
        <f>HYPERLINK("https://www.instagram.com/frankiequirroz/","https://www.instagram.com/frankiequirroz/")</f>
        <v>https://www.instagram.com/frankiequirroz/</v>
      </c>
      <c r="G365" t="s">
        <v>52</v>
      </c>
      <c r="H365" t="s">
        <v>317</v>
      </c>
      <c r="I365" t="s">
        <v>65</v>
      </c>
      <c r="L365" t="s">
        <v>54</v>
      </c>
      <c r="M365">
        <v>889600</v>
      </c>
      <c r="N365" t="s">
        <v>1603</v>
      </c>
      <c r="P365" t="s">
        <v>55</v>
      </c>
      <c r="R365" t="s">
        <v>54</v>
      </c>
      <c r="T365" t="s">
        <v>55</v>
      </c>
      <c r="X365" t="s">
        <v>55</v>
      </c>
      <c r="Z365" t="s">
        <v>54</v>
      </c>
      <c r="AB365" t="s">
        <v>55</v>
      </c>
      <c r="AD365" t="s">
        <v>55</v>
      </c>
      <c r="AF365" t="s">
        <v>55</v>
      </c>
      <c r="AH365" t="s">
        <v>55</v>
      </c>
      <c r="AJ365" t="s">
        <v>54</v>
      </c>
      <c r="AK365">
        <v>12000</v>
      </c>
      <c r="AL365">
        <v>0.0046</v>
      </c>
      <c r="AM365" t="s">
        <v>1604</v>
      </c>
      <c r="AO365" t="s">
        <v>1605</v>
      </c>
      <c r="AP365" t="s">
        <v>184</v>
      </c>
      <c r="AQ365" t="s">
        <v>185</v>
      </c>
      <c r="AR365" t="s">
        <v>184</v>
      </c>
      <c r="AS365" t="s">
        <v>185</v>
      </c>
    </row>
    <row r="366" ht="25.5" customHeight="1" spans="5:48">
      <c r="E366" s="3" t="str">
        <f>HYPERLINK("https://app.hypeauditor.com/my-network/influencer/7524834/analytics/youtube/UC12Hkj1ebn6izvLBARk6lzA","https://app.hypeauditor.com/my-network/influencer/7524834/analytics/youtube/UC12Hkj1ebn6izvLBARk6lzA")</f>
        <v>https://app.hypeauditor.com/my-network/influencer/7524834/analytics/youtube/UC12Hkj1ebn6izvLBARk6lzA</v>
      </c>
      <c r="F366" s="3" t="str">
        <f>HYPERLINK("https://www.youtube.com/@quiroznetwork/shorts","https://www.youtube.com/@quiroznetwork/shorts")</f>
        <v>https://www.youtube.com/@quiroznetwork/shorts</v>
      </c>
      <c r="G366" t="s">
        <v>52</v>
      </c>
      <c r="H366" t="s">
        <v>317</v>
      </c>
      <c r="I366" t="s">
        <v>269</v>
      </c>
      <c r="L366" t="s">
        <v>54</v>
      </c>
      <c r="M366">
        <v>100500</v>
      </c>
      <c r="N366" t="s">
        <v>1606</v>
      </c>
      <c r="P366" t="s">
        <v>55</v>
      </c>
      <c r="R366" t="s">
        <v>54</v>
      </c>
      <c r="T366" t="s">
        <v>55</v>
      </c>
      <c r="X366" t="s">
        <v>55</v>
      </c>
      <c r="Z366" t="s">
        <v>54</v>
      </c>
      <c r="AB366" t="s">
        <v>55</v>
      </c>
      <c r="AD366" t="s">
        <v>55</v>
      </c>
      <c r="AF366" t="s">
        <v>55</v>
      </c>
      <c r="AH366" t="s">
        <v>55</v>
      </c>
      <c r="AJ366" t="s">
        <v>54</v>
      </c>
      <c r="AK366">
        <v>296500</v>
      </c>
      <c r="AL366">
        <v>0.0458</v>
      </c>
      <c r="AM366" t="s">
        <v>1607</v>
      </c>
      <c r="AO366" t="s">
        <v>1608</v>
      </c>
      <c r="AP366" t="s">
        <v>184</v>
      </c>
      <c r="AQ366" t="s">
        <v>185</v>
      </c>
      <c r="AR366" t="s">
        <v>184</v>
      </c>
      <c r="AS366" t="s">
        <v>185</v>
      </c>
      <c r="AV366" t="s">
        <v>1602</v>
      </c>
    </row>
    <row r="367" ht="25.5" customHeight="1" spans="5:41">
      <c r="E367" s="3"/>
      <c r="F367" s="3"/>
      <c r="G367" t="s">
        <v>52</v>
      </c>
      <c r="H367" t="s">
        <v>317</v>
      </c>
      <c r="L367" t="s">
        <v>54</v>
      </c>
      <c r="P367" t="s">
        <v>55</v>
      </c>
      <c r="R367" t="s">
        <v>54</v>
      </c>
      <c r="T367" t="s">
        <v>55</v>
      </c>
      <c r="X367" t="s">
        <v>55</v>
      </c>
      <c r="Z367" t="s">
        <v>54</v>
      </c>
      <c r="AB367" t="s">
        <v>55</v>
      </c>
      <c r="AD367" t="s">
        <v>55</v>
      </c>
      <c r="AF367" t="s">
        <v>55</v>
      </c>
      <c r="AH367" t="s">
        <v>55</v>
      </c>
      <c r="AJ367" t="s">
        <v>54</v>
      </c>
      <c r="AM367" t="s">
        <v>54</v>
      </c>
      <c r="AO367" t="s">
        <v>54</v>
      </c>
    </row>
  </sheetData>
  <dataValidations count="6">
    <dataValidation type="list" sqref="C2:C366">
      <formula1>"On hold,Discussing Rates,Cancelled(our side),Rejected(Creator side),Collabration confirmed"</formula1>
    </dataValidation>
    <dataValidation type="list" sqref="D2:D366">
      <formula1>"Paid,Should be paid ASAP,50% paid,No rush on payment"</formula1>
    </dataValidation>
    <dataValidation type="list" sqref="K2:K366">
      <formula1>"T1国家,其他国家,T1国家 ,T2国家,比利时,波兰,菲律宾,葡萄牙,越南,伊拉克,乌克兰"</formula1>
    </dataValidation>
    <dataValidation type="list" sqref="Q2:Q366">
      <formula1>"Business &amp; Careers,Tech(software),Tech(software+hardware),Entrepeneurship &amp; Startups,Others"</formula1>
    </dataValidation>
    <dataValidation type="list" sqref="U2:U366">
      <formula1>"Exellent,Good,Average,Could be improved,Low,$3,500,450"</formula1>
    </dataValidation>
    <dataValidation type="list" sqref="Y2:Y366 AI2:AI366">
      <formula1>"Yes,No"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29"/>
  <sheetViews>
    <sheetView workbookViewId="0">
      <selection activeCell="A1" sqref="A1"/>
    </sheetView>
  </sheetViews>
  <sheetFormatPr defaultColWidth="9.64285714285714" defaultRowHeight="16.8"/>
  <cols>
    <col min="1" max="3" width="19" customWidth="1"/>
    <col min="4" max="5" width="9.64285714285714" hidden="1" customWidth="1"/>
    <col min="6" max="6" width="19" customWidth="1"/>
    <col min="7" max="8" width="9.64285714285714" hidden="1" customWidth="1"/>
    <col min="9" max="12" width="19" customWidth="1"/>
    <col min="13" max="13" width="9.64285714285714" hidden="1" customWidth="1"/>
    <col min="14" max="18" width="19" customWidth="1"/>
    <col min="19" max="19" width="9.64285714285714" hidden="1" customWidth="1"/>
    <col min="20" max="20" width="19" customWidth="1"/>
    <col min="21" max="43" width="9.64285714285714" hidden="1" customWidth="1"/>
    <col min="44" max="50" width="19" customWidth="1"/>
    <col min="51" max="51" width="9.64285714285714" hidden="1" customWidth="1"/>
    <col min="52" max="52" width="19" customWidth="1"/>
    <col min="53" max="55" width="9.64285714285714" hidden="1" customWidth="1"/>
    <col min="56" max="57" width="19" customWidth="1"/>
    <col min="58" max="58" width="9.64285714285714" hidden="1" customWidth="1"/>
    <col min="59" max="60" width="19" customWidth="1"/>
    <col min="61" max="61" width="9.64285714285714" hidden="1" customWidth="1"/>
    <col min="62" max="62" width="19" customWidth="1"/>
  </cols>
  <sheetData>
    <row r="1" ht="13" customHeight="1" spans="1:62">
      <c r="A1" s="1" t="s">
        <v>0</v>
      </c>
      <c r="B1" s="1" t="s">
        <v>1609</v>
      </c>
      <c r="C1" s="1" t="s">
        <v>1610</v>
      </c>
      <c r="D1" s="1" t="s">
        <v>1611</v>
      </c>
      <c r="E1" s="1" t="s">
        <v>1612</v>
      </c>
      <c r="F1" s="1" t="s">
        <v>1613</v>
      </c>
      <c r="G1" s="1" t="s">
        <v>1</v>
      </c>
      <c r="H1" s="1" t="s">
        <v>1614</v>
      </c>
      <c r="I1" s="1" t="s">
        <v>6</v>
      </c>
      <c r="J1" s="1" t="s">
        <v>7</v>
      </c>
      <c r="K1" s="1" t="s">
        <v>1615</v>
      </c>
      <c r="L1" s="1" t="s">
        <v>1616</v>
      </c>
      <c r="M1" s="1" t="s">
        <v>3</v>
      </c>
      <c r="N1" s="1" t="s">
        <v>4</v>
      </c>
      <c r="O1" s="1" t="s">
        <v>5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1617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1618</v>
      </c>
      <c r="BE1" s="1" t="s">
        <v>1619</v>
      </c>
      <c r="BF1" s="1" t="s">
        <v>47</v>
      </c>
      <c r="BG1" s="1" t="s">
        <v>1620</v>
      </c>
      <c r="BH1" s="1" t="s">
        <v>1621</v>
      </c>
      <c r="BI1" s="1" t="s">
        <v>1622</v>
      </c>
      <c r="BJ1" s="1" t="s">
        <v>1623</v>
      </c>
    </row>
    <row r="2" ht="25.5" customHeight="1" spans="1:62">
      <c r="A2" t="s">
        <v>1624</v>
      </c>
      <c r="B2" t="s">
        <v>1625</v>
      </c>
      <c r="C2" t="s">
        <v>1626</v>
      </c>
      <c r="D2" t="s">
        <v>1627</v>
      </c>
      <c r="F2" s="2"/>
      <c r="I2" t="s">
        <v>1628</v>
      </c>
      <c r="J2" t="s">
        <v>1629</v>
      </c>
      <c r="K2" s="3" t="str">
        <f>HYPERLINK("https://www.instagram.com/p/DEiRhY_gk87/?img_index=1","https://www.instagram.com/p/DEiRhY_gk87/?img_index=1")</f>
        <v>https://www.instagram.com/p/DEiRhY_gk87/?img_index=1</v>
      </c>
      <c r="L2" t="s">
        <v>1630</v>
      </c>
      <c r="N2" s="3" t="str">
        <f>HYPERLINK("https://app.hypeauditor.com/my-network/influencer/17100267/analytics/instagram/evolving.ai","https://app.hypeauditor.com/my-network/influencer/17100267/analytics/instagram/evolving.ai")</f>
        <v>https://app.hypeauditor.com/my-network/influencer/17100267/analytics/instagram/evolving.ai</v>
      </c>
      <c r="O2" s="3"/>
      <c r="P2" t="s">
        <v>65</v>
      </c>
      <c r="Q2" t="s">
        <v>66</v>
      </c>
      <c r="R2" t="s">
        <v>1631</v>
      </c>
      <c r="S2" t="s">
        <v>54</v>
      </c>
      <c r="T2">
        <v>2005000</v>
      </c>
      <c r="U2" t="s">
        <v>1632</v>
      </c>
      <c r="W2" t="s">
        <v>55</v>
      </c>
      <c r="Y2" t="s">
        <v>54</v>
      </c>
      <c r="AA2" t="s">
        <v>55</v>
      </c>
      <c r="AE2" t="s">
        <v>55</v>
      </c>
      <c r="AG2" t="s">
        <v>54</v>
      </c>
      <c r="AI2" t="s">
        <v>55</v>
      </c>
      <c r="AK2" t="s">
        <v>55</v>
      </c>
      <c r="AM2" t="s">
        <v>55</v>
      </c>
      <c r="AO2" t="s">
        <v>55</v>
      </c>
      <c r="AQ2" t="s">
        <v>54</v>
      </c>
      <c r="AR2">
        <v>1193600</v>
      </c>
      <c r="AS2">
        <v>0.019</v>
      </c>
      <c r="AT2" t="s">
        <v>1633</v>
      </c>
      <c r="AU2">
        <v>7200</v>
      </c>
      <c r="AW2" t="s">
        <v>1634</v>
      </c>
      <c r="AX2" t="s">
        <v>1635</v>
      </c>
      <c r="AY2" t="s">
        <v>1636</v>
      </c>
      <c r="AZ2" t="s">
        <v>1367</v>
      </c>
      <c r="BA2" t="s">
        <v>1637</v>
      </c>
      <c r="BD2" t="s">
        <v>1638</v>
      </c>
      <c r="BE2" t="s">
        <v>1367</v>
      </c>
      <c r="BG2" t="s">
        <v>1639</v>
      </c>
      <c r="BH2" t="s">
        <v>1640</v>
      </c>
      <c r="BJ2" s="3" t="str">
        <f>HYPERLINK("https://www.instagram.com/p/DEiRhY_gk87/?img_index=1","https://www.instagram.com/p/DEiRhY_gk87/?img_index=1")</f>
        <v>https://www.instagram.com/p/DEiRhY_gk87/?img_index=1</v>
      </c>
    </row>
    <row r="3" ht="25.5" customHeight="1" spans="1:62">
      <c r="A3" t="s">
        <v>1641</v>
      </c>
      <c r="B3" t="s">
        <v>1625</v>
      </c>
      <c r="C3" t="s">
        <v>1642</v>
      </c>
      <c r="F3" s="2"/>
      <c r="H3" t="s">
        <v>1643</v>
      </c>
      <c r="J3" t="s">
        <v>1644</v>
      </c>
      <c r="K3" s="3"/>
      <c r="L3" t="s">
        <v>1645</v>
      </c>
      <c r="N3" s="3" t="str">
        <f>HYPERLINK("https://app.hypeauditor.com/my-network/influencer/53737/analytics/instagram/thetrillionairelife","https://app.hypeauditor.com/my-network/influencer/53737/analytics/instagram/thetrillionairelife")</f>
        <v>https://app.hypeauditor.com/my-network/influencer/53737/analytics/instagram/thetrillionairelife</v>
      </c>
      <c r="O3" s="3"/>
      <c r="P3" t="s">
        <v>65</v>
      </c>
      <c r="Q3" t="s">
        <v>66</v>
      </c>
      <c r="S3" t="s">
        <v>54</v>
      </c>
      <c r="T3">
        <v>12600000</v>
      </c>
      <c r="U3" t="s">
        <v>185</v>
      </c>
      <c r="W3" t="s">
        <v>55</v>
      </c>
      <c r="Y3" t="s">
        <v>54</v>
      </c>
      <c r="AA3" t="s">
        <v>55</v>
      </c>
      <c r="AE3" t="s">
        <v>55</v>
      </c>
      <c r="AG3" t="s">
        <v>54</v>
      </c>
      <c r="AI3" t="s">
        <v>55</v>
      </c>
      <c r="AK3" t="s">
        <v>55</v>
      </c>
      <c r="AM3" t="s">
        <v>55</v>
      </c>
      <c r="AO3" t="s">
        <v>55</v>
      </c>
      <c r="AQ3" t="s">
        <v>54</v>
      </c>
      <c r="AR3">
        <v>800000</v>
      </c>
      <c r="AS3">
        <v>0.0019</v>
      </c>
      <c r="AT3" t="s">
        <v>1646</v>
      </c>
      <c r="AU3">
        <v>5000</v>
      </c>
      <c r="AW3" t="s">
        <v>1647</v>
      </c>
      <c r="AX3" t="s">
        <v>78</v>
      </c>
      <c r="AY3" t="s">
        <v>1648</v>
      </c>
      <c r="AZ3" t="s">
        <v>809</v>
      </c>
      <c r="BA3" t="s">
        <v>1649</v>
      </c>
      <c r="BD3" t="s">
        <v>1625</v>
      </c>
      <c r="BE3" t="s">
        <v>809</v>
      </c>
      <c r="BG3" t="s">
        <v>1639</v>
      </c>
      <c r="BH3" t="s">
        <v>1640</v>
      </c>
      <c r="BJ3" s="3"/>
    </row>
    <row r="4" ht="25.5" customHeight="1" spans="1:62">
      <c r="A4" t="s">
        <v>1017</v>
      </c>
      <c r="B4" t="s">
        <v>1625</v>
      </c>
      <c r="C4" t="s">
        <v>1650</v>
      </c>
      <c r="F4" s="2"/>
      <c r="I4" t="s">
        <v>1651</v>
      </c>
      <c r="J4" t="s">
        <v>53</v>
      </c>
      <c r="K4" s="3" t="str">
        <f>HYPERLINK("https://www.instagram.com/reel/DFiFEuwJg9R/?hl=es","https://www.instagram.com/reel/DFiFEuwJg9R/?hl=es")</f>
        <v>https://www.instagram.com/reel/DFiFEuwJg9R/?hl=es</v>
      </c>
      <c r="L4" t="s">
        <v>1630</v>
      </c>
      <c r="N4" s="3" t="str">
        <f>HYPERLINK("https://app.hypeauditor.com/my-network/influencer/72629/analytics/tiktok/topesdegama","https://app.hypeauditor.com/my-network/influencer/72629/analytics/tiktok/topesdegama")</f>
        <v>https://app.hypeauditor.com/my-network/influencer/72629/analytics/tiktok/topesdegama</v>
      </c>
      <c r="O4" s="3"/>
      <c r="P4" t="s">
        <v>65</v>
      </c>
      <c r="Q4" t="s">
        <v>116</v>
      </c>
      <c r="R4" t="s">
        <v>1652</v>
      </c>
      <c r="S4" t="s">
        <v>54</v>
      </c>
      <c r="T4">
        <v>679000</v>
      </c>
      <c r="U4" t="s">
        <v>1653</v>
      </c>
      <c r="W4" t="s">
        <v>55</v>
      </c>
      <c r="Y4" t="s">
        <v>54</v>
      </c>
      <c r="AA4" t="s">
        <v>55</v>
      </c>
      <c r="AE4" t="s">
        <v>55</v>
      </c>
      <c r="AG4" t="s">
        <v>54</v>
      </c>
      <c r="AI4" t="s">
        <v>55</v>
      </c>
      <c r="AK4" t="s">
        <v>55</v>
      </c>
      <c r="AM4" t="s">
        <v>55</v>
      </c>
      <c r="AO4" t="s">
        <v>55</v>
      </c>
      <c r="AQ4" t="s">
        <v>54</v>
      </c>
      <c r="AR4">
        <v>800000</v>
      </c>
      <c r="AS4">
        <v>0.026</v>
      </c>
      <c r="AT4" t="s">
        <v>1654</v>
      </c>
      <c r="AU4">
        <v>3000</v>
      </c>
      <c r="AW4" t="s">
        <v>1655</v>
      </c>
      <c r="AX4" t="s">
        <v>1656</v>
      </c>
      <c r="AY4" t="s">
        <v>1657</v>
      </c>
      <c r="AZ4" t="s">
        <v>1658</v>
      </c>
      <c r="BA4" t="s">
        <v>1659</v>
      </c>
      <c r="BD4" t="s">
        <v>1638</v>
      </c>
      <c r="BE4" t="s">
        <v>1658</v>
      </c>
      <c r="BG4" t="s">
        <v>1639</v>
      </c>
      <c r="BH4" t="s">
        <v>1640</v>
      </c>
      <c r="BJ4" s="3" t="str">
        <f>HYPERLINK("https://www.instagram.com/reel/DFiFEuwJg9R/?hl=es","https://www.instagram.com/reel/DFiFEuwJg9R/?hl=es")</f>
        <v>https://www.instagram.com/reel/DFiFEuwJg9R/?hl=es</v>
      </c>
    </row>
    <row r="5" ht="25.5" customHeight="1" spans="1:62">
      <c r="A5" t="s">
        <v>1660</v>
      </c>
      <c r="B5" t="s">
        <v>1625</v>
      </c>
      <c r="C5" t="s">
        <v>1661</v>
      </c>
      <c r="D5" t="s">
        <v>1627</v>
      </c>
      <c r="F5" s="2">
        <v>45673</v>
      </c>
      <c r="G5" t="s">
        <v>1662</v>
      </c>
      <c r="H5" t="s">
        <v>1663</v>
      </c>
      <c r="I5" t="s">
        <v>1664</v>
      </c>
      <c r="J5" t="s">
        <v>1644</v>
      </c>
      <c r="K5" s="3" t="str">
        <f>HYPERLINK("https://www.instagram.com/p/DE7QobGR2tF/?igsh=MWt0dXZwenB2cW9zZQ==","https://www.instagram.com/p/DE7QobGR2tF/?igsh=MWt0dXZwenB2cW9zZQ==")</f>
        <v>https://www.instagram.com/p/DE7QobGR2tF/?igsh=MWt0dXZwenB2cW9zZQ==</v>
      </c>
      <c r="L5" t="s">
        <v>1630</v>
      </c>
      <c r="N5" s="3" t="str">
        <f>HYPERLINK("https://app.hypeauditor.com/my-network/influencer/39453/analytics/instagram/wealth","https://app.hypeauditor.com/my-network/influencer/39453/analytics/instagram/wealth")</f>
        <v>https://app.hypeauditor.com/my-network/influencer/39453/analytics/instagram/wealth</v>
      </c>
      <c r="O5" s="3"/>
      <c r="P5" t="s">
        <v>65</v>
      </c>
      <c r="Q5" t="s">
        <v>66</v>
      </c>
      <c r="R5" t="s">
        <v>1631</v>
      </c>
      <c r="S5" t="s">
        <v>54</v>
      </c>
      <c r="T5">
        <v>10300000</v>
      </c>
      <c r="U5" t="s">
        <v>185</v>
      </c>
      <c r="V5">
        <v>0.456</v>
      </c>
      <c r="W5" t="s">
        <v>1665</v>
      </c>
      <c r="X5" t="s">
        <v>166</v>
      </c>
      <c r="Y5" t="s">
        <v>59</v>
      </c>
      <c r="Z5">
        <v>0.1667</v>
      </c>
      <c r="AA5" t="s">
        <v>185</v>
      </c>
      <c r="AB5" t="s">
        <v>1666</v>
      </c>
      <c r="AC5" t="s">
        <v>59</v>
      </c>
      <c r="AD5">
        <v>0.739</v>
      </c>
      <c r="AE5" t="s">
        <v>1667</v>
      </c>
      <c r="AF5" t="s">
        <v>1668</v>
      </c>
      <c r="AG5" t="s">
        <v>59</v>
      </c>
      <c r="AH5">
        <v>0.4981</v>
      </c>
      <c r="AI5" t="s">
        <v>1669</v>
      </c>
      <c r="AJ5">
        <v>0.697</v>
      </c>
      <c r="AK5" t="s">
        <v>1670</v>
      </c>
      <c r="AL5">
        <v>0.5</v>
      </c>
      <c r="AM5" t="s">
        <v>1671</v>
      </c>
      <c r="AN5">
        <v>0.8881</v>
      </c>
      <c r="AO5" t="s">
        <v>1672</v>
      </c>
      <c r="AP5" t="s">
        <v>1668</v>
      </c>
      <c r="AQ5" t="s">
        <v>59</v>
      </c>
      <c r="AR5">
        <v>3200000</v>
      </c>
      <c r="AS5">
        <v>0.0045</v>
      </c>
      <c r="AT5" t="s">
        <v>1673</v>
      </c>
      <c r="AU5">
        <v>2666</v>
      </c>
      <c r="AW5" t="s">
        <v>1674</v>
      </c>
      <c r="AX5" t="s">
        <v>1675</v>
      </c>
      <c r="AY5" t="s">
        <v>1676</v>
      </c>
      <c r="AZ5" t="s">
        <v>1677</v>
      </c>
      <c r="BA5" t="s">
        <v>1678</v>
      </c>
      <c r="BD5" t="s">
        <v>1638</v>
      </c>
      <c r="BE5" t="s">
        <v>1677</v>
      </c>
      <c r="BG5" t="s">
        <v>1639</v>
      </c>
      <c r="BH5" t="s">
        <v>1640</v>
      </c>
      <c r="BJ5" s="3" t="str">
        <f>HYPERLINK("https://www.instagram.com/p/DE7QobGR2tF/?igsh=MWt0dXZwenB2cW9zZQ==","https://www.instagram.com/p/DE7QobGR2tF/?igsh=MWt0dXZwenB2cW9zZQ==")</f>
        <v>https://www.instagram.com/p/DE7QobGR2tF/?igsh=MWt0dXZwenB2cW9zZQ==</v>
      </c>
    </row>
    <row r="6" ht="25.5" customHeight="1" spans="1:62">
      <c r="A6" t="s">
        <v>1679</v>
      </c>
      <c r="B6" t="s">
        <v>1625</v>
      </c>
      <c r="C6" t="s">
        <v>1680</v>
      </c>
      <c r="D6" t="s">
        <v>1627</v>
      </c>
      <c r="F6" s="2"/>
      <c r="H6" t="s">
        <v>1643</v>
      </c>
      <c r="J6" t="s">
        <v>1644</v>
      </c>
      <c r="K6" s="3" t="str">
        <f>HYPERLINK("https://www.instagram.com/p/DEuYlr2ATV8/?img_index=1","https://www.instagram.com/p/DEuYlr2ATV8/?img_index=1")</f>
        <v>https://www.instagram.com/p/DEuYlr2ATV8/?img_index=1</v>
      </c>
      <c r="L6" t="s">
        <v>1630</v>
      </c>
      <c r="N6" s="3" t="str">
        <f>HYPERLINK("https://app.hypeauditor.com/my-network/influencer/10387338/analytics/instagram/chatgptricks","https://app.hypeauditor.com/my-network/influencer/10387338/analytics/instagram/chatgptricks")</f>
        <v>https://app.hypeauditor.com/my-network/influencer/10387338/analytics/instagram/chatgptricks</v>
      </c>
      <c r="O6" s="3" t="str">
        <f>HYPERLINK("https://www.instagram.com/chatgptricks/","https://www.instagram.com/chatgptricks/")</f>
        <v>https://www.instagram.com/chatgptricks/</v>
      </c>
      <c r="P6" t="s">
        <v>65</v>
      </c>
      <c r="Q6" t="s">
        <v>66</v>
      </c>
      <c r="R6" t="s">
        <v>1631</v>
      </c>
      <c r="S6" t="s">
        <v>54</v>
      </c>
      <c r="T6">
        <v>1517000</v>
      </c>
      <c r="U6" t="s">
        <v>1681</v>
      </c>
      <c r="W6" t="s">
        <v>55</v>
      </c>
      <c r="Y6" t="s">
        <v>54</v>
      </c>
      <c r="AA6" t="s">
        <v>55</v>
      </c>
      <c r="AE6" t="s">
        <v>55</v>
      </c>
      <c r="AG6" t="s">
        <v>54</v>
      </c>
      <c r="AI6" t="s">
        <v>55</v>
      </c>
      <c r="AK6" t="s">
        <v>55</v>
      </c>
      <c r="AM6" t="s">
        <v>55</v>
      </c>
      <c r="AO6" t="s">
        <v>55</v>
      </c>
      <c r="AQ6" t="s">
        <v>54</v>
      </c>
      <c r="AR6">
        <v>300000</v>
      </c>
      <c r="AS6">
        <v>0.006</v>
      </c>
      <c r="AT6" t="s">
        <v>1682</v>
      </c>
      <c r="AU6">
        <v>2000</v>
      </c>
      <c r="AW6" t="s">
        <v>1683</v>
      </c>
      <c r="AX6" t="s">
        <v>1684</v>
      </c>
      <c r="AY6" t="s">
        <v>1307</v>
      </c>
      <c r="AZ6" t="s">
        <v>1685</v>
      </c>
      <c r="BA6" t="s">
        <v>1686</v>
      </c>
      <c r="BD6" t="s">
        <v>1638</v>
      </c>
      <c r="BE6" t="s">
        <v>1685</v>
      </c>
      <c r="BG6" t="s">
        <v>1639</v>
      </c>
      <c r="BH6" t="s">
        <v>1640</v>
      </c>
      <c r="BJ6" s="3" t="str">
        <f>HYPERLINK("https://www.instagram.com/p/DEuYlr2ATV8/?img_index=1","https://www.instagram.com/p/DEuYlr2ATV8/?img_index=1")</f>
        <v>https://www.instagram.com/p/DEuYlr2ATV8/?img_index=1</v>
      </c>
    </row>
    <row r="7" ht="25.5" customHeight="1" spans="1:62">
      <c r="A7" t="s">
        <v>1687</v>
      </c>
      <c r="B7" t="s">
        <v>1625</v>
      </c>
      <c r="C7" t="s">
        <v>1688</v>
      </c>
      <c r="D7" t="s">
        <v>1627</v>
      </c>
      <c r="F7" s="2">
        <v>45679</v>
      </c>
      <c r="J7" t="s">
        <v>1644</v>
      </c>
      <c r="K7" s="3" t="str">
        <f>HYPERLINK("https://www.instagram.com/p/DFINEtiTbks/","https://www.instagram.com/p/DFINEtiTbks/")</f>
        <v>https://www.instagram.com/p/DFINEtiTbks/</v>
      </c>
      <c r="L7" t="s">
        <v>1630</v>
      </c>
      <c r="N7" s="3"/>
      <c r="O7" s="3"/>
      <c r="P7" t="s">
        <v>65</v>
      </c>
      <c r="Q7" t="s">
        <v>116</v>
      </c>
      <c r="R7" t="s">
        <v>1631</v>
      </c>
      <c r="S7" t="s">
        <v>54</v>
      </c>
      <c r="W7" t="s">
        <v>55</v>
      </c>
      <c r="Y7" t="s">
        <v>54</v>
      </c>
      <c r="AA7" t="s">
        <v>55</v>
      </c>
      <c r="AE7" t="s">
        <v>55</v>
      </c>
      <c r="AG7" t="s">
        <v>54</v>
      </c>
      <c r="AI7" t="s">
        <v>55</v>
      </c>
      <c r="AK7" t="s">
        <v>55</v>
      </c>
      <c r="AM7" t="s">
        <v>55</v>
      </c>
      <c r="AO7" t="s">
        <v>55</v>
      </c>
      <c r="AQ7" t="s">
        <v>54</v>
      </c>
      <c r="AT7" t="s">
        <v>54</v>
      </c>
      <c r="AU7">
        <v>2000</v>
      </c>
      <c r="AW7" t="s">
        <v>54</v>
      </c>
      <c r="BD7" t="s">
        <v>1638</v>
      </c>
      <c r="BG7" t="s">
        <v>1639</v>
      </c>
      <c r="BH7" t="s">
        <v>1640</v>
      </c>
      <c r="BJ7" s="3" t="str">
        <f>HYPERLINK("https://www.instagram.com/p/DFINEtiTbks/","https://www.instagram.com/p/DFINEtiTbks/")</f>
        <v>https://www.instagram.com/p/DFINEtiTbks/</v>
      </c>
    </row>
    <row r="8" ht="25.5" customHeight="1" spans="1:62">
      <c r="A8" t="s">
        <v>1689</v>
      </c>
      <c r="B8" t="s">
        <v>1625</v>
      </c>
      <c r="C8" t="s">
        <v>1690</v>
      </c>
      <c r="D8" t="s">
        <v>1627</v>
      </c>
      <c r="F8" s="2"/>
      <c r="H8" t="s">
        <v>1691</v>
      </c>
      <c r="I8" t="s">
        <v>1692</v>
      </c>
      <c r="J8" t="s">
        <v>1644</v>
      </c>
      <c r="K8" s="3" t="str">
        <f>HYPERLINK("https://www.instagram.com/reel/DEkXSSqp_Gt/?utm_source=ig_web_copy_link&amp;igsh=MzRlODBiNWFlZA==","https://www.instagram.com/reel/DEkXSSqp_Gt/?utm_source=ig_web_copy_link&amp;igsh=MzRlODBiNWFlZA==")</f>
        <v>https://www.instagram.com/reel/DEkXSSqp_Gt/?utm_source=ig_web_copy_link&amp;igsh=MzRlODBiNWFlZA==</v>
      </c>
      <c r="L8" t="s">
        <v>1630</v>
      </c>
      <c r="N8" s="3" t="str">
        <f>HYPERLINK("https://app.hypeauditor.com/my-network/influencer/757064/analytics/tiktok/inspiredanalyst","https://app.hypeauditor.com/my-network/influencer/757064/analytics/tiktok/inspiredanalyst")</f>
        <v>https://app.hypeauditor.com/my-network/influencer/757064/analytics/tiktok/inspiredanalyst</v>
      </c>
      <c r="O8" s="3"/>
      <c r="P8" t="s">
        <v>65</v>
      </c>
      <c r="Q8" t="s">
        <v>116</v>
      </c>
      <c r="R8" t="s">
        <v>1693</v>
      </c>
      <c r="S8" t="s">
        <v>54</v>
      </c>
      <c r="T8">
        <v>999200</v>
      </c>
      <c r="U8" t="s">
        <v>1694</v>
      </c>
      <c r="W8" t="s">
        <v>55</v>
      </c>
      <c r="Y8" t="s">
        <v>54</v>
      </c>
      <c r="AA8" t="s">
        <v>55</v>
      </c>
      <c r="AE8" t="s">
        <v>55</v>
      </c>
      <c r="AG8" t="s">
        <v>54</v>
      </c>
      <c r="AI8" t="s">
        <v>55</v>
      </c>
      <c r="AK8" t="s">
        <v>55</v>
      </c>
      <c r="AM8" t="s">
        <v>55</v>
      </c>
      <c r="AO8" t="s">
        <v>55</v>
      </c>
      <c r="AQ8" t="s">
        <v>54</v>
      </c>
      <c r="AR8">
        <v>431000</v>
      </c>
      <c r="AS8">
        <v>0.033</v>
      </c>
      <c r="AT8" t="s">
        <v>1695</v>
      </c>
      <c r="AU8">
        <v>1500</v>
      </c>
      <c r="AW8" t="s">
        <v>1696</v>
      </c>
      <c r="AX8" t="s">
        <v>1697</v>
      </c>
      <c r="AY8" t="s">
        <v>1698</v>
      </c>
      <c r="AZ8" t="s">
        <v>609</v>
      </c>
      <c r="BA8" t="s">
        <v>1699</v>
      </c>
      <c r="BD8" t="s">
        <v>1638</v>
      </c>
      <c r="BE8" t="s">
        <v>609</v>
      </c>
      <c r="BG8" t="s">
        <v>1639</v>
      </c>
      <c r="BH8" t="s">
        <v>1640</v>
      </c>
      <c r="BJ8" s="3" t="str">
        <f>HYPERLINK("https://www.instagram.com/reel/DEkXSSqp_Gt/?utm_source=ig_web_copy_link&amp;igsh=MzRlODBiNWFlZA==","https://www.instagram.com/reel/DEkXSSqp_Gt/?utm_source=ig_web_copy_link&amp;igsh=MzRlODBiNWFlZA==")</f>
        <v>https://www.instagram.com/reel/DEkXSSqp_Gt/?utm_source=ig_web_copy_link&amp;igsh=MzRlODBiNWFlZA==</v>
      </c>
    </row>
    <row r="9" ht="25.5" customHeight="1" spans="1:62">
      <c r="A9" t="s">
        <v>1700</v>
      </c>
      <c r="B9" t="s">
        <v>1701</v>
      </c>
      <c r="C9" t="s">
        <v>1702</v>
      </c>
      <c r="D9" t="s">
        <v>1627</v>
      </c>
      <c r="F9" s="2"/>
      <c r="I9" t="s">
        <v>336</v>
      </c>
      <c r="J9" t="s">
        <v>1644</v>
      </c>
      <c r="K9" s="3" t="str">
        <f>HYPERLINK("https://www.tiktok.com/@amerufficiale/video/7459338576321383702","https://www.tiktok.com/@amerufficiale/video/7459338576321383702")</f>
        <v>https://www.tiktok.com/@amerufficiale/video/7459338576321383702</v>
      </c>
      <c r="L9" t="s">
        <v>1630</v>
      </c>
      <c r="N9" s="3" t="str">
        <f>HYPERLINK("https://app.hypeauditor.com/my-network/influencer/12250338/analytics/tiktok/amerufficiale","https://app.hypeauditor.com/my-network/influencer/12250338/analytics/tiktok/amerufficiale")</f>
        <v>https://app.hypeauditor.com/my-network/influencer/12250338/analytics/tiktok/amerufficiale</v>
      </c>
      <c r="O9" s="3" t="str">
        <f>HYPERLINK("https://www.tiktok.com/@amerufficiale","https://www.tiktok.com/@amerufficiale")</f>
        <v>https://www.tiktok.com/@amerufficiale</v>
      </c>
      <c r="P9" t="s">
        <v>56</v>
      </c>
      <c r="Q9" t="s">
        <v>57</v>
      </c>
      <c r="R9" t="s">
        <v>1703</v>
      </c>
      <c r="S9" t="s">
        <v>54</v>
      </c>
      <c r="T9">
        <v>188700</v>
      </c>
      <c r="U9" t="s">
        <v>329</v>
      </c>
      <c r="W9" t="s">
        <v>55</v>
      </c>
      <c r="Y9" t="s">
        <v>54</v>
      </c>
      <c r="AA9" t="s">
        <v>55</v>
      </c>
      <c r="AE9" t="s">
        <v>55</v>
      </c>
      <c r="AG9" t="s">
        <v>54</v>
      </c>
      <c r="AI9" t="s">
        <v>55</v>
      </c>
      <c r="AK9" t="s">
        <v>55</v>
      </c>
      <c r="AM9" t="s">
        <v>55</v>
      </c>
      <c r="AO9" t="s">
        <v>55</v>
      </c>
      <c r="AQ9" t="s">
        <v>54</v>
      </c>
      <c r="AR9">
        <v>215400</v>
      </c>
      <c r="AS9">
        <v>0.068</v>
      </c>
      <c r="AT9" t="s">
        <v>1704</v>
      </c>
      <c r="AU9">
        <v>1300</v>
      </c>
      <c r="AW9" t="s">
        <v>1705</v>
      </c>
      <c r="AX9" t="s">
        <v>1706</v>
      </c>
      <c r="AY9" t="s">
        <v>1707</v>
      </c>
      <c r="AZ9" t="s">
        <v>1708</v>
      </c>
      <c r="BA9" t="s">
        <v>1709</v>
      </c>
      <c r="BD9" t="s">
        <v>1638</v>
      </c>
      <c r="BE9" t="s">
        <v>1708</v>
      </c>
      <c r="BG9" t="s">
        <v>1639</v>
      </c>
      <c r="BH9" t="s">
        <v>1640</v>
      </c>
      <c r="BJ9" s="3" t="str">
        <f>HYPERLINK("https://www.tiktok.com/@amerufficiale/video/7459338576321383702","https://www.tiktok.com/@amerufficiale/video/7459338576321383702")</f>
        <v>https://www.tiktok.com/@amerufficiale/video/7459338576321383702</v>
      </c>
    </row>
    <row r="10" ht="25.5" customHeight="1" spans="1:62">
      <c r="A10" t="s">
        <v>1710</v>
      </c>
      <c r="B10" t="s">
        <v>1625</v>
      </c>
      <c r="C10" t="s">
        <v>1711</v>
      </c>
      <c r="D10" t="s">
        <v>1712</v>
      </c>
      <c r="F10" s="2">
        <v>45700</v>
      </c>
      <c r="H10" t="s">
        <v>1713</v>
      </c>
      <c r="I10" t="s">
        <v>1714</v>
      </c>
      <c r="J10" t="s">
        <v>65</v>
      </c>
      <c r="K10" s="3" t="str">
        <f>HYPERLINK("https://www.instagram.com/p/DGL9z22yzLm/?img_index=1","https://www.instagram.com/p/DGL9z22yzLm/?img_index=1")</f>
        <v>https://www.instagram.com/p/DGL9z22yzLm/?img_index=1</v>
      </c>
      <c r="L10" t="s">
        <v>1630</v>
      </c>
      <c r="N10" s="3" t="str">
        <f>HYPERLINK("https://app.hypeauditor.com/my-network/influencer/99453/analytics/instagram/josephabehsera","https://app.hypeauditor.com/my-network/influencer/99453/analytics/instagram/josephabehsera")</f>
        <v>https://app.hypeauditor.com/my-network/influencer/99453/analytics/instagram/josephabehsera</v>
      </c>
      <c r="O10" s="3"/>
      <c r="P10" t="s">
        <v>65</v>
      </c>
      <c r="Q10" t="s">
        <v>66</v>
      </c>
      <c r="R10" t="s">
        <v>58</v>
      </c>
      <c r="S10" t="s">
        <v>59</v>
      </c>
      <c r="T10">
        <v>252000</v>
      </c>
      <c r="U10" t="s">
        <v>1715</v>
      </c>
      <c r="W10" t="s">
        <v>55</v>
      </c>
      <c r="Y10" t="s">
        <v>54</v>
      </c>
      <c r="AA10" t="s">
        <v>55</v>
      </c>
      <c r="AE10" t="s">
        <v>55</v>
      </c>
      <c r="AG10" t="s">
        <v>54</v>
      </c>
      <c r="AI10" t="s">
        <v>55</v>
      </c>
      <c r="AK10" t="s">
        <v>55</v>
      </c>
      <c r="AM10" t="s">
        <v>55</v>
      </c>
      <c r="AO10" t="s">
        <v>55</v>
      </c>
      <c r="AQ10" t="s">
        <v>54</v>
      </c>
      <c r="AR10">
        <v>100000</v>
      </c>
      <c r="AS10">
        <v>0.034</v>
      </c>
      <c r="AT10" t="s">
        <v>1716</v>
      </c>
      <c r="AU10">
        <v>1300</v>
      </c>
      <c r="AW10" t="s">
        <v>1717</v>
      </c>
      <c r="AX10" t="s">
        <v>1376</v>
      </c>
      <c r="AY10" t="s">
        <v>1718</v>
      </c>
      <c r="AZ10" t="s">
        <v>1719</v>
      </c>
      <c r="BA10" t="s">
        <v>1720</v>
      </c>
      <c r="BD10" t="s">
        <v>1638</v>
      </c>
      <c r="BE10" t="s">
        <v>1719</v>
      </c>
      <c r="BG10" t="s">
        <v>1639</v>
      </c>
      <c r="BH10" t="s">
        <v>1640</v>
      </c>
      <c r="BJ10" s="3" t="str">
        <f>HYPERLINK("https://www.instagram.com/p/DGL9z22yzLm/?img_index=1","https://www.instagram.com/p/DGL9z22yzLm/?img_index=1")</f>
        <v>https://www.instagram.com/p/DGL9z22yzLm/?img_index=1</v>
      </c>
    </row>
    <row r="11" ht="25.5" customHeight="1" spans="1:62">
      <c r="A11" t="s">
        <v>1721</v>
      </c>
      <c r="B11" t="s">
        <v>1625</v>
      </c>
      <c r="C11" t="s">
        <v>1722</v>
      </c>
      <c r="D11" t="s">
        <v>1627</v>
      </c>
      <c r="F11" s="2"/>
      <c r="H11" t="s">
        <v>1723</v>
      </c>
      <c r="I11" t="s">
        <v>1724</v>
      </c>
      <c r="J11" t="s">
        <v>1725</v>
      </c>
      <c r="K11" s="3" t="str">
        <f>HYPERLINK("https://www.tiktok.com/@elvi5belvi5/video/7463216722351344918","https://www.tiktok.com/@elvi5belvi5/video/7463216722351344918")</f>
        <v>https://www.tiktok.com/@elvi5belvi5/video/7463216722351344918</v>
      </c>
      <c r="L11" t="s">
        <v>1630</v>
      </c>
      <c r="N11" s="3" t="str">
        <f>HYPERLINK("https://app.hypeauditor.com/my-network/influencer/24477538/analytics/tiktok/elvi5belvi5","https://app.hypeauditor.com/my-network/influencer/24477538/analytics/tiktok/elvi5belvi5")</f>
        <v>https://app.hypeauditor.com/my-network/influencer/24477538/analytics/tiktok/elvi5belvi5</v>
      </c>
      <c r="O11" s="3" t="str">
        <f>HYPERLINK("https://www.tiktok.com/@elvi5belvi5","https://www.tiktok.com/@elvi5belvi5")</f>
        <v>https://www.tiktok.com/@elvi5belvi5</v>
      </c>
      <c r="P11" t="s">
        <v>56</v>
      </c>
      <c r="Q11" t="s">
        <v>57</v>
      </c>
      <c r="R11" t="s">
        <v>1703</v>
      </c>
      <c r="S11" t="s">
        <v>54</v>
      </c>
      <c r="T11">
        <v>164800</v>
      </c>
      <c r="U11" t="s">
        <v>1726</v>
      </c>
      <c r="W11" t="s">
        <v>55</v>
      </c>
      <c r="Y11" t="s">
        <v>54</v>
      </c>
      <c r="AA11" t="s">
        <v>55</v>
      </c>
      <c r="AE11" t="s">
        <v>55</v>
      </c>
      <c r="AG11" t="s">
        <v>54</v>
      </c>
      <c r="AI11" t="s">
        <v>55</v>
      </c>
      <c r="AK11" t="s">
        <v>55</v>
      </c>
      <c r="AM11" t="s">
        <v>55</v>
      </c>
      <c r="AO11" t="s">
        <v>55</v>
      </c>
      <c r="AQ11" t="s">
        <v>54</v>
      </c>
      <c r="AR11">
        <v>250800</v>
      </c>
      <c r="AS11">
        <v>0.039</v>
      </c>
      <c r="AT11" t="s">
        <v>1727</v>
      </c>
      <c r="AU11">
        <v>1250</v>
      </c>
      <c r="AW11" t="s">
        <v>1728</v>
      </c>
      <c r="AX11" t="s">
        <v>1729</v>
      </c>
      <c r="AY11" t="s">
        <v>1730</v>
      </c>
      <c r="AZ11" t="s">
        <v>1731</v>
      </c>
      <c r="BA11" t="s">
        <v>1732</v>
      </c>
      <c r="BD11" t="s">
        <v>1638</v>
      </c>
      <c r="BE11" t="s">
        <v>1731</v>
      </c>
      <c r="BG11" t="s">
        <v>1639</v>
      </c>
      <c r="BH11" t="s">
        <v>1640</v>
      </c>
      <c r="BJ11" s="3" t="str">
        <f>HYPERLINK("https://www.tiktok.com/@elvi5belvi5/video/7463216722351344918","https://www.tiktok.com/@elvi5belvi5/video/7463216722351344918")</f>
        <v>https://www.tiktok.com/@elvi5belvi5/video/7463216722351344918</v>
      </c>
    </row>
    <row r="12" ht="25.5" customHeight="1" spans="1:62">
      <c r="A12" t="s">
        <v>1733</v>
      </c>
      <c r="B12" t="s">
        <v>1625</v>
      </c>
      <c r="C12" t="s">
        <v>1734</v>
      </c>
      <c r="D12" t="s">
        <v>1627</v>
      </c>
      <c r="F12" s="2"/>
      <c r="G12" t="s">
        <v>1735</v>
      </c>
      <c r="H12" t="s">
        <v>1736</v>
      </c>
      <c r="J12" t="s">
        <v>513</v>
      </c>
      <c r="K12" s="3" t="str">
        <f>HYPERLINK("https://www.tiktok.com/@setups_ai/video/7457538228036422943","https://www.tiktok.com/@setups_ai/video/7457538228036422943")</f>
        <v>https://www.tiktok.com/@setups_ai/video/7457538228036422943</v>
      </c>
      <c r="L12" t="s">
        <v>1630</v>
      </c>
      <c r="N12" s="3" t="str">
        <f>HYPERLINK("https://app.hypeauditor.com/my-network/influencer/31676718/analytics/tiktok/setups_ai","https://app.hypeauditor.com/my-network/influencer/31676718/analytics/tiktok/setups_ai")</f>
        <v>https://app.hypeauditor.com/my-network/influencer/31676718/analytics/tiktok/setups_ai</v>
      </c>
      <c r="O12" s="3" t="str">
        <f>HYPERLINK("https://www.tiktok.com/@setups_ai","https://www.tiktok.com/@setups_ai")</f>
        <v>https://www.tiktok.com/@setups_ai</v>
      </c>
      <c r="P12" t="s">
        <v>56</v>
      </c>
      <c r="Q12" t="s">
        <v>57</v>
      </c>
      <c r="R12" t="s">
        <v>1631</v>
      </c>
      <c r="S12" t="s">
        <v>54</v>
      </c>
      <c r="T12">
        <v>758500</v>
      </c>
      <c r="U12" t="s">
        <v>1737</v>
      </c>
      <c r="V12">
        <v>0.445</v>
      </c>
      <c r="W12" t="s">
        <v>1738</v>
      </c>
      <c r="X12" t="s">
        <v>1739</v>
      </c>
      <c r="Y12" t="s">
        <v>1740</v>
      </c>
      <c r="AA12" t="s">
        <v>55</v>
      </c>
      <c r="AB12" t="s">
        <v>1666</v>
      </c>
      <c r="AC12" t="s">
        <v>59</v>
      </c>
      <c r="AD12">
        <v>0.976</v>
      </c>
      <c r="AE12" t="s">
        <v>1741</v>
      </c>
      <c r="AF12" t="s">
        <v>1668</v>
      </c>
      <c r="AG12" t="s">
        <v>59</v>
      </c>
      <c r="AH12">
        <v>0.7862</v>
      </c>
      <c r="AI12" t="s">
        <v>185</v>
      </c>
      <c r="AJ12">
        <v>0.715</v>
      </c>
      <c r="AK12" t="s">
        <v>1742</v>
      </c>
      <c r="AL12">
        <v>0.46</v>
      </c>
      <c r="AM12" t="s">
        <v>1743</v>
      </c>
      <c r="AN12">
        <v>0.838</v>
      </c>
      <c r="AO12" t="s">
        <v>1744</v>
      </c>
      <c r="AP12" t="s">
        <v>1668</v>
      </c>
      <c r="AQ12" t="s">
        <v>59</v>
      </c>
      <c r="AR12">
        <v>1046000</v>
      </c>
      <c r="AS12">
        <v>0.0606</v>
      </c>
      <c r="AT12" t="s">
        <v>1745</v>
      </c>
      <c r="AU12">
        <v>1000</v>
      </c>
      <c r="AW12" t="s">
        <v>1746</v>
      </c>
      <c r="AX12" t="s">
        <v>1747</v>
      </c>
      <c r="AY12" t="s">
        <v>1748</v>
      </c>
      <c r="AZ12" t="s">
        <v>1749</v>
      </c>
      <c r="BA12" t="s">
        <v>1750</v>
      </c>
      <c r="BD12" t="s">
        <v>1638</v>
      </c>
      <c r="BE12" t="s">
        <v>1749</v>
      </c>
      <c r="BG12" t="s">
        <v>1639</v>
      </c>
      <c r="BH12" t="s">
        <v>1640</v>
      </c>
      <c r="BJ12" s="3" t="str">
        <f>HYPERLINK("https://www.tiktok.com/@setups_ai/video/7457538228036422943","https://www.tiktok.com/@setups_ai/video/7457538228036422943")</f>
        <v>https://www.tiktok.com/@setups_ai/video/7457538228036422943</v>
      </c>
    </row>
    <row r="13" ht="25.5" customHeight="1" spans="1:62">
      <c r="A13" t="s">
        <v>1751</v>
      </c>
      <c r="B13" t="s">
        <v>1625</v>
      </c>
      <c r="C13" t="s">
        <v>1690</v>
      </c>
      <c r="D13" t="s">
        <v>1627</v>
      </c>
      <c r="F13" s="2"/>
      <c r="H13" t="s">
        <v>1752</v>
      </c>
      <c r="J13" t="s">
        <v>1629</v>
      </c>
      <c r="K13" s="3" t="str">
        <f>HYPERLINK("https://www.tiktok.com/@ellygmr/video/7459928614449024262","https://www.tiktok.com/@ellygmr/video/7459928614449024262")</f>
        <v>https://www.tiktok.com/@ellygmr/video/7459928614449024262</v>
      </c>
      <c r="L13" t="s">
        <v>1630</v>
      </c>
      <c r="N13" s="3" t="str">
        <f>HYPERLINK("https://app.hypeauditor.com/my-network/influencer/32402645/analytics/tiktok/ellygmr","https://app.hypeauditor.com/my-network/influencer/32402645/analytics/tiktok/ellygmr")</f>
        <v>https://app.hypeauditor.com/my-network/influencer/32402645/analytics/tiktok/ellygmr</v>
      </c>
      <c r="O13" s="3"/>
      <c r="P13" t="s">
        <v>56</v>
      </c>
      <c r="Q13" t="s">
        <v>57</v>
      </c>
      <c r="R13" t="s">
        <v>1753</v>
      </c>
      <c r="S13" t="s">
        <v>54</v>
      </c>
      <c r="T13">
        <v>646000</v>
      </c>
      <c r="U13" t="s">
        <v>1754</v>
      </c>
      <c r="W13" t="s">
        <v>55</v>
      </c>
      <c r="Y13" t="s">
        <v>54</v>
      </c>
      <c r="AA13" t="s">
        <v>55</v>
      </c>
      <c r="AE13" t="s">
        <v>55</v>
      </c>
      <c r="AG13" t="s">
        <v>54</v>
      </c>
      <c r="AI13" t="s">
        <v>55</v>
      </c>
      <c r="AK13" t="s">
        <v>55</v>
      </c>
      <c r="AM13" t="s">
        <v>55</v>
      </c>
      <c r="AO13" t="s">
        <v>55</v>
      </c>
      <c r="AQ13" t="s">
        <v>54</v>
      </c>
      <c r="AR13">
        <v>227400</v>
      </c>
      <c r="AS13">
        <v>0.04</v>
      </c>
      <c r="AT13" t="s">
        <v>1755</v>
      </c>
      <c r="AU13">
        <v>1000</v>
      </c>
      <c r="AW13" t="s">
        <v>1756</v>
      </c>
      <c r="AX13" t="s">
        <v>1757</v>
      </c>
      <c r="AY13" t="s">
        <v>1758</v>
      </c>
      <c r="AZ13" t="s">
        <v>1082</v>
      </c>
      <c r="BA13" t="s">
        <v>1759</v>
      </c>
      <c r="BD13" t="s">
        <v>1638</v>
      </c>
      <c r="BE13" t="s">
        <v>1082</v>
      </c>
      <c r="BG13" t="s">
        <v>1639</v>
      </c>
      <c r="BH13" t="s">
        <v>1640</v>
      </c>
      <c r="BJ13" s="3" t="str">
        <f>HYPERLINK("https://www.tiktok.com/@ellygmr/video/7459928614449024262","https://www.tiktok.com/@ellygmr/video/7459928614449024262")</f>
        <v>https://www.tiktok.com/@ellygmr/video/7459928614449024262</v>
      </c>
    </row>
    <row r="14" ht="25.5" customHeight="1" spans="1:62">
      <c r="A14" t="s">
        <v>1760</v>
      </c>
      <c r="B14" t="s">
        <v>1625</v>
      </c>
      <c r="C14" t="s">
        <v>1761</v>
      </c>
      <c r="D14" t="s">
        <v>1627</v>
      </c>
      <c r="F14" s="2"/>
      <c r="H14" t="s">
        <v>1762</v>
      </c>
      <c r="J14" t="s">
        <v>1725</v>
      </c>
      <c r="K14" s="3" t="str">
        <f>HYPERLINK("https://www.tiktok.com/@logiaweb/video/7462346938575228182","https://www.tiktok.com/@logiaweb/video/7462346938575228182")</f>
        <v>https://www.tiktok.com/@logiaweb/video/7462346938575228182</v>
      </c>
      <c r="L14" t="s">
        <v>1630</v>
      </c>
      <c r="N14" s="3" t="str">
        <f>HYPERLINK("https://app.hypeauditor.com/my-network/influencer/32914773/analytics/tiktok/logiaweb","https://app.hypeauditor.com/my-network/influencer/32914773/analytics/tiktok/logiaweb")</f>
        <v>https://app.hypeauditor.com/my-network/influencer/32914773/analytics/tiktok/logiaweb</v>
      </c>
      <c r="O14" s="3" t="str">
        <f>HYPERLINK("https://www.tiktok.com/@logiaweb","https://www.tiktok.com/@logiaweb")</f>
        <v>https://www.tiktok.com/@logiaweb</v>
      </c>
      <c r="P14" t="s">
        <v>56</v>
      </c>
      <c r="Q14" t="s">
        <v>57</v>
      </c>
      <c r="R14" t="s">
        <v>1631</v>
      </c>
      <c r="S14" t="s">
        <v>54</v>
      </c>
      <c r="T14">
        <v>369000</v>
      </c>
      <c r="U14" t="s">
        <v>1763</v>
      </c>
      <c r="W14" t="s">
        <v>55</v>
      </c>
      <c r="Y14" t="s">
        <v>54</v>
      </c>
      <c r="AA14" t="s">
        <v>55</v>
      </c>
      <c r="AE14" t="s">
        <v>55</v>
      </c>
      <c r="AG14" t="s">
        <v>54</v>
      </c>
      <c r="AI14" t="s">
        <v>55</v>
      </c>
      <c r="AK14" t="s">
        <v>55</v>
      </c>
      <c r="AM14" t="s">
        <v>55</v>
      </c>
      <c r="AO14" t="s">
        <v>55</v>
      </c>
      <c r="AQ14" t="s">
        <v>54</v>
      </c>
      <c r="AR14">
        <v>150000</v>
      </c>
      <c r="AS14">
        <v>0.051</v>
      </c>
      <c r="AT14" t="s">
        <v>1764</v>
      </c>
      <c r="AU14">
        <v>1000</v>
      </c>
      <c r="AW14" t="s">
        <v>1765</v>
      </c>
      <c r="AX14" t="s">
        <v>1684</v>
      </c>
      <c r="AY14" t="s">
        <v>1307</v>
      </c>
      <c r="AZ14" t="s">
        <v>1766</v>
      </c>
      <c r="BA14" t="s">
        <v>1767</v>
      </c>
      <c r="BD14" t="s">
        <v>1638</v>
      </c>
      <c r="BE14" t="s">
        <v>1766</v>
      </c>
      <c r="BG14" t="s">
        <v>1639</v>
      </c>
      <c r="BH14" t="s">
        <v>1640</v>
      </c>
      <c r="BJ14" s="3" t="str">
        <f>HYPERLINK("https://www.tiktok.com/@logiaweb/video/7462346938575228182","https://www.tiktok.com/@logiaweb/video/7462346938575228182")</f>
        <v>https://www.tiktok.com/@logiaweb/video/7462346938575228182</v>
      </c>
    </row>
    <row r="15" ht="25.5" customHeight="1" spans="1:62">
      <c r="A15" t="s">
        <v>976</v>
      </c>
      <c r="B15" t="s">
        <v>1701</v>
      </c>
      <c r="C15" t="s">
        <v>1768</v>
      </c>
      <c r="D15" t="s">
        <v>1769</v>
      </c>
      <c r="F15" s="2"/>
      <c r="H15" t="s">
        <v>1770</v>
      </c>
      <c r="I15" t="s">
        <v>1771</v>
      </c>
      <c r="J15" t="s">
        <v>1725</v>
      </c>
      <c r="K15" s="3" t="str">
        <f>HYPERLINK("https://www.instagram.com/reel/DE91VvKipiV/","https://www.instagram.com/reel/DE91VvKipiV/")</f>
        <v>https://www.instagram.com/reel/DE91VvKipiV/</v>
      </c>
      <c r="L15" t="s">
        <v>1630</v>
      </c>
      <c r="N15" s="3" t="str">
        <f>HYPERLINK("https://app.hypeauditor.com/my-network/influencer/426820/analytics/youtube/UC6njEey49emrxFSzxPoKwFg","https://app.hypeauditor.com/my-network/influencer/426820/analytics/youtube/UC6njEey49emrxFSzxPoKwFg")</f>
        <v>https://app.hypeauditor.com/my-network/influencer/426820/analytics/youtube/UC6njEey49emrxFSzxPoKwFg</v>
      </c>
      <c r="O15" s="3" t="str">
        <f>HYPERLINK("https://www.instagram.com/caffe_design/reels/","https://www.instagram.com/caffe_design/reels/")</f>
        <v>https://www.instagram.com/caffe_design/reels/</v>
      </c>
      <c r="P15" t="s">
        <v>65</v>
      </c>
      <c r="Q15" t="s">
        <v>116</v>
      </c>
      <c r="R15" t="s">
        <v>1703</v>
      </c>
      <c r="S15" t="s">
        <v>54</v>
      </c>
      <c r="T15">
        <v>196000</v>
      </c>
      <c r="U15" t="s">
        <v>977</v>
      </c>
      <c r="W15" t="s">
        <v>55</v>
      </c>
      <c r="Y15" t="s">
        <v>54</v>
      </c>
      <c r="AA15" t="s">
        <v>55</v>
      </c>
      <c r="AE15" t="s">
        <v>55</v>
      </c>
      <c r="AG15" t="s">
        <v>54</v>
      </c>
      <c r="AI15" t="s">
        <v>55</v>
      </c>
      <c r="AK15" t="s">
        <v>55</v>
      </c>
      <c r="AM15" t="s">
        <v>55</v>
      </c>
      <c r="AO15" t="s">
        <v>55</v>
      </c>
      <c r="AQ15" t="s">
        <v>54</v>
      </c>
      <c r="AR15">
        <v>120000</v>
      </c>
      <c r="AS15">
        <v>0.03</v>
      </c>
      <c r="AT15" t="s">
        <v>1772</v>
      </c>
      <c r="AU15">
        <v>1000</v>
      </c>
      <c r="AW15" t="s">
        <v>1773</v>
      </c>
      <c r="AX15" t="s">
        <v>1774</v>
      </c>
      <c r="AY15" t="s">
        <v>1775</v>
      </c>
      <c r="AZ15" t="s">
        <v>1658</v>
      </c>
      <c r="BA15" t="s">
        <v>1776</v>
      </c>
      <c r="BD15" t="s">
        <v>1638</v>
      </c>
      <c r="BE15" t="s">
        <v>1658</v>
      </c>
      <c r="BG15" t="s">
        <v>1639</v>
      </c>
      <c r="BH15" t="s">
        <v>1640</v>
      </c>
      <c r="BJ15" s="3" t="str">
        <f>HYPERLINK("https://www.instagram.com/reel/DE91VvKipiV/","https://www.instagram.com/reel/DE91VvKipiV/")</f>
        <v>https://www.instagram.com/reel/DE91VvKipiV/</v>
      </c>
    </row>
    <row r="16" ht="25.5" customHeight="1" spans="1:62">
      <c r="A16" t="s">
        <v>1777</v>
      </c>
      <c r="B16" t="s">
        <v>1625</v>
      </c>
      <c r="C16" t="s">
        <v>1778</v>
      </c>
      <c r="D16" t="s">
        <v>1627</v>
      </c>
      <c r="F16" s="2"/>
      <c r="J16" t="s">
        <v>1644</v>
      </c>
      <c r="K16" s="3" t="str">
        <f>HYPERLINK("https://www.instagram.com/reel/DExgjNFoMGa/?igsh=MXBndGh3cjB0cXo5NQ==","https://www.instagram.com/reel/DExgjNFoMGa/?igsh=MXBndGh3cjB0cXo5NQ==")</f>
        <v>https://www.instagram.com/reel/DExgjNFoMGa/?igsh=MXBndGh3cjB0cXo5NQ==</v>
      </c>
      <c r="L16" t="s">
        <v>1630</v>
      </c>
      <c r="N16" s="3"/>
      <c r="O16" s="3" t="str">
        <f>HYPERLINK("https://www.instagram.com/disizyyov7?utm_source=ig_web_button_share_sheet&amp;igsh=ZDNlZDc0MzIxNw%3D%3D","https://www.instagram.com/disizyyov7?utm_source=ig_web_button_share_sheet&amp;igsh=ZDNlZDc0MzIxNw%3D%3D")</f>
        <v>https://www.instagram.com/disizyyov7?utm_source=ig_web_button_share_sheet&amp;igsh=ZDNlZDc0MzIxNw%3D%3D</v>
      </c>
      <c r="P16" t="s">
        <v>65</v>
      </c>
      <c r="Q16" t="s">
        <v>116</v>
      </c>
      <c r="R16" t="s">
        <v>1779</v>
      </c>
      <c r="S16" t="s">
        <v>54</v>
      </c>
      <c r="T16">
        <v>207000</v>
      </c>
      <c r="U16" t="s">
        <v>628</v>
      </c>
      <c r="W16" t="s">
        <v>55</v>
      </c>
      <c r="Y16" t="s">
        <v>54</v>
      </c>
      <c r="AA16" t="s">
        <v>55</v>
      </c>
      <c r="AE16" t="s">
        <v>55</v>
      </c>
      <c r="AG16" t="s">
        <v>54</v>
      </c>
      <c r="AI16" t="s">
        <v>55</v>
      </c>
      <c r="AK16" t="s">
        <v>55</v>
      </c>
      <c r="AM16" t="s">
        <v>55</v>
      </c>
      <c r="AO16" t="s">
        <v>55</v>
      </c>
      <c r="AQ16" t="s">
        <v>54</v>
      </c>
      <c r="AR16">
        <v>400000</v>
      </c>
      <c r="AS16">
        <v>0.05</v>
      </c>
      <c r="AT16" t="s">
        <v>1780</v>
      </c>
      <c r="AU16">
        <v>1000</v>
      </c>
      <c r="AW16" t="s">
        <v>1781</v>
      </c>
      <c r="AX16" t="s">
        <v>1782</v>
      </c>
      <c r="AY16" t="s">
        <v>1783</v>
      </c>
      <c r="AZ16" t="s">
        <v>1784</v>
      </c>
      <c r="BA16" t="s">
        <v>1785</v>
      </c>
      <c r="BD16" t="s">
        <v>1638</v>
      </c>
      <c r="BE16" t="s">
        <v>1784</v>
      </c>
      <c r="BG16" t="s">
        <v>1639</v>
      </c>
      <c r="BH16" t="s">
        <v>1640</v>
      </c>
      <c r="BI16" t="s">
        <v>1786</v>
      </c>
      <c r="BJ16" s="3" t="str">
        <f>HYPERLINK("https://www.instagram.com/reel/DExgjNFoMGa/?igsh=MXBndGh3cjB0cXo5NQ==","https://www.instagram.com/reel/DExgjNFoMGa/?igsh=MXBndGh3cjB0cXo5NQ==")</f>
        <v>https://www.instagram.com/reel/DExgjNFoMGa/?igsh=MXBndGh3cjB0cXo5NQ==</v>
      </c>
    </row>
    <row r="17" ht="25.5" customHeight="1" spans="1:62">
      <c r="A17" t="s">
        <v>1239</v>
      </c>
      <c r="B17" t="s">
        <v>1701</v>
      </c>
      <c r="C17" t="s">
        <v>1787</v>
      </c>
      <c r="D17" t="s">
        <v>1769</v>
      </c>
      <c r="F17" s="2"/>
      <c r="H17" t="s">
        <v>1663</v>
      </c>
      <c r="I17" t="s">
        <v>1788</v>
      </c>
      <c r="J17" t="s">
        <v>773</v>
      </c>
      <c r="K17" s="3" t="str">
        <f>HYPERLINK("https://vm.tiktok.com/ZNeESFfwN/","https://vm.tiktok.com/ZNeESFfwN/")</f>
        <v>https://vm.tiktok.com/ZNeESFfwN/</v>
      </c>
      <c r="L17" t="s">
        <v>1630</v>
      </c>
      <c r="N17" s="3" t="str">
        <f>HYPERLINK("https://app.hypeauditor.com/my-network/influencer/26306282/analytics/tiktok/technic_tricks_de","https://app.hypeauditor.com/my-network/influencer/26306282/analytics/tiktok/technic_tricks_de")</f>
        <v>https://app.hypeauditor.com/my-network/influencer/26306282/analytics/tiktok/technic_tricks_de</v>
      </c>
      <c r="O17" s="3" t="str">
        <f>HYPERLINK("https://www.tiktok.com/@technic_tricks_de","https://www.tiktok.com/@technic_tricks_de")</f>
        <v>https://www.tiktok.com/@technic_tricks_de</v>
      </c>
      <c r="P17" t="s">
        <v>56</v>
      </c>
      <c r="Q17" t="s">
        <v>57</v>
      </c>
      <c r="R17" t="s">
        <v>1789</v>
      </c>
      <c r="S17" t="s">
        <v>54</v>
      </c>
      <c r="T17">
        <v>282600</v>
      </c>
      <c r="U17" t="s">
        <v>1240</v>
      </c>
      <c r="W17" t="s">
        <v>55</v>
      </c>
      <c r="Y17" t="s">
        <v>54</v>
      </c>
      <c r="AA17" t="s">
        <v>55</v>
      </c>
      <c r="AE17" t="s">
        <v>55</v>
      </c>
      <c r="AG17" t="s">
        <v>54</v>
      </c>
      <c r="AI17" t="s">
        <v>55</v>
      </c>
      <c r="AK17" t="s">
        <v>55</v>
      </c>
      <c r="AM17" t="s">
        <v>55</v>
      </c>
      <c r="AO17" t="s">
        <v>55</v>
      </c>
      <c r="AQ17" t="s">
        <v>54</v>
      </c>
      <c r="AR17">
        <v>260000</v>
      </c>
      <c r="AS17">
        <v>0.0554</v>
      </c>
      <c r="AT17" t="s">
        <v>1790</v>
      </c>
      <c r="AU17">
        <v>1000</v>
      </c>
      <c r="AW17" t="s">
        <v>1791</v>
      </c>
      <c r="AX17" t="s">
        <v>1792</v>
      </c>
      <c r="AY17" t="s">
        <v>1793</v>
      </c>
      <c r="AZ17" t="s">
        <v>1794</v>
      </c>
      <c r="BA17" t="s">
        <v>1795</v>
      </c>
      <c r="BD17" t="s">
        <v>1638</v>
      </c>
      <c r="BE17" t="s">
        <v>1794</v>
      </c>
      <c r="BG17" t="s">
        <v>1639</v>
      </c>
      <c r="BH17" t="s">
        <v>1640</v>
      </c>
      <c r="BJ17" s="3" t="str">
        <f>HYPERLINK("https://vm.tiktok.com/ZNeESFfwN/","https://vm.tiktok.com/ZNeESFfwN/")</f>
        <v>https://vm.tiktok.com/ZNeESFfwN/</v>
      </c>
    </row>
    <row r="18" ht="25.5" customHeight="1" spans="1:62">
      <c r="A18" t="s">
        <v>1796</v>
      </c>
      <c r="B18" t="s">
        <v>1625</v>
      </c>
      <c r="C18" t="s">
        <v>1797</v>
      </c>
      <c r="D18" t="s">
        <v>1627</v>
      </c>
      <c r="F18" s="2"/>
      <c r="H18" t="s">
        <v>1798</v>
      </c>
      <c r="J18" t="s">
        <v>1644</v>
      </c>
      <c r="K18" s="3" t="str">
        <f>HYPERLINK("https://www.instagram.com/reel/DE8dVEPy9Fi/?igsh=MXE0YnQ2anBzNXptOQ==","https://www.instagram.com/reel/DE8dVEPy9Fi/?igsh=MXE0YnQ2anBzNXptOQ==")</f>
        <v>https://www.instagram.com/reel/DE8dVEPy9Fi/?igsh=MXE0YnQ2anBzNXptOQ==</v>
      </c>
      <c r="L18" t="s">
        <v>1630</v>
      </c>
      <c r="N18" s="3" t="str">
        <f>HYPERLINK("https://app.hypeauditor.com/my-network/influencer/32898474/analytics/instagram/pampisman","https://app.hypeauditor.com/my-network/influencer/32898474/analytics/instagram/pampisman")</f>
        <v>https://app.hypeauditor.com/my-network/influencer/32898474/analytics/instagram/pampisman</v>
      </c>
      <c r="O18" s="3" t="str">
        <f>HYPERLINK("https://www.instagram.com/pampisman/reels/","https://www.instagram.com/pampisman/reels/")</f>
        <v>https://www.instagram.com/pampisman/reels/</v>
      </c>
      <c r="P18" t="s">
        <v>65</v>
      </c>
      <c r="Q18" t="s">
        <v>116</v>
      </c>
      <c r="R18" t="s">
        <v>97</v>
      </c>
      <c r="S18" t="s">
        <v>54</v>
      </c>
      <c r="T18">
        <v>515000</v>
      </c>
      <c r="U18" t="s">
        <v>1443</v>
      </c>
      <c r="W18" t="s">
        <v>55</v>
      </c>
      <c r="Y18" t="s">
        <v>54</v>
      </c>
      <c r="AA18" t="s">
        <v>55</v>
      </c>
      <c r="AE18" t="s">
        <v>55</v>
      </c>
      <c r="AG18" t="s">
        <v>54</v>
      </c>
      <c r="AI18" t="s">
        <v>55</v>
      </c>
      <c r="AK18" t="s">
        <v>55</v>
      </c>
      <c r="AM18" t="s">
        <v>55</v>
      </c>
      <c r="AO18" t="s">
        <v>55</v>
      </c>
      <c r="AQ18" t="s">
        <v>54</v>
      </c>
      <c r="AR18">
        <v>178000</v>
      </c>
      <c r="AS18">
        <v>0.0133</v>
      </c>
      <c r="AT18" t="s">
        <v>1799</v>
      </c>
      <c r="AU18">
        <v>1000</v>
      </c>
      <c r="AW18" t="s">
        <v>1800</v>
      </c>
      <c r="AX18" t="s">
        <v>1801</v>
      </c>
      <c r="AY18" t="s">
        <v>1802</v>
      </c>
      <c r="AZ18" t="s">
        <v>1803</v>
      </c>
      <c r="BA18" t="s">
        <v>1804</v>
      </c>
      <c r="BD18" t="s">
        <v>1638</v>
      </c>
      <c r="BE18" t="s">
        <v>1803</v>
      </c>
      <c r="BG18" t="s">
        <v>1639</v>
      </c>
      <c r="BH18" t="s">
        <v>1640</v>
      </c>
      <c r="BJ18" s="3" t="str">
        <f>HYPERLINK("https://www.instagram.com/reel/DE8dVEPy9Fi/?igsh=MXE0YnQ2anBzNXptOQ==","https://www.instagram.com/reel/DE8dVEPy9Fi/?igsh=MXE0YnQ2anBzNXptOQ==")</f>
        <v>https://www.instagram.com/reel/DE8dVEPy9Fi/?igsh=MXE0YnQ2anBzNXptOQ==</v>
      </c>
    </row>
    <row r="19" ht="25.5" customHeight="1" spans="1:62">
      <c r="A19" t="s">
        <v>1805</v>
      </c>
      <c r="B19" t="s">
        <v>1625</v>
      </c>
      <c r="F19" s="2"/>
      <c r="H19" t="s">
        <v>1806</v>
      </c>
      <c r="J19" t="s">
        <v>1644</v>
      </c>
      <c r="K19" s="3" t="str">
        <f>HYPERLINK("https://vt.tiktok.com/ZS6Xvt8UB/","https://vt.tiktok.com/ZS6Xvt8UB/")</f>
        <v>https://vt.tiktok.com/ZS6Xvt8UB/</v>
      </c>
      <c r="L19" t="s">
        <v>1630</v>
      </c>
      <c r="N19" s="3" t="str">
        <f>HYPERLINK("https://app.hypeauditor.com/my-network/influencer/31161852/analytics/tiktok/pampisman","https://app.hypeauditor.com/my-network/influencer/31161852/analytics/tiktok/pampisman")</f>
        <v>https://app.hypeauditor.com/my-network/influencer/31161852/analytics/tiktok/pampisman</v>
      </c>
      <c r="O19" s="3" t="str">
        <f>HYPERLINK("https://www.tiktok.com/@pampisman","https://www.tiktok.com/@pampisman")</f>
        <v>https://www.tiktok.com/@pampisman</v>
      </c>
      <c r="P19" t="s">
        <v>56</v>
      </c>
      <c r="Q19" t="s">
        <v>57</v>
      </c>
      <c r="R19" t="s">
        <v>97</v>
      </c>
      <c r="S19" t="s">
        <v>54</v>
      </c>
      <c r="T19">
        <v>811700</v>
      </c>
      <c r="U19" t="s">
        <v>1807</v>
      </c>
      <c r="W19" t="s">
        <v>55</v>
      </c>
      <c r="Y19" t="s">
        <v>54</v>
      </c>
      <c r="AA19" t="s">
        <v>55</v>
      </c>
      <c r="AE19" t="s">
        <v>55</v>
      </c>
      <c r="AG19" t="s">
        <v>54</v>
      </c>
      <c r="AI19" t="s">
        <v>55</v>
      </c>
      <c r="AK19" t="s">
        <v>55</v>
      </c>
      <c r="AM19" t="s">
        <v>55</v>
      </c>
      <c r="AO19" t="s">
        <v>55</v>
      </c>
      <c r="AQ19" t="s">
        <v>54</v>
      </c>
      <c r="AR19">
        <v>231600</v>
      </c>
      <c r="AS19">
        <v>0.0903</v>
      </c>
      <c r="AT19" t="s">
        <v>1808</v>
      </c>
      <c r="AU19">
        <v>1000</v>
      </c>
      <c r="AW19" t="s">
        <v>1809</v>
      </c>
      <c r="AX19" t="s">
        <v>1810</v>
      </c>
      <c r="AY19" t="s">
        <v>1811</v>
      </c>
      <c r="AZ19" t="s">
        <v>1812</v>
      </c>
      <c r="BA19" t="s">
        <v>1813</v>
      </c>
      <c r="BD19" t="s">
        <v>1638</v>
      </c>
      <c r="BE19" t="s">
        <v>1812</v>
      </c>
      <c r="BG19" t="s">
        <v>1639</v>
      </c>
      <c r="BH19" t="s">
        <v>1640</v>
      </c>
      <c r="BI19" t="s">
        <v>1796</v>
      </c>
      <c r="BJ19" s="3" t="str">
        <f>HYPERLINK("https://vt.tiktok.com/ZS6Xvt8UB/","https://vt.tiktok.com/ZS6Xvt8UB/")</f>
        <v>https://vt.tiktok.com/ZS6Xvt8UB/</v>
      </c>
    </row>
    <row r="20" ht="25.5" customHeight="1" spans="1:62">
      <c r="A20" t="s">
        <v>1814</v>
      </c>
      <c r="B20" t="s">
        <v>1625</v>
      </c>
      <c r="C20" t="s">
        <v>1815</v>
      </c>
      <c r="F20" s="2"/>
      <c r="J20" t="s">
        <v>1816</v>
      </c>
      <c r="K20" s="3" t="str">
        <f>HYPERLINK("https://x.com/hrrcnes/status/1876660325979980255","https://x.com/hrrcnes/status/1876660325979980255")</f>
        <v>https://x.com/hrrcnes/status/1876660325979980255</v>
      </c>
      <c r="L20" t="s">
        <v>1630</v>
      </c>
      <c r="N20" s="3" t="str">
        <f>HYPERLINK("https://app.hypeauditor.com/my-network/influencer/33520382/analytics/twitter/hrrcnes","https://app.hypeauditor.com/my-network/influencer/33520382/analytics/twitter/hrrcnes")</f>
        <v>https://app.hypeauditor.com/my-network/influencer/33520382/analytics/twitter/hrrcnes</v>
      </c>
      <c r="O20" s="3" t="str">
        <f>HYPERLINK("https://x.com/hrrcnes","https://x.com/hrrcnes")</f>
        <v>https://x.com/hrrcnes</v>
      </c>
      <c r="P20" t="s">
        <v>1816</v>
      </c>
      <c r="Q20" t="s">
        <v>1817</v>
      </c>
      <c r="R20" t="s">
        <v>1631</v>
      </c>
      <c r="S20" t="s">
        <v>54</v>
      </c>
      <c r="T20">
        <v>165000</v>
      </c>
      <c r="U20" t="s">
        <v>1818</v>
      </c>
      <c r="W20" t="s">
        <v>55</v>
      </c>
      <c r="Y20" t="s">
        <v>54</v>
      </c>
      <c r="AA20" t="s">
        <v>55</v>
      </c>
      <c r="AE20" t="s">
        <v>55</v>
      </c>
      <c r="AG20" t="s">
        <v>54</v>
      </c>
      <c r="AI20" t="s">
        <v>55</v>
      </c>
      <c r="AK20" t="s">
        <v>55</v>
      </c>
      <c r="AM20" t="s">
        <v>55</v>
      </c>
      <c r="AO20" t="s">
        <v>55</v>
      </c>
      <c r="AQ20" t="s">
        <v>54</v>
      </c>
      <c r="AR20">
        <v>200000</v>
      </c>
      <c r="AS20">
        <v>0.06</v>
      </c>
      <c r="AT20" t="s">
        <v>1819</v>
      </c>
      <c r="AU20">
        <v>1000</v>
      </c>
      <c r="AW20" t="s">
        <v>1820</v>
      </c>
      <c r="AX20" t="s">
        <v>600</v>
      </c>
      <c r="AY20" t="s">
        <v>601</v>
      </c>
      <c r="AZ20" t="s">
        <v>1821</v>
      </c>
      <c r="BA20" t="s">
        <v>1822</v>
      </c>
      <c r="BD20" t="s">
        <v>1638</v>
      </c>
      <c r="BE20" t="s">
        <v>1821</v>
      </c>
      <c r="BG20" t="s">
        <v>1639</v>
      </c>
      <c r="BH20" t="s">
        <v>1640</v>
      </c>
      <c r="BJ20" s="3" t="str">
        <f>HYPERLINK("https://x.com/hrrcnes/status/1876660325979980255","https://x.com/hrrcnes/status/1876660325979980255")</f>
        <v>https://x.com/hrrcnes/status/1876660325979980255</v>
      </c>
    </row>
    <row r="21" ht="25.5" customHeight="1" spans="1:62">
      <c r="A21" t="s">
        <v>1823</v>
      </c>
      <c r="B21" t="s">
        <v>1625</v>
      </c>
      <c r="C21" t="s">
        <v>1778</v>
      </c>
      <c r="D21" t="s">
        <v>1627</v>
      </c>
      <c r="F21" s="2"/>
      <c r="J21" t="s">
        <v>1644</v>
      </c>
      <c r="K21" s="3" t="str">
        <f>HYPERLINK("https://www.instagram.com/reel/DEpvfB0tqMZ/?utm_source=ig_web_copy_link&amp;igsh=MzRlODBiNWFlZA==","https://www.instagram.com/reel/DEpvfB0tqMZ/?utm_source=ig_web_copy_link&amp;igsh=MzRlODBiNWFlZA==")</f>
        <v>https://www.instagram.com/reel/DEpvfB0tqMZ/?utm_source=ig_web_copy_link&amp;igsh=MzRlODBiNWFlZA==</v>
      </c>
      <c r="L21" t="s">
        <v>1630</v>
      </c>
      <c r="N21" s="3"/>
      <c r="O21" s="3" t="str">
        <f>HYPERLINK("https://www.instagram.com/leoodeep?utm_source=ig_web_button_share_sheet&amp;igsh=ZDNlZDc0MzIxNw%3D%3D","https://www.instagram.com/leoodeep?utm_source=ig_web_button_share_sheet&amp;igsh=ZDNlZDc0MzIxNw%3D%3D")</f>
        <v>https://www.instagram.com/leoodeep?utm_source=ig_web_button_share_sheet&amp;igsh=ZDNlZDc0MzIxNw%3D%3D</v>
      </c>
      <c r="P21" t="s">
        <v>65</v>
      </c>
      <c r="Q21" t="s">
        <v>116</v>
      </c>
      <c r="R21" t="s">
        <v>1779</v>
      </c>
      <c r="S21" t="s">
        <v>54</v>
      </c>
      <c r="T21">
        <v>58000</v>
      </c>
      <c r="U21" t="s">
        <v>55</v>
      </c>
      <c r="W21" t="s">
        <v>55</v>
      </c>
      <c r="Y21" t="s">
        <v>54</v>
      </c>
      <c r="AA21" t="s">
        <v>55</v>
      </c>
      <c r="AE21" t="s">
        <v>55</v>
      </c>
      <c r="AG21" t="s">
        <v>54</v>
      </c>
      <c r="AI21" t="s">
        <v>55</v>
      </c>
      <c r="AK21" t="s">
        <v>55</v>
      </c>
      <c r="AM21" t="s">
        <v>55</v>
      </c>
      <c r="AO21" t="s">
        <v>55</v>
      </c>
      <c r="AQ21" t="s">
        <v>54</v>
      </c>
      <c r="AR21">
        <v>40000</v>
      </c>
      <c r="AS21">
        <v>0.101</v>
      </c>
      <c r="AT21" t="s">
        <v>1824</v>
      </c>
      <c r="AU21">
        <v>950</v>
      </c>
      <c r="AW21" t="s">
        <v>1825</v>
      </c>
      <c r="AX21" t="s">
        <v>1826</v>
      </c>
      <c r="AY21" t="s">
        <v>55</v>
      </c>
      <c r="AZ21" t="s">
        <v>1827</v>
      </c>
      <c r="BA21" t="s">
        <v>1828</v>
      </c>
      <c r="BD21" t="s">
        <v>1638</v>
      </c>
      <c r="BE21" t="s">
        <v>1827</v>
      </c>
      <c r="BG21" t="s">
        <v>1639</v>
      </c>
      <c r="BH21" t="s">
        <v>1640</v>
      </c>
      <c r="BI21" t="s">
        <v>1786</v>
      </c>
      <c r="BJ21" s="3" t="str">
        <f>HYPERLINK("https://www.instagram.com/reel/DEpvfB0tqMZ/?utm_source=ig_web_copy_link&amp;igsh=MzRlODBiNWFlZA==","https://www.instagram.com/reel/DEpvfB0tqMZ/?utm_source=ig_web_copy_link&amp;igsh=MzRlODBiNWFlZA==")</f>
        <v>https://www.instagram.com/reel/DEpvfB0tqMZ/?utm_source=ig_web_copy_link&amp;igsh=MzRlODBiNWFlZA==</v>
      </c>
    </row>
    <row r="22" ht="25.5" customHeight="1" spans="1:62">
      <c r="A22" t="s">
        <v>1829</v>
      </c>
      <c r="B22" t="s">
        <v>1830</v>
      </c>
      <c r="C22" t="s">
        <v>1831</v>
      </c>
      <c r="F22" s="2">
        <v>45664</v>
      </c>
      <c r="H22" t="s">
        <v>1663</v>
      </c>
      <c r="I22" t="s">
        <v>1832</v>
      </c>
      <c r="J22" t="s">
        <v>1833</v>
      </c>
      <c r="K22" s="3" t="str">
        <f>HYPERLINK("https://www.instagram.com/reel/DEkkjmoKQyy/?igsh=MWw3cTAxbnF2ZWpibw==","https://www.instagram.com/reel/DEkkjmoKQyy/?igsh=MWw3cTAxbnF2ZWpibw==")</f>
        <v>https://www.instagram.com/reel/DEkkjmoKQyy/?igsh=MWw3cTAxbnF2ZWpibw==</v>
      </c>
      <c r="L22" t="s">
        <v>1630</v>
      </c>
      <c r="N22" s="3" t="str">
        <f>HYPERLINK("https://app.hypeauditor.com/my-network/influencer/948204/analytics/instagram/oxydoxytv","https://app.hypeauditor.com/my-network/influencer/948204/analytics/instagram/oxydoxytv")</f>
        <v>https://app.hypeauditor.com/my-network/influencer/948204/analytics/instagram/oxydoxytv</v>
      </c>
      <c r="O22" s="3" t="str">
        <f>HYPERLINK("https://www.instagram.com/oxydoxytv/","https://www.instagram.com/oxydoxytv/")</f>
        <v>https://www.instagram.com/oxydoxytv/</v>
      </c>
      <c r="P22" t="s">
        <v>65</v>
      </c>
      <c r="Q22" t="s">
        <v>116</v>
      </c>
      <c r="R22" t="s">
        <v>1789</v>
      </c>
      <c r="S22" t="s">
        <v>54</v>
      </c>
      <c r="T22">
        <v>379000</v>
      </c>
      <c r="U22" t="s">
        <v>501</v>
      </c>
      <c r="W22" t="s">
        <v>55</v>
      </c>
      <c r="Y22" t="s">
        <v>54</v>
      </c>
      <c r="AA22" t="s">
        <v>55</v>
      </c>
      <c r="AE22" t="s">
        <v>55</v>
      </c>
      <c r="AG22" t="s">
        <v>54</v>
      </c>
      <c r="AI22" t="s">
        <v>55</v>
      </c>
      <c r="AK22" t="s">
        <v>55</v>
      </c>
      <c r="AM22" t="s">
        <v>55</v>
      </c>
      <c r="AO22" t="s">
        <v>55</v>
      </c>
      <c r="AQ22" t="s">
        <v>54</v>
      </c>
      <c r="AR22">
        <v>150000</v>
      </c>
      <c r="AS22">
        <v>0.0214</v>
      </c>
      <c r="AT22" t="s">
        <v>1834</v>
      </c>
      <c r="AU22">
        <v>900</v>
      </c>
      <c r="AW22" t="s">
        <v>1835</v>
      </c>
      <c r="AX22" t="s">
        <v>1410</v>
      </c>
      <c r="AY22" t="s">
        <v>1411</v>
      </c>
      <c r="AZ22" t="s">
        <v>1836</v>
      </c>
      <c r="BA22" t="s">
        <v>1837</v>
      </c>
      <c r="BD22" t="s">
        <v>1638</v>
      </c>
      <c r="BE22" t="s">
        <v>1836</v>
      </c>
      <c r="BG22" t="s">
        <v>1639</v>
      </c>
      <c r="BH22" t="s">
        <v>1640</v>
      </c>
      <c r="BJ22" s="3" t="str">
        <f>HYPERLINK("https://www.instagram.com/reel/DEkkjmoKQyy/?igsh=MWw3cTAxbnF2ZWpibw==","https://www.instagram.com/reel/DEkkjmoKQyy/?igsh=MWw3cTAxbnF2ZWpibw==")</f>
        <v>https://www.instagram.com/reel/DEkkjmoKQyy/?igsh=MWw3cTAxbnF2ZWpibw==</v>
      </c>
    </row>
    <row r="23" ht="25.5" customHeight="1" spans="1:62">
      <c r="A23" t="s">
        <v>1377</v>
      </c>
      <c r="B23" t="s">
        <v>1701</v>
      </c>
      <c r="C23" t="s">
        <v>1838</v>
      </c>
      <c r="D23" t="s">
        <v>1627</v>
      </c>
      <c r="F23" s="2"/>
      <c r="H23" t="s">
        <v>1663</v>
      </c>
      <c r="J23" t="s">
        <v>1725</v>
      </c>
      <c r="K23" s="3" t="str">
        <f>HYPERLINK("https://www.tiktok.com/@skawatv/video/7459773841905061142","https://www.tiktok.com/@skawatv/video/7459773841905061142")</f>
        <v>https://www.tiktok.com/@skawatv/video/7459773841905061142</v>
      </c>
      <c r="L23" t="s">
        <v>1630</v>
      </c>
      <c r="N23" s="3" t="str">
        <f>HYPERLINK("https://app.hypeauditor.com/my-network/influencer/931221/analytics/tiktok/skawatv","https://app.hypeauditor.com/my-network/influencer/931221/analytics/tiktok/skawatv")</f>
        <v>https://app.hypeauditor.com/my-network/influencer/931221/analytics/tiktok/skawatv</v>
      </c>
      <c r="O23" s="3" t="str">
        <f>HYPERLINK("https://www.tiktok.com/@skawatv","https://www.tiktok.com/@skawatv")</f>
        <v>https://www.tiktok.com/@skawatv</v>
      </c>
      <c r="P23" t="s">
        <v>56</v>
      </c>
      <c r="Q23" t="s">
        <v>57</v>
      </c>
      <c r="R23" t="s">
        <v>1789</v>
      </c>
      <c r="S23" t="s">
        <v>54</v>
      </c>
      <c r="T23">
        <v>368900</v>
      </c>
      <c r="U23" t="s">
        <v>1378</v>
      </c>
      <c r="W23" t="s">
        <v>55</v>
      </c>
      <c r="Y23" t="s">
        <v>54</v>
      </c>
      <c r="AA23" t="s">
        <v>55</v>
      </c>
      <c r="AE23" t="s">
        <v>55</v>
      </c>
      <c r="AG23" t="s">
        <v>54</v>
      </c>
      <c r="AI23" t="s">
        <v>55</v>
      </c>
      <c r="AK23" t="s">
        <v>55</v>
      </c>
      <c r="AM23" t="s">
        <v>55</v>
      </c>
      <c r="AO23" t="s">
        <v>55</v>
      </c>
      <c r="AQ23" t="s">
        <v>54</v>
      </c>
      <c r="AR23">
        <v>80000</v>
      </c>
      <c r="AS23">
        <v>0.0995</v>
      </c>
      <c r="AT23" t="s">
        <v>1839</v>
      </c>
      <c r="AU23">
        <v>900</v>
      </c>
      <c r="AW23" t="s">
        <v>1840</v>
      </c>
      <c r="AX23" t="s">
        <v>1841</v>
      </c>
      <c r="AY23" t="s">
        <v>1842</v>
      </c>
      <c r="AZ23" t="s">
        <v>1843</v>
      </c>
      <c r="BA23" t="s">
        <v>1844</v>
      </c>
      <c r="BD23" t="s">
        <v>1638</v>
      </c>
      <c r="BE23" t="s">
        <v>1843</v>
      </c>
      <c r="BG23" t="s">
        <v>1639</v>
      </c>
      <c r="BH23" t="s">
        <v>1640</v>
      </c>
      <c r="BJ23" s="3" t="str">
        <f>HYPERLINK("https://www.tiktok.com/@skawatv/video/7459773841905061142","https://www.tiktok.com/@skawatv/video/7459773841905061142")</f>
        <v>https://www.tiktok.com/@skawatv/video/7459773841905061142</v>
      </c>
    </row>
    <row r="24" ht="25.5" customHeight="1" spans="1:62">
      <c r="A24" t="s">
        <v>1845</v>
      </c>
      <c r="B24" t="s">
        <v>1638</v>
      </c>
      <c r="C24" t="s">
        <v>1846</v>
      </c>
      <c r="D24" t="s">
        <v>1627</v>
      </c>
      <c r="F24" s="2"/>
      <c r="H24" t="s">
        <v>1663</v>
      </c>
      <c r="J24" t="s">
        <v>1644</v>
      </c>
      <c r="K24" s="3" t="str">
        <f>HYPERLINK("https://vt.tiktok.com/ZS6xh7Sfe/","https://vt.tiktok.com/ZS6xh7Sfe/")</f>
        <v>https://vt.tiktok.com/ZS6xh7Sfe/</v>
      </c>
      <c r="L24" t="s">
        <v>1630</v>
      </c>
      <c r="N24" s="3" t="str">
        <f>HYPERLINK("https://app.hypeauditor.com/my-network/influencer/2483451/analytics/tiktok/rl.carbona","https://app.hypeauditor.com/my-network/influencer/2483451/analytics/tiktok/rl.carbona")</f>
        <v>https://app.hypeauditor.com/my-network/influencer/2483451/analytics/tiktok/rl.carbona</v>
      </c>
      <c r="O24" s="3"/>
      <c r="P24" t="s">
        <v>56</v>
      </c>
      <c r="Q24" t="s">
        <v>57</v>
      </c>
      <c r="R24" t="s">
        <v>97</v>
      </c>
      <c r="S24" t="s">
        <v>54</v>
      </c>
      <c r="T24">
        <v>2000000</v>
      </c>
      <c r="U24" t="s">
        <v>1307</v>
      </c>
      <c r="W24" t="s">
        <v>55</v>
      </c>
      <c r="Y24" t="s">
        <v>54</v>
      </c>
      <c r="AA24" t="s">
        <v>55</v>
      </c>
      <c r="AE24" t="s">
        <v>55</v>
      </c>
      <c r="AG24" t="s">
        <v>54</v>
      </c>
      <c r="AI24" t="s">
        <v>55</v>
      </c>
      <c r="AK24" t="s">
        <v>55</v>
      </c>
      <c r="AM24" t="s">
        <v>55</v>
      </c>
      <c r="AO24" t="s">
        <v>55</v>
      </c>
      <c r="AQ24" t="s">
        <v>54</v>
      </c>
      <c r="AR24">
        <v>993900</v>
      </c>
      <c r="AS24">
        <v>0.0845</v>
      </c>
      <c r="AT24" t="s">
        <v>1847</v>
      </c>
      <c r="AU24">
        <v>900</v>
      </c>
      <c r="AW24" t="s">
        <v>1848</v>
      </c>
      <c r="AX24" t="s">
        <v>1849</v>
      </c>
      <c r="AY24" t="s">
        <v>1850</v>
      </c>
      <c r="AZ24" t="s">
        <v>1851</v>
      </c>
      <c r="BA24" t="s">
        <v>1852</v>
      </c>
      <c r="BD24" t="s">
        <v>1638</v>
      </c>
      <c r="BE24" t="s">
        <v>1851</v>
      </c>
      <c r="BG24" t="s">
        <v>1639</v>
      </c>
      <c r="BH24" t="s">
        <v>1640</v>
      </c>
      <c r="BJ24" s="3" t="str">
        <f>HYPERLINK("https://vt.tiktok.com/ZS6xh7Sfe/","https://vt.tiktok.com/ZS6xh7Sfe/")</f>
        <v>https://vt.tiktok.com/ZS6xh7Sfe/</v>
      </c>
    </row>
    <row r="25" ht="25.5" customHeight="1" spans="1:62">
      <c r="A25" t="s">
        <v>1853</v>
      </c>
      <c r="B25" t="s">
        <v>1625</v>
      </c>
      <c r="C25" t="s">
        <v>1854</v>
      </c>
      <c r="F25" s="2"/>
      <c r="H25" t="s">
        <v>1855</v>
      </c>
      <c r="I25" t="s">
        <v>1856</v>
      </c>
      <c r="J25" t="s">
        <v>1644</v>
      </c>
      <c r="K25" s="3"/>
      <c r="L25" t="s">
        <v>1645</v>
      </c>
      <c r="N25" s="3" t="str">
        <f>HYPERLINK("https://app.hypeauditor.com/my-network/influencer/17672398/analytics/tiktok/yofumedia","https://app.hypeauditor.com/my-network/influencer/17672398/analytics/tiktok/yofumedia")</f>
        <v>https://app.hypeauditor.com/my-network/influencer/17672398/analytics/tiktok/yofumedia</v>
      </c>
      <c r="O25" s="3"/>
      <c r="P25" t="s">
        <v>56</v>
      </c>
      <c r="Q25" t="s">
        <v>57</v>
      </c>
      <c r="S25" t="s">
        <v>54</v>
      </c>
      <c r="W25" t="s">
        <v>55</v>
      </c>
      <c r="Y25" t="s">
        <v>54</v>
      </c>
      <c r="AA25" t="s">
        <v>55</v>
      </c>
      <c r="AE25" t="s">
        <v>55</v>
      </c>
      <c r="AG25" t="s">
        <v>54</v>
      </c>
      <c r="AI25" t="s">
        <v>55</v>
      </c>
      <c r="AK25" t="s">
        <v>55</v>
      </c>
      <c r="AM25" t="s">
        <v>55</v>
      </c>
      <c r="AO25" t="s">
        <v>55</v>
      </c>
      <c r="AQ25" t="s">
        <v>54</v>
      </c>
      <c r="AT25" t="s">
        <v>54</v>
      </c>
      <c r="AU25">
        <v>900</v>
      </c>
      <c r="AW25" t="s">
        <v>54</v>
      </c>
      <c r="BD25" t="s">
        <v>1830</v>
      </c>
      <c r="BG25" t="s">
        <v>1639</v>
      </c>
      <c r="BH25" t="s">
        <v>1640</v>
      </c>
      <c r="BJ25" s="3"/>
    </row>
    <row r="26" ht="25.5" customHeight="1" spans="1:62">
      <c r="A26" t="s">
        <v>1857</v>
      </c>
      <c r="B26" t="s">
        <v>1625</v>
      </c>
      <c r="C26" t="s">
        <v>1858</v>
      </c>
      <c r="F26" s="2"/>
      <c r="H26" t="s">
        <v>1663</v>
      </c>
      <c r="I26" t="s">
        <v>1859</v>
      </c>
      <c r="J26" t="s">
        <v>1629</v>
      </c>
      <c r="K26" s="3"/>
      <c r="L26" t="s">
        <v>1645</v>
      </c>
      <c r="N26" s="3" t="str">
        <f>HYPERLINK("https://app.hypeauditor.com/my-network/influencer/1175092/analytics/instagram/chillblinton","https://app.hypeauditor.com/my-network/influencer/1175092/analytics/instagram/chillblinton")</f>
        <v>https://app.hypeauditor.com/my-network/influencer/1175092/analytics/instagram/chillblinton</v>
      </c>
      <c r="O26" s="3"/>
      <c r="P26" t="s">
        <v>65</v>
      </c>
      <c r="Q26" t="s">
        <v>66</v>
      </c>
      <c r="S26" t="s">
        <v>54</v>
      </c>
      <c r="W26" t="s">
        <v>55</v>
      </c>
      <c r="Y26" t="s">
        <v>54</v>
      </c>
      <c r="AA26" t="s">
        <v>55</v>
      </c>
      <c r="AE26" t="s">
        <v>55</v>
      </c>
      <c r="AG26" t="s">
        <v>54</v>
      </c>
      <c r="AI26" t="s">
        <v>55</v>
      </c>
      <c r="AK26" t="s">
        <v>55</v>
      </c>
      <c r="AM26" t="s">
        <v>55</v>
      </c>
      <c r="AO26" t="s">
        <v>55</v>
      </c>
      <c r="AQ26" t="s">
        <v>54</v>
      </c>
      <c r="AT26" t="s">
        <v>54</v>
      </c>
      <c r="AU26">
        <v>900</v>
      </c>
      <c r="AW26" t="s">
        <v>54</v>
      </c>
      <c r="BD26" t="s">
        <v>1830</v>
      </c>
      <c r="BG26" t="s">
        <v>1639</v>
      </c>
      <c r="BH26" t="s">
        <v>1640</v>
      </c>
      <c r="BJ26" s="3"/>
    </row>
    <row r="27" ht="25.5" customHeight="1" spans="1:62">
      <c r="A27" t="s">
        <v>1860</v>
      </c>
      <c r="B27" t="s">
        <v>1625</v>
      </c>
      <c r="C27" t="s">
        <v>1688</v>
      </c>
      <c r="D27" t="s">
        <v>1627</v>
      </c>
      <c r="F27" s="2">
        <v>45665</v>
      </c>
      <c r="H27" t="s">
        <v>1861</v>
      </c>
      <c r="I27" t="s">
        <v>1862</v>
      </c>
      <c r="J27" t="s">
        <v>1629</v>
      </c>
      <c r="K27" s="3" t="str">
        <f>HYPERLINK("https://vm.tiktok.com/ZGdB4Fj6w/","https://vm.tiktok.com/ZGdB4Fj6w/")</f>
        <v>https://vm.tiktok.com/ZGdB4Fj6w/</v>
      </c>
      <c r="L27" t="s">
        <v>1630</v>
      </c>
      <c r="N27" s="3" t="str">
        <f>HYPERLINK("https://app.hypeauditor.com/my-network/influencer/370710/analytics/tiktok/overtips","https://app.hypeauditor.com/my-network/influencer/370710/analytics/tiktok/overtips")</f>
        <v>https://app.hypeauditor.com/my-network/influencer/370710/analytics/tiktok/overtips</v>
      </c>
      <c r="O27" s="3" t="str">
        <f>HYPERLINK("https://www.tiktok.com/@overtips","https://www.tiktok.com/@overtips")</f>
        <v>https://www.tiktok.com/@overtips</v>
      </c>
      <c r="P27" t="s">
        <v>56</v>
      </c>
      <c r="Q27" t="s">
        <v>57</v>
      </c>
      <c r="R27" t="s">
        <v>1652</v>
      </c>
      <c r="S27" t="s">
        <v>54</v>
      </c>
      <c r="T27">
        <v>625500</v>
      </c>
      <c r="U27" t="s">
        <v>1863</v>
      </c>
      <c r="W27" t="s">
        <v>55</v>
      </c>
      <c r="Y27" t="s">
        <v>54</v>
      </c>
      <c r="AA27" t="s">
        <v>55</v>
      </c>
      <c r="AE27" t="s">
        <v>55</v>
      </c>
      <c r="AG27" t="s">
        <v>54</v>
      </c>
      <c r="AI27" t="s">
        <v>55</v>
      </c>
      <c r="AK27" t="s">
        <v>55</v>
      </c>
      <c r="AM27" t="s">
        <v>55</v>
      </c>
      <c r="AO27" t="s">
        <v>55</v>
      </c>
      <c r="AQ27" t="s">
        <v>54</v>
      </c>
      <c r="AR27">
        <v>100000</v>
      </c>
      <c r="AS27">
        <v>0.056</v>
      </c>
      <c r="AT27" t="s">
        <v>1864</v>
      </c>
      <c r="AU27">
        <v>890</v>
      </c>
      <c r="AW27" t="s">
        <v>1865</v>
      </c>
      <c r="AX27" t="s">
        <v>1866</v>
      </c>
      <c r="AY27" t="s">
        <v>1867</v>
      </c>
      <c r="AZ27" t="s">
        <v>1868</v>
      </c>
      <c r="BA27" t="s">
        <v>1869</v>
      </c>
      <c r="BD27" t="s">
        <v>1638</v>
      </c>
      <c r="BE27" t="s">
        <v>1868</v>
      </c>
      <c r="BG27" t="s">
        <v>1639</v>
      </c>
      <c r="BH27" t="s">
        <v>1640</v>
      </c>
      <c r="BJ27" s="3" t="str">
        <f>HYPERLINK("https://vm.tiktok.com/ZGdB4Fj6w/","https://vm.tiktok.com/ZGdB4Fj6w/")</f>
        <v>https://vm.tiktok.com/ZGdB4Fj6w/</v>
      </c>
    </row>
    <row r="28" ht="25.5" customHeight="1" spans="1:62">
      <c r="A28" t="s">
        <v>1786</v>
      </c>
      <c r="B28" t="s">
        <v>1625</v>
      </c>
      <c r="C28" t="s">
        <v>1870</v>
      </c>
      <c r="D28" t="s">
        <v>1627</v>
      </c>
      <c r="F28" s="2"/>
      <c r="H28" t="s">
        <v>1663</v>
      </c>
      <c r="I28" t="s">
        <v>1871</v>
      </c>
      <c r="J28" t="s">
        <v>1644</v>
      </c>
      <c r="K28" s="3"/>
      <c r="L28" t="s">
        <v>1630</v>
      </c>
      <c r="N28" s="3" t="str">
        <f>HYPERLINK("https://app.hypeauditor.com/my-network/influencer/12078702/analytics/instagram/gabzer.mp4","https://app.hypeauditor.com/my-network/influencer/12078702/analytics/instagram/gabzer.mp4")</f>
        <v>https://app.hypeauditor.com/my-network/influencer/12078702/analytics/instagram/gabzer.mp4</v>
      </c>
      <c r="O28" s="3"/>
      <c r="P28" t="s">
        <v>65</v>
      </c>
      <c r="Q28" t="s">
        <v>116</v>
      </c>
      <c r="R28" t="s">
        <v>1779</v>
      </c>
      <c r="S28" t="s">
        <v>54</v>
      </c>
      <c r="W28" t="s">
        <v>55</v>
      </c>
      <c r="Y28" t="s">
        <v>54</v>
      </c>
      <c r="AA28" t="s">
        <v>55</v>
      </c>
      <c r="AE28" t="s">
        <v>55</v>
      </c>
      <c r="AG28" t="s">
        <v>54</v>
      </c>
      <c r="AI28" t="s">
        <v>55</v>
      </c>
      <c r="AK28" t="s">
        <v>55</v>
      </c>
      <c r="AM28" t="s">
        <v>55</v>
      </c>
      <c r="AO28" t="s">
        <v>55</v>
      </c>
      <c r="AQ28" t="s">
        <v>54</v>
      </c>
      <c r="AT28" t="s">
        <v>54</v>
      </c>
      <c r="AU28">
        <v>800</v>
      </c>
      <c r="AW28" t="s">
        <v>54</v>
      </c>
      <c r="BD28" t="s">
        <v>1830</v>
      </c>
      <c r="BG28" t="s">
        <v>1639</v>
      </c>
      <c r="BH28" t="s">
        <v>1640</v>
      </c>
      <c r="BJ28" s="3"/>
    </row>
    <row r="29" ht="25.5" customHeight="1" spans="1:62">
      <c r="A29" t="s">
        <v>1872</v>
      </c>
      <c r="B29" t="s">
        <v>1625</v>
      </c>
      <c r="C29" t="s">
        <v>1873</v>
      </c>
      <c r="D29" t="s">
        <v>1627</v>
      </c>
      <c r="F29" s="2"/>
      <c r="H29" t="s">
        <v>1806</v>
      </c>
      <c r="J29" t="s">
        <v>1629</v>
      </c>
      <c r="K29" s="3" t="str">
        <f>HYPERLINK("https://www.instagram.com/reel/DE26e9fRUwq/?igsh=dHUzMjlheWFrdzln","https://www.instagram.com/reel/DE26e9fRUwq/?igsh=dHUzMjlheWFrdzln")</f>
        <v>https://www.instagram.com/reel/DE26e9fRUwq/?igsh=dHUzMjlheWFrdzln</v>
      </c>
      <c r="L29" t="s">
        <v>1630</v>
      </c>
      <c r="N29" s="3" t="str">
        <f>HYPERLINK("https://app.hypeauditor.com/my-network/influencer/25980182/analytics/tiktok/sami_peck","https://app.hypeauditor.com/my-network/influencer/25980182/analytics/tiktok/sami_peck")</f>
        <v>https://app.hypeauditor.com/my-network/influencer/25980182/analytics/tiktok/sami_peck</v>
      </c>
      <c r="O29" s="3"/>
      <c r="P29" t="s">
        <v>65</v>
      </c>
      <c r="Q29" t="s">
        <v>116</v>
      </c>
      <c r="R29" t="s">
        <v>1753</v>
      </c>
      <c r="S29" t="s">
        <v>54</v>
      </c>
      <c r="T29">
        <v>91000</v>
      </c>
      <c r="U29" t="s">
        <v>55</v>
      </c>
      <c r="W29" t="s">
        <v>55</v>
      </c>
      <c r="Y29" t="s">
        <v>54</v>
      </c>
      <c r="AA29" t="s">
        <v>55</v>
      </c>
      <c r="AE29" t="s">
        <v>55</v>
      </c>
      <c r="AG29" t="s">
        <v>54</v>
      </c>
      <c r="AI29" t="s">
        <v>55</v>
      </c>
      <c r="AK29" t="s">
        <v>55</v>
      </c>
      <c r="AM29" t="s">
        <v>55</v>
      </c>
      <c r="AO29" t="s">
        <v>55</v>
      </c>
      <c r="AQ29" t="s">
        <v>54</v>
      </c>
      <c r="AR29">
        <v>80000</v>
      </c>
      <c r="AS29">
        <v>0.066</v>
      </c>
      <c r="AT29" t="s">
        <v>1874</v>
      </c>
      <c r="AU29">
        <v>800</v>
      </c>
      <c r="AW29" t="s">
        <v>1875</v>
      </c>
      <c r="AX29" t="s">
        <v>139</v>
      </c>
      <c r="AY29" t="s">
        <v>140</v>
      </c>
      <c r="AZ29" t="s">
        <v>1876</v>
      </c>
      <c r="BA29" t="s">
        <v>1877</v>
      </c>
      <c r="BD29" t="s">
        <v>1638</v>
      </c>
      <c r="BE29" t="s">
        <v>1876</v>
      </c>
      <c r="BG29" t="s">
        <v>1639</v>
      </c>
      <c r="BH29" t="s">
        <v>1640</v>
      </c>
      <c r="BJ29" s="3" t="str">
        <f>HYPERLINK("https://www.instagram.com/reel/DE26e9fRUwq/?igsh=dHUzMjlheWFrdzln","https://www.instagram.com/reel/DE26e9fRUwq/?igsh=dHUzMjlheWFrdzln")</f>
        <v>https://www.instagram.com/reel/DE26e9fRUwq/?igsh=dHUzMjlheWFrdzln</v>
      </c>
    </row>
    <row r="30" ht="25.5" customHeight="1" spans="1:62">
      <c r="A30" t="s">
        <v>1878</v>
      </c>
      <c r="B30" t="s">
        <v>1625</v>
      </c>
      <c r="C30" t="s">
        <v>1688</v>
      </c>
      <c r="D30" t="s">
        <v>1627</v>
      </c>
      <c r="F30" s="2">
        <v>45679</v>
      </c>
      <c r="I30" t="s">
        <v>1879</v>
      </c>
      <c r="J30" t="s">
        <v>1629</v>
      </c>
      <c r="K30" s="3" t="str">
        <f>HYPERLINK("https://www.instagram.com/reel/DFI_Dy5I_wR/","https://www.instagram.com/reel/DFI_Dy5I_wR/")</f>
        <v>https://www.instagram.com/reel/DFI_Dy5I_wR/</v>
      </c>
      <c r="L30" t="s">
        <v>1630</v>
      </c>
      <c r="N30" s="3" t="str">
        <f>HYPERLINK("https://app.hypeauditor.com/my-network/influencer/18872337/analytics/instagram/estebandiba","https://app.hypeauditor.com/my-network/influencer/18872337/analytics/instagram/estebandiba")</f>
        <v>https://app.hypeauditor.com/my-network/influencer/18872337/analytics/instagram/estebandiba</v>
      </c>
      <c r="O30" s="3" t="str">
        <f>HYPERLINK("https://www.instagram.com/estebandiba/","https://www.instagram.com/estebandiba/")</f>
        <v>https://www.instagram.com/estebandiba/</v>
      </c>
      <c r="P30" t="s">
        <v>65</v>
      </c>
      <c r="Q30" t="s">
        <v>116</v>
      </c>
      <c r="R30" t="s">
        <v>1652</v>
      </c>
      <c r="S30" t="s">
        <v>54</v>
      </c>
      <c r="T30">
        <v>144000</v>
      </c>
      <c r="U30" t="s">
        <v>1880</v>
      </c>
      <c r="W30" t="s">
        <v>55</v>
      </c>
      <c r="Y30" t="s">
        <v>54</v>
      </c>
      <c r="AA30" t="s">
        <v>55</v>
      </c>
      <c r="AE30" t="s">
        <v>55</v>
      </c>
      <c r="AG30" t="s">
        <v>54</v>
      </c>
      <c r="AI30" t="s">
        <v>55</v>
      </c>
      <c r="AK30" t="s">
        <v>55</v>
      </c>
      <c r="AM30" t="s">
        <v>55</v>
      </c>
      <c r="AO30" t="s">
        <v>55</v>
      </c>
      <c r="AQ30" t="s">
        <v>54</v>
      </c>
      <c r="AR30">
        <v>30000</v>
      </c>
      <c r="AS30">
        <v>0.05</v>
      </c>
      <c r="AT30" t="s">
        <v>1881</v>
      </c>
      <c r="AU30">
        <v>800</v>
      </c>
      <c r="AW30" t="s">
        <v>1882</v>
      </c>
      <c r="AX30" t="s">
        <v>1883</v>
      </c>
      <c r="AY30" t="s">
        <v>55</v>
      </c>
      <c r="AZ30" t="s">
        <v>1836</v>
      </c>
      <c r="BA30" t="s">
        <v>1884</v>
      </c>
      <c r="BD30" t="s">
        <v>1638</v>
      </c>
      <c r="BE30" t="s">
        <v>1836</v>
      </c>
      <c r="BG30" t="s">
        <v>1639</v>
      </c>
      <c r="BH30" t="s">
        <v>1640</v>
      </c>
      <c r="BJ30" s="3" t="str">
        <f>HYPERLINK("https://www.instagram.com/reel/DFI_Dy5I_wR/","https://www.instagram.com/reel/DFI_Dy5I_wR/")</f>
        <v>https://www.instagram.com/reel/DFI_Dy5I_wR/</v>
      </c>
    </row>
    <row r="31" ht="25.5" customHeight="1" spans="1:62">
      <c r="A31" t="s">
        <v>1885</v>
      </c>
      <c r="B31" t="s">
        <v>1625</v>
      </c>
      <c r="C31" t="s">
        <v>1688</v>
      </c>
      <c r="D31" t="s">
        <v>1627</v>
      </c>
      <c r="F31" s="2">
        <v>45673</v>
      </c>
      <c r="I31" t="s">
        <v>1886</v>
      </c>
      <c r="J31" t="s">
        <v>1644</v>
      </c>
      <c r="K31" s="3" t="str">
        <f>HYPERLINK("https://vm.tiktok.com/ZGdSqVcYy/","https://vm.tiktok.com/ZGdSqVcYy/")</f>
        <v>https://vm.tiktok.com/ZGdSqVcYy/</v>
      </c>
      <c r="L31" t="s">
        <v>1630</v>
      </c>
      <c r="N31" s="3"/>
      <c r="O31" s="3" t="str">
        <f>HYPERLINK("https://www.tiktok.com/@inthewvlogs","https://www.tiktok.com/@inthewvlogs")</f>
        <v>https://www.tiktok.com/@inthewvlogs</v>
      </c>
      <c r="P31" t="s">
        <v>56</v>
      </c>
      <c r="Q31" t="s">
        <v>57</v>
      </c>
      <c r="R31" t="s">
        <v>1887</v>
      </c>
      <c r="S31" t="s">
        <v>54</v>
      </c>
      <c r="T31">
        <v>1300000</v>
      </c>
      <c r="U31" t="s">
        <v>776</v>
      </c>
      <c r="W31" t="s">
        <v>55</v>
      </c>
      <c r="Y31" t="s">
        <v>54</v>
      </c>
      <c r="AA31" t="s">
        <v>55</v>
      </c>
      <c r="AE31" t="s">
        <v>55</v>
      </c>
      <c r="AG31" t="s">
        <v>54</v>
      </c>
      <c r="AI31" t="s">
        <v>55</v>
      </c>
      <c r="AK31" t="s">
        <v>55</v>
      </c>
      <c r="AM31" t="s">
        <v>55</v>
      </c>
      <c r="AO31" t="s">
        <v>55</v>
      </c>
      <c r="AQ31" t="s">
        <v>54</v>
      </c>
      <c r="AR31">
        <v>57700</v>
      </c>
      <c r="AS31">
        <v>0.08</v>
      </c>
      <c r="AT31" t="s">
        <v>1888</v>
      </c>
      <c r="AU31">
        <v>800</v>
      </c>
      <c r="AW31" t="s">
        <v>1889</v>
      </c>
      <c r="AX31" t="s">
        <v>1890</v>
      </c>
      <c r="AY31" t="s">
        <v>1891</v>
      </c>
      <c r="AZ31" t="s">
        <v>1792</v>
      </c>
      <c r="BA31" t="s">
        <v>1892</v>
      </c>
      <c r="BD31" t="s">
        <v>1638</v>
      </c>
      <c r="BE31" t="s">
        <v>1792</v>
      </c>
      <c r="BG31" t="s">
        <v>1639</v>
      </c>
      <c r="BH31" t="s">
        <v>1640</v>
      </c>
      <c r="BJ31" s="3" t="str">
        <f>HYPERLINK("https://vm.tiktok.com/ZGdSqVcYy/","https://vm.tiktok.com/ZGdSqVcYy/")</f>
        <v>https://vm.tiktok.com/ZGdSqVcYy/</v>
      </c>
    </row>
    <row r="32" ht="25.5" customHeight="1" spans="1:62">
      <c r="A32" t="s">
        <v>1893</v>
      </c>
      <c r="B32" t="s">
        <v>1625</v>
      </c>
      <c r="C32" t="s">
        <v>1778</v>
      </c>
      <c r="D32" t="s">
        <v>1627</v>
      </c>
      <c r="F32" s="2"/>
      <c r="J32" t="s">
        <v>1644</v>
      </c>
      <c r="K32" s="3" t="str">
        <f>HYPERLINK("https://www.youtube.com/shorts/Om0aBES8C_U","https://www.youtube.com/shorts/Om0aBES8C_U")</f>
        <v>https://www.youtube.com/shorts/Om0aBES8C_U</v>
      </c>
      <c r="L32" t="s">
        <v>1630</v>
      </c>
      <c r="N32" s="3"/>
      <c r="O32" s="3"/>
      <c r="P32" t="s">
        <v>269</v>
      </c>
      <c r="Q32" t="s">
        <v>423</v>
      </c>
      <c r="R32" t="s">
        <v>1779</v>
      </c>
      <c r="S32" t="s">
        <v>54</v>
      </c>
      <c r="T32">
        <v>800000</v>
      </c>
      <c r="U32" t="s">
        <v>1894</v>
      </c>
      <c r="W32" t="s">
        <v>55</v>
      </c>
      <c r="Y32" t="s">
        <v>54</v>
      </c>
      <c r="AA32" t="s">
        <v>55</v>
      </c>
      <c r="AE32" t="s">
        <v>55</v>
      </c>
      <c r="AG32" t="s">
        <v>54</v>
      </c>
      <c r="AI32" t="s">
        <v>55</v>
      </c>
      <c r="AK32" t="s">
        <v>55</v>
      </c>
      <c r="AM32" t="s">
        <v>55</v>
      </c>
      <c r="AO32" t="s">
        <v>55</v>
      </c>
      <c r="AQ32" t="s">
        <v>54</v>
      </c>
      <c r="AR32">
        <v>90000</v>
      </c>
      <c r="AS32">
        <v>0.01</v>
      </c>
      <c r="AT32" t="s">
        <v>1895</v>
      </c>
      <c r="AU32">
        <v>800</v>
      </c>
      <c r="AW32" t="s">
        <v>1896</v>
      </c>
      <c r="AX32" t="s">
        <v>1897</v>
      </c>
      <c r="AY32" t="s">
        <v>966</v>
      </c>
      <c r="AZ32" t="s">
        <v>1221</v>
      </c>
      <c r="BA32" t="s">
        <v>55</v>
      </c>
      <c r="BD32" t="s">
        <v>1638</v>
      </c>
      <c r="BE32" t="s">
        <v>1221</v>
      </c>
      <c r="BG32" t="s">
        <v>1639</v>
      </c>
      <c r="BH32" t="s">
        <v>1640</v>
      </c>
      <c r="BI32" t="s">
        <v>1898</v>
      </c>
      <c r="BJ32" s="3" t="str">
        <f>HYPERLINK("https://www.youtube.com/shorts/Om0aBES8C_U","https://www.youtube.com/shorts/Om0aBES8C_U")</f>
        <v>https://www.youtube.com/shorts/Om0aBES8C_U</v>
      </c>
    </row>
    <row r="33" ht="25.5" customHeight="1" spans="1:62">
      <c r="A33" t="s">
        <v>744</v>
      </c>
      <c r="B33" t="s">
        <v>1701</v>
      </c>
      <c r="C33" t="s">
        <v>1899</v>
      </c>
      <c r="F33" s="2"/>
      <c r="H33" t="s">
        <v>1900</v>
      </c>
      <c r="I33" t="s">
        <v>1901</v>
      </c>
      <c r="J33" t="s">
        <v>53</v>
      </c>
      <c r="K33" s="3"/>
      <c r="L33" t="s">
        <v>1645</v>
      </c>
      <c r="N33" s="3" t="str">
        <f>HYPERLINK("https://app.hypeauditor.com/my-network/influencer/2551847/analytics/tiktok/revishaan","https://app.hypeauditor.com/my-network/influencer/2551847/analytics/tiktok/revishaan")</f>
        <v>https://app.hypeauditor.com/my-network/influencer/2551847/analytics/tiktok/revishaan</v>
      </c>
      <c r="O33" s="3" t="str">
        <f>HYPERLINK("https://www.tiktok.com/@revishaan","https://www.tiktok.com/@revishaan")</f>
        <v>https://www.tiktok.com/@revishaan</v>
      </c>
      <c r="P33" t="s">
        <v>56</v>
      </c>
      <c r="Q33" t="s">
        <v>57</v>
      </c>
      <c r="R33" t="s">
        <v>1887</v>
      </c>
      <c r="S33" t="s">
        <v>54</v>
      </c>
      <c r="T33">
        <v>401300</v>
      </c>
      <c r="U33" t="s">
        <v>745</v>
      </c>
      <c r="W33" t="s">
        <v>55</v>
      </c>
      <c r="Y33" t="s">
        <v>54</v>
      </c>
      <c r="AA33" t="s">
        <v>55</v>
      </c>
      <c r="AE33" t="s">
        <v>55</v>
      </c>
      <c r="AG33" t="s">
        <v>54</v>
      </c>
      <c r="AI33" t="s">
        <v>55</v>
      </c>
      <c r="AK33" t="s">
        <v>55</v>
      </c>
      <c r="AM33" t="s">
        <v>55</v>
      </c>
      <c r="AO33" t="s">
        <v>55</v>
      </c>
      <c r="AQ33" t="s">
        <v>54</v>
      </c>
      <c r="AR33">
        <v>74900</v>
      </c>
      <c r="AS33">
        <v>0.0318</v>
      </c>
      <c r="AT33" t="s">
        <v>746</v>
      </c>
      <c r="AU33">
        <v>750</v>
      </c>
      <c r="AW33" t="s">
        <v>747</v>
      </c>
      <c r="AX33" t="s">
        <v>748</v>
      </c>
      <c r="AY33" t="s">
        <v>749</v>
      </c>
      <c r="AZ33" t="s">
        <v>359</v>
      </c>
      <c r="BA33" t="s">
        <v>55</v>
      </c>
      <c r="BD33" t="s">
        <v>1625</v>
      </c>
      <c r="BE33" t="s">
        <v>359</v>
      </c>
      <c r="BG33" t="s">
        <v>1639</v>
      </c>
      <c r="BH33" t="s">
        <v>1640</v>
      </c>
      <c r="BI33" t="s">
        <v>728</v>
      </c>
      <c r="BJ33" s="3"/>
    </row>
    <row r="34" ht="25.5" customHeight="1" spans="1:62">
      <c r="A34" t="s">
        <v>1902</v>
      </c>
      <c r="B34" t="s">
        <v>1625</v>
      </c>
      <c r="C34" t="s">
        <v>1778</v>
      </c>
      <c r="D34" t="s">
        <v>1627</v>
      </c>
      <c r="F34" s="2"/>
      <c r="J34" t="s">
        <v>1644</v>
      </c>
      <c r="K34" s="3" t="str">
        <f>HYPERLINK("https://vm.tiktok.com/ZNeKyAC44/","https://vm.tiktok.com/ZNeKyAC44/")</f>
        <v>https://vm.tiktok.com/ZNeKyAC44/</v>
      </c>
      <c r="L34" t="s">
        <v>1630</v>
      </c>
      <c r="N34" s="3"/>
      <c r="O34" s="3" t="str">
        <f>HYPERLINK("http://instagram.com/nowistech_/","instagram.com/nowistech_/")</f>
        <v>instagram.com/nowistech_/</v>
      </c>
      <c r="P34" t="s">
        <v>56</v>
      </c>
      <c r="Q34" t="s">
        <v>57</v>
      </c>
      <c r="R34" t="s">
        <v>1779</v>
      </c>
      <c r="S34" t="s">
        <v>54</v>
      </c>
      <c r="T34">
        <v>746400</v>
      </c>
      <c r="U34" t="s">
        <v>1903</v>
      </c>
      <c r="W34" t="s">
        <v>55</v>
      </c>
      <c r="Y34" t="s">
        <v>54</v>
      </c>
      <c r="AA34" t="s">
        <v>55</v>
      </c>
      <c r="AE34" t="s">
        <v>55</v>
      </c>
      <c r="AG34" t="s">
        <v>54</v>
      </c>
      <c r="AI34" t="s">
        <v>55</v>
      </c>
      <c r="AK34" t="s">
        <v>55</v>
      </c>
      <c r="AM34" t="s">
        <v>55</v>
      </c>
      <c r="AO34" t="s">
        <v>55</v>
      </c>
      <c r="AQ34" t="s">
        <v>54</v>
      </c>
      <c r="AR34">
        <v>100000</v>
      </c>
      <c r="AS34">
        <v>0.04</v>
      </c>
      <c r="AT34" t="s">
        <v>1904</v>
      </c>
      <c r="AU34">
        <v>750</v>
      </c>
      <c r="AW34" t="s">
        <v>1905</v>
      </c>
      <c r="AX34" t="s">
        <v>1906</v>
      </c>
      <c r="AY34" t="s">
        <v>1907</v>
      </c>
      <c r="AZ34" t="s">
        <v>1908</v>
      </c>
      <c r="BA34" t="s">
        <v>1909</v>
      </c>
      <c r="BD34" t="s">
        <v>1638</v>
      </c>
      <c r="BE34" t="s">
        <v>1908</v>
      </c>
      <c r="BG34" t="s">
        <v>1639</v>
      </c>
      <c r="BH34" t="s">
        <v>1640</v>
      </c>
      <c r="BI34" t="s">
        <v>1786</v>
      </c>
      <c r="BJ34" s="3" t="str">
        <f>HYPERLINK("https://vm.tiktok.com/ZNeKyAC44/","https://vm.tiktok.com/ZNeKyAC44/")</f>
        <v>https://vm.tiktok.com/ZNeKyAC44/</v>
      </c>
    </row>
    <row r="35" ht="25.5" customHeight="1" spans="1:62">
      <c r="A35" t="s">
        <v>1910</v>
      </c>
      <c r="B35" t="s">
        <v>1625</v>
      </c>
      <c r="C35" t="s">
        <v>1911</v>
      </c>
      <c r="D35" t="s">
        <v>1627</v>
      </c>
      <c r="F35" s="2"/>
      <c r="H35" t="s">
        <v>1663</v>
      </c>
      <c r="I35" t="s">
        <v>1912</v>
      </c>
      <c r="J35" t="s">
        <v>1629</v>
      </c>
      <c r="K35" s="3" t="str">
        <f>HYPERLINK("https://www.instagram.com/reel/DEz2vJptnT3/?igsh=MWdwMGxuMzVqanp4Ng%3D%3D","https://www.instagram.com/reel/DEz2vJptnT3/?igsh=MWdwMGxuMzVqanp4Ng%3D%3D")</f>
        <v>https://www.instagram.com/reel/DEz2vJptnT3/?igsh=MWdwMGxuMzVqanp4Ng%3D%3D</v>
      </c>
      <c r="L35" t="s">
        <v>1630</v>
      </c>
      <c r="N35" s="3" t="str">
        <f>HYPERLINK("https://app.hypeauditor.com/my-network/influencer/30429004/analytics/instagram/mago_jp_oficial","https://app.hypeauditor.com/my-network/influencer/30429004/analytics/instagram/mago_jp_oficial")</f>
        <v>https://app.hypeauditor.com/my-network/influencer/30429004/analytics/instagram/mago_jp_oficial</v>
      </c>
      <c r="O35" s="3" t="str">
        <f>HYPERLINK("https://www.instagram.com/mago_jp_oficial/","https://www.instagram.com/mago_jp_oficial/")</f>
        <v>https://www.instagram.com/mago_jp_oficial/</v>
      </c>
      <c r="P35" t="s">
        <v>65</v>
      </c>
      <c r="Q35" t="s">
        <v>116</v>
      </c>
      <c r="R35" t="s">
        <v>1913</v>
      </c>
      <c r="S35" t="s">
        <v>54</v>
      </c>
      <c r="T35">
        <v>916000</v>
      </c>
      <c r="U35" t="s">
        <v>1914</v>
      </c>
      <c r="W35" t="s">
        <v>55</v>
      </c>
      <c r="Y35" t="s">
        <v>54</v>
      </c>
      <c r="AA35" t="s">
        <v>55</v>
      </c>
      <c r="AE35" t="s">
        <v>55</v>
      </c>
      <c r="AG35" t="s">
        <v>54</v>
      </c>
      <c r="AI35" t="s">
        <v>55</v>
      </c>
      <c r="AK35" t="s">
        <v>55</v>
      </c>
      <c r="AM35" t="s">
        <v>55</v>
      </c>
      <c r="AO35" t="s">
        <v>55</v>
      </c>
      <c r="AQ35" t="s">
        <v>54</v>
      </c>
      <c r="AR35">
        <v>90000</v>
      </c>
      <c r="AS35">
        <v>0.04</v>
      </c>
      <c r="AT35" t="s">
        <v>1915</v>
      </c>
      <c r="AU35">
        <v>750</v>
      </c>
      <c r="AW35" t="s">
        <v>1916</v>
      </c>
      <c r="AX35" t="s">
        <v>1774</v>
      </c>
      <c r="AY35" t="s">
        <v>1775</v>
      </c>
      <c r="AZ35" t="s">
        <v>1917</v>
      </c>
      <c r="BA35" t="s">
        <v>1918</v>
      </c>
      <c r="BD35" t="s">
        <v>1638</v>
      </c>
      <c r="BE35" t="s">
        <v>1917</v>
      </c>
      <c r="BG35" t="s">
        <v>1639</v>
      </c>
      <c r="BH35" t="s">
        <v>1640</v>
      </c>
      <c r="BJ35" s="3" t="str">
        <f>HYPERLINK("https://www.instagram.com/reel/DEz2vJptnT3/?igsh=MWdwMGxuMzVqanp4Ng%3D%3D","https://www.instagram.com/reel/DEz2vJptnT3/?igsh=MWdwMGxuMzVqanp4Ng%3D%3D")</f>
        <v>https://www.instagram.com/reel/DEz2vJptnT3/?igsh=MWdwMGxuMzVqanp4Ng%3D%3D</v>
      </c>
    </row>
    <row r="36" ht="25.5" customHeight="1" spans="1:62">
      <c r="A36" t="s">
        <v>1919</v>
      </c>
      <c r="B36" t="s">
        <v>1625</v>
      </c>
      <c r="C36" t="s">
        <v>1920</v>
      </c>
      <c r="D36" t="s">
        <v>1627</v>
      </c>
      <c r="F36" s="2"/>
      <c r="J36" t="s">
        <v>1644</v>
      </c>
      <c r="K36" s="3" t="str">
        <f>HYPERLINK("https://www.instagram.com/share/BADu_vvEdU","https://www.instagram.com/share/BADu_vvEdU")</f>
        <v>https://www.instagram.com/share/BADu_vvEdU</v>
      </c>
      <c r="L36" t="s">
        <v>1630</v>
      </c>
      <c r="N36" s="3"/>
      <c r="O36" s="3"/>
      <c r="P36" t="s">
        <v>65</v>
      </c>
      <c r="Q36" t="s">
        <v>116</v>
      </c>
      <c r="R36" t="s">
        <v>1631</v>
      </c>
      <c r="S36" t="s">
        <v>54</v>
      </c>
      <c r="W36" t="s">
        <v>55</v>
      </c>
      <c r="Y36" t="s">
        <v>54</v>
      </c>
      <c r="AA36" t="s">
        <v>55</v>
      </c>
      <c r="AE36" t="s">
        <v>55</v>
      </c>
      <c r="AG36" t="s">
        <v>54</v>
      </c>
      <c r="AI36" t="s">
        <v>55</v>
      </c>
      <c r="AK36" t="s">
        <v>55</v>
      </c>
      <c r="AM36" t="s">
        <v>55</v>
      </c>
      <c r="AO36" t="s">
        <v>55</v>
      </c>
      <c r="AQ36" t="s">
        <v>54</v>
      </c>
      <c r="AT36" t="s">
        <v>54</v>
      </c>
      <c r="AU36">
        <v>700</v>
      </c>
      <c r="AW36" t="s">
        <v>54</v>
      </c>
      <c r="BD36" t="s">
        <v>1638</v>
      </c>
      <c r="BG36" t="s">
        <v>1639</v>
      </c>
      <c r="BH36" t="s">
        <v>1640</v>
      </c>
      <c r="BJ36" s="3" t="str">
        <f>HYPERLINK("https://www.instagram.com/share/BADu_vvEdU","https://www.instagram.com/share/BADu_vvEdU")</f>
        <v>https://www.instagram.com/share/BADu_vvEdU</v>
      </c>
    </row>
    <row r="37" ht="25.5" customHeight="1" spans="1:62">
      <c r="A37" t="s">
        <v>1921</v>
      </c>
      <c r="B37" t="s">
        <v>1701</v>
      </c>
      <c r="C37" t="s">
        <v>1688</v>
      </c>
      <c r="D37" t="s">
        <v>1627</v>
      </c>
      <c r="F37" s="2"/>
      <c r="H37" t="s">
        <v>1663</v>
      </c>
      <c r="J37" t="s">
        <v>1644</v>
      </c>
      <c r="K37" s="3" t="str">
        <f>HYPERLINK("https://www.instagram.com/reel/DE2XdZCuIsO/?igsh=OXMybnYyNWgwM2xz","https://www.instagram.com/reel/DE2XdZCuIsO/?igsh=OXMybnYyNWgwM2xz")</f>
        <v>https://www.instagram.com/reel/DE2XdZCuIsO/?igsh=OXMybnYyNWgwM2xz</v>
      </c>
      <c r="L37" t="s">
        <v>1630</v>
      </c>
      <c r="N37" s="3" t="str">
        <f>HYPERLINK("https://app.hypeauditor.com/my-network/influencer/1629064/analytics/instagram/penlar.pc","https://app.hypeauditor.com/my-network/influencer/1629064/analytics/instagram/penlar.pc")</f>
        <v>https://app.hypeauditor.com/my-network/influencer/1629064/analytics/instagram/penlar.pc</v>
      </c>
      <c r="O37" s="3" t="str">
        <f>HYPERLINK("https://www.instagram.com/penlar.pc/reels/","https://www.instagram.com/penlar.pc/reels/")</f>
        <v>https://www.instagram.com/penlar.pc/reels/</v>
      </c>
      <c r="P37" t="s">
        <v>65</v>
      </c>
      <c r="Q37" t="s">
        <v>116</v>
      </c>
      <c r="R37" t="s">
        <v>1631</v>
      </c>
      <c r="S37" t="s">
        <v>54</v>
      </c>
      <c r="T37">
        <v>451000</v>
      </c>
      <c r="U37" t="s">
        <v>1412</v>
      </c>
      <c r="W37" t="s">
        <v>55</v>
      </c>
      <c r="Y37" t="s">
        <v>54</v>
      </c>
      <c r="AA37" t="s">
        <v>55</v>
      </c>
      <c r="AE37" t="s">
        <v>55</v>
      </c>
      <c r="AG37" t="s">
        <v>54</v>
      </c>
      <c r="AI37" t="s">
        <v>55</v>
      </c>
      <c r="AK37" t="s">
        <v>55</v>
      </c>
      <c r="AM37" t="s">
        <v>55</v>
      </c>
      <c r="AO37" t="s">
        <v>55</v>
      </c>
      <c r="AQ37" t="s">
        <v>54</v>
      </c>
      <c r="AR37">
        <v>70000</v>
      </c>
      <c r="AS37">
        <v>0.067</v>
      </c>
      <c r="AT37" t="s">
        <v>1922</v>
      </c>
      <c r="AU37">
        <v>680</v>
      </c>
      <c r="AW37" t="s">
        <v>1923</v>
      </c>
      <c r="AX37" t="s">
        <v>1924</v>
      </c>
      <c r="AY37" t="s">
        <v>1925</v>
      </c>
      <c r="AZ37" t="s">
        <v>1926</v>
      </c>
      <c r="BA37" t="s">
        <v>1927</v>
      </c>
      <c r="BD37" t="s">
        <v>1638</v>
      </c>
      <c r="BE37" t="s">
        <v>1926</v>
      </c>
      <c r="BG37" t="s">
        <v>1639</v>
      </c>
      <c r="BH37" t="s">
        <v>1640</v>
      </c>
      <c r="BJ37" s="3" t="str">
        <f>HYPERLINK("https://www.instagram.com/reel/DE2XdZCuIsO/?igsh=OXMybnYyNWgwM2xz","https://www.instagram.com/reel/DE2XdZCuIsO/?igsh=OXMybnYyNWgwM2xz")</f>
        <v>https://www.instagram.com/reel/DE2XdZCuIsO/?igsh=OXMybnYyNWgwM2xz</v>
      </c>
    </row>
    <row r="38" ht="25.5" customHeight="1" spans="1:62">
      <c r="A38" t="s">
        <v>1928</v>
      </c>
      <c r="B38" t="s">
        <v>1625</v>
      </c>
      <c r="C38" t="s">
        <v>1929</v>
      </c>
      <c r="D38" t="s">
        <v>1627</v>
      </c>
      <c r="F38" s="2"/>
      <c r="H38" t="s">
        <v>1930</v>
      </c>
      <c r="J38" t="s">
        <v>1725</v>
      </c>
      <c r="K38" s="3" t="str">
        <f>HYPERLINK("https://www.instagram.com/p/DFO6WKkiClW/","https://www.instagram.com/p/DFO6WKkiClW/")</f>
        <v>https://www.instagram.com/p/DFO6WKkiClW/</v>
      </c>
      <c r="L38" t="s">
        <v>1630</v>
      </c>
      <c r="N38" s="3" t="str">
        <f>HYPERLINK("https://app.hypeauditor.com/my-network/influencer/14100856/analytics/instagram/aprendeconvalerio","https://app.hypeauditor.com/my-network/influencer/14100856/analytics/instagram/aprendeconvalerio")</f>
        <v>https://app.hypeauditor.com/my-network/influencer/14100856/analytics/instagram/aprendeconvalerio</v>
      </c>
      <c r="O38" s="3"/>
      <c r="P38" t="s">
        <v>65</v>
      </c>
      <c r="Q38" t="s">
        <v>116</v>
      </c>
      <c r="R38" t="s">
        <v>1631</v>
      </c>
      <c r="S38" t="s">
        <v>54</v>
      </c>
      <c r="T38">
        <v>1400000</v>
      </c>
      <c r="U38" t="s">
        <v>1931</v>
      </c>
      <c r="W38" t="s">
        <v>55</v>
      </c>
      <c r="Y38" t="s">
        <v>54</v>
      </c>
      <c r="AA38" t="s">
        <v>55</v>
      </c>
      <c r="AE38" t="s">
        <v>55</v>
      </c>
      <c r="AG38" t="s">
        <v>54</v>
      </c>
      <c r="AI38" t="s">
        <v>55</v>
      </c>
      <c r="AK38" t="s">
        <v>55</v>
      </c>
      <c r="AM38" t="s">
        <v>55</v>
      </c>
      <c r="AO38" t="s">
        <v>55</v>
      </c>
      <c r="AQ38" t="s">
        <v>54</v>
      </c>
      <c r="AR38">
        <v>106100</v>
      </c>
      <c r="AS38">
        <v>0.0014</v>
      </c>
      <c r="AT38" t="s">
        <v>1932</v>
      </c>
      <c r="AU38">
        <v>650</v>
      </c>
      <c r="AW38" t="s">
        <v>1933</v>
      </c>
      <c r="AX38" t="s">
        <v>1934</v>
      </c>
      <c r="AY38" t="s">
        <v>1935</v>
      </c>
      <c r="AZ38" t="s">
        <v>1936</v>
      </c>
      <c r="BA38" t="s">
        <v>55</v>
      </c>
      <c r="BD38" t="s">
        <v>1638</v>
      </c>
      <c r="BE38" t="s">
        <v>1936</v>
      </c>
      <c r="BG38" t="s">
        <v>1639</v>
      </c>
      <c r="BH38" t="s">
        <v>1640</v>
      </c>
      <c r="BJ38" s="3" t="str">
        <f>HYPERLINK("https://www.instagram.com/p/DFO6WKkiClW/","https://www.instagram.com/p/DFO6WKkiClW/")</f>
        <v>https://www.instagram.com/p/DFO6WKkiClW/</v>
      </c>
    </row>
    <row r="39" ht="25.5" customHeight="1" spans="1:62">
      <c r="A39" t="s">
        <v>1937</v>
      </c>
      <c r="B39" t="s">
        <v>1830</v>
      </c>
      <c r="C39" t="s">
        <v>1938</v>
      </c>
      <c r="D39" t="s">
        <v>1627</v>
      </c>
      <c r="F39" s="2"/>
      <c r="H39" t="s">
        <v>1663</v>
      </c>
      <c r="J39" t="s">
        <v>1644</v>
      </c>
      <c r="K39" s="3" t="str">
        <f>HYPERLINK("https://vm.tiktok.com/ZNeK6svNm/","https://vm.tiktok.com/ZNeK6svNm/")</f>
        <v>https://vm.tiktok.com/ZNeK6svNm/</v>
      </c>
      <c r="L39" t="s">
        <v>1630</v>
      </c>
      <c r="N39" s="3"/>
      <c r="O39" s="3" t="str">
        <f>HYPERLINK("https://www.tiktok.com/@eloiljf?lang=en","https://www.tiktok.com/@eloiljf?lang=en")</f>
        <v>https://www.tiktok.com/@eloiljf?lang=en</v>
      </c>
      <c r="P39" t="s">
        <v>56</v>
      </c>
      <c r="Q39" t="s">
        <v>57</v>
      </c>
      <c r="R39" t="s">
        <v>1779</v>
      </c>
      <c r="S39" t="s">
        <v>54</v>
      </c>
      <c r="T39">
        <v>219800</v>
      </c>
      <c r="U39" t="s">
        <v>1939</v>
      </c>
      <c r="W39" t="s">
        <v>55</v>
      </c>
      <c r="Y39" t="s">
        <v>54</v>
      </c>
      <c r="AA39" t="s">
        <v>55</v>
      </c>
      <c r="AE39" t="s">
        <v>55</v>
      </c>
      <c r="AG39" t="s">
        <v>54</v>
      </c>
      <c r="AI39" t="s">
        <v>55</v>
      </c>
      <c r="AK39" t="s">
        <v>55</v>
      </c>
      <c r="AM39" t="s">
        <v>55</v>
      </c>
      <c r="AO39" t="s">
        <v>55</v>
      </c>
      <c r="AQ39" t="s">
        <v>54</v>
      </c>
      <c r="AR39">
        <v>150000</v>
      </c>
      <c r="AS39">
        <v>0.03</v>
      </c>
      <c r="AT39" t="s">
        <v>1940</v>
      </c>
      <c r="AU39">
        <v>650</v>
      </c>
      <c r="AW39" t="s">
        <v>1941</v>
      </c>
      <c r="AX39" t="s">
        <v>1456</v>
      </c>
      <c r="AY39" t="s">
        <v>1942</v>
      </c>
      <c r="AZ39" t="s">
        <v>1943</v>
      </c>
      <c r="BA39" t="s">
        <v>1944</v>
      </c>
      <c r="BD39" t="s">
        <v>1638</v>
      </c>
      <c r="BE39" t="s">
        <v>1943</v>
      </c>
      <c r="BG39" t="s">
        <v>1639</v>
      </c>
      <c r="BH39" t="s">
        <v>1640</v>
      </c>
      <c r="BJ39" s="3" t="str">
        <f>HYPERLINK("https://vm.tiktok.com/ZNeK6svNm/","https://vm.tiktok.com/ZNeK6svNm/")</f>
        <v>https://vm.tiktok.com/ZNeK6svNm/</v>
      </c>
    </row>
    <row r="40" ht="25.5" customHeight="1" spans="1:62">
      <c r="A40" t="s">
        <v>803</v>
      </c>
      <c r="B40" t="s">
        <v>1638</v>
      </c>
      <c r="C40" t="s">
        <v>1945</v>
      </c>
      <c r="D40" t="s">
        <v>1627</v>
      </c>
      <c r="F40" s="2">
        <v>45673</v>
      </c>
      <c r="I40" t="s">
        <v>1946</v>
      </c>
      <c r="J40" t="s">
        <v>255</v>
      </c>
      <c r="K40" s="3" t="str">
        <f>HYPERLINK("https://www.instagram.com/reel/DE4-5u1x5JH/","https://www.instagram.com/reel/DE4-5u1x5JH/")</f>
        <v>https://www.instagram.com/reel/DE4-5u1x5JH/</v>
      </c>
      <c r="L40" t="s">
        <v>1630</v>
      </c>
      <c r="N40" s="3"/>
      <c r="O40" s="3"/>
      <c r="P40" t="s">
        <v>65</v>
      </c>
      <c r="Q40" t="s">
        <v>116</v>
      </c>
      <c r="R40" t="s">
        <v>1652</v>
      </c>
      <c r="S40" t="s">
        <v>54</v>
      </c>
      <c r="T40">
        <v>114000</v>
      </c>
      <c r="U40" t="s">
        <v>1343</v>
      </c>
      <c r="W40" t="s">
        <v>55</v>
      </c>
      <c r="Y40" t="s">
        <v>54</v>
      </c>
      <c r="AA40" t="s">
        <v>55</v>
      </c>
      <c r="AE40" t="s">
        <v>55</v>
      </c>
      <c r="AG40" t="s">
        <v>54</v>
      </c>
      <c r="AI40" t="s">
        <v>55</v>
      </c>
      <c r="AK40" t="s">
        <v>55</v>
      </c>
      <c r="AM40" t="s">
        <v>55</v>
      </c>
      <c r="AO40" t="s">
        <v>55</v>
      </c>
      <c r="AQ40" t="s">
        <v>54</v>
      </c>
      <c r="AR40">
        <v>50000</v>
      </c>
      <c r="AS40">
        <v>0.05</v>
      </c>
      <c r="AT40" t="s">
        <v>1947</v>
      </c>
      <c r="AU40">
        <v>650</v>
      </c>
      <c r="AW40" t="s">
        <v>1948</v>
      </c>
      <c r="AX40" t="s">
        <v>1376</v>
      </c>
      <c r="AY40" t="s">
        <v>1718</v>
      </c>
      <c r="AZ40" t="s">
        <v>1949</v>
      </c>
      <c r="BA40" t="s">
        <v>1950</v>
      </c>
      <c r="BD40" t="s">
        <v>1638</v>
      </c>
      <c r="BE40" t="s">
        <v>1949</v>
      </c>
      <c r="BG40" t="s">
        <v>1639</v>
      </c>
      <c r="BH40" t="s">
        <v>1640</v>
      </c>
      <c r="BJ40" s="3" t="str">
        <f>HYPERLINK("https://www.instagram.com/reel/DE4-5u1x5JH/","https://www.instagram.com/reel/DE4-5u1x5JH/")</f>
        <v>https://www.instagram.com/reel/DE4-5u1x5JH/</v>
      </c>
    </row>
    <row r="41" ht="25.5" customHeight="1" spans="1:62">
      <c r="A41" t="s">
        <v>1898</v>
      </c>
      <c r="B41" t="s">
        <v>1625</v>
      </c>
      <c r="C41" t="s">
        <v>1778</v>
      </c>
      <c r="D41" t="s">
        <v>1627</v>
      </c>
      <c r="F41" s="2">
        <v>45665</v>
      </c>
      <c r="H41" t="s">
        <v>1663</v>
      </c>
      <c r="J41" t="s">
        <v>1644</v>
      </c>
      <c r="K41" s="3" t="str">
        <f>HYPERLINK("https://www.instagram.com/p/DEkkASSO-gS/","https://www.instagram.com/p/DEkkASSO-gS/")</f>
        <v>https://www.instagram.com/p/DEkkASSO-gS/</v>
      </c>
      <c r="L41" t="s">
        <v>1630</v>
      </c>
      <c r="N41" s="3" t="str">
        <f>HYPERLINK("https://app.hypeauditor.com/my-network/influencer/14678391/analytics/tiktok/gabzer.mp4","https://app.hypeauditor.com/my-network/influencer/14678391/analytics/tiktok/gabzer.mp4")</f>
        <v>https://app.hypeauditor.com/my-network/influencer/14678391/analytics/tiktok/gabzer.mp4</v>
      </c>
      <c r="O41" s="3" t="str">
        <f>HYPERLINK("https://www.instagram.com/gabzer.mp4/","https://www.instagram.com/gabzer.mp4/")</f>
        <v>https://www.instagram.com/gabzer.mp4/</v>
      </c>
      <c r="P41" t="s">
        <v>65</v>
      </c>
      <c r="Q41" t="s">
        <v>116</v>
      </c>
      <c r="R41" t="s">
        <v>1779</v>
      </c>
      <c r="S41" t="s">
        <v>54</v>
      </c>
      <c r="T41">
        <v>361000</v>
      </c>
      <c r="U41" t="s">
        <v>1951</v>
      </c>
      <c r="W41" t="s">
        <v>55</v>
      </c>
      <c r="Y41" t="s">
        <v>54</v>
      </c>
      <c r="AA41" t="s">
        <v>55</v>
      </c>
      <c r="AE41" t="s">
        <v>55</v>
      </c>
      <c r="AG41" t="s">
        <v>54</v>
      </c>
      <c r="AI41" t="s">
        <v>55</v>
      </c>
      <c r="AK41" t="s">
        <v>55</v>
      </c>
      <c r="AM41" t="s">
        <v>55</v>
      </c>
      <c r="AO41" t="s">
        <v>55</v>
      </c>
      <c r="AQ41" t="s">
        <v>54</v>
      </c>
      <c r="AR41">
        <v>100000</v>
      </c>
      <c r="AS41">
        <v>0.046</v>
      </c>
      <c r="AT41" t="s">
        <v>1952</v>
      </c>
      <c r="AU41">
        <v>600</v>
      </c>
      <c r="AW41" t="s">
        <v>1953</v>
      </c>
      <c r="AX41" t="s">
        <v>1410</v>
      </c>
      <c r="AY41" t="s">
        <v>1411</v>
      </c>
      <c r="AZ41" t="s">
        <v>1954</v>
      </c>
      <c r="BA41" t="s">
        <v>1955</v>
      </c>
      <c r="BD41" t="s">
        <v>1956</v>
      </c>
      <c r="BE41" t="s">
        <v>1954</v>
      </c>
      <c r="BG41" t="s">
        <v>1639</v>
      </c>
      <c r="BH41" t="s">
        <v>1640</v>
      </c>
      <c r="BI41" t="s">
        <v>1786</v>
      </c>
      <c r="BJ41" s="3" t="str">
        <f>HYPERLINK("https://www.instagram.com/p/DEkkASSO-gS/","https://www.instagram.com/p/DEkkASSO-gS/")</f>
        <v>https://www.instagram.com/p/DEkkASSO-gS/</v>
      </c>
    </row>
    <row r="42" ht="25.5" customHeight="1" spans="1:62">
      <c r="A42" t="s">
        <v>1957</v>
      </c>
      <c r="B42" t="s">
        <v>1701</v>
      </c>
      <c r="C42" t="s">
        <v>1688</v>
      </c>
      <c r="D42" t="s">
        <v>1627</v>
      </c>
      <c r="F42" s="2">
        <v>45670</v>
      </c>
      <c r="H42" t="s">
        <v>1663</v>
      </c>
      <c r="J42" t="s">
        <v>1725</v>
      </c>
      <c r="K42" s="3" t="str">
        <f>HYPERLINK("https://www.instagram.com/p/DEw067ez1jR/","https://www.instagram.com/p/DEw067ez1jR/")</f>
        <v>https://www.instagram.com/p/DEw067ez1jR/</v>
      </c>
      <c r="L42" t="s">
        <v>1630</v>
      </c>
      <c r="N42" s="3" t="str">
        <f>HYPERLINK("https://app.hypeauditor.com/my-network/influencer/4116861/analytics/instagram/johntooltw","https://app.hypeauditor.com/my-network/influencer/4116861/analytics/instagram/johntooltw")</f>
        <v>https://app.hypeauditor.com/my-network/influencer/4116861/analytics/instagram/johntooltw</v>
      </c>
      <c r="O42" s="3" t="str">
        <f>HYPERLINK("https://www.instagram.com/johntooltw/reels/","https://www.instagram.com/johntooltw/reels/")</f>
        <v>https://www.instagram.com/johntooltw/reels/</v>
      </c>
      <c r="P42" t="s">
        <v>65</v>
      </c>
      <c r="Q42" t="s">
        <v>116</v>
      </c>
      <c r="R42" t="s">
        <v>97</v>
      </c>
      <c r="S42" t="s">
        <v>54</v>
      </c>
      <c r="T42">
        <v>165700</v>
      </c>
      <c r="U42" t="s">
        <v>1098</v>
      </c>
      <c r="W42" t="s">
        <v>55</v>
      </c>
      <c r="Y42" t="s">
        <v>54</v>
      </c>
      <c r="AA42" t="s">
        <v>55</v>
      </c>
      <c r="AE42" t="s">
        <v>55</v>
      </c>
      <c r="AG42" t="s">
        <v>54</v>
      </c>
      <c r="AI42" t="s">
        <v>55</v>
      </c>
      <c r="AK42" t="s">
        <v>55</v>
      </c>
      <c r="AM42" t="s">
        <v>55</v>
      </c>
      <c r="AO42" t="s">
        <v>55</v>
      </c>
      <c r="AQ42" t="s">
        <v>54</v>
      </c>
      <c r="AR42">
        <v>80600</v>
      </c>
      <c r="AS42">
        <v>0.043</v>
      </c>
      <c r="AT42" t="s">
        <v>1958</v>
      </c>
      <c r="AU42">
        <v>600</v>
      </c>
      <c r="AW42" t="s">
        <v>1959</v>
      </c>
      <c r="AX42" t="s">
        <v>1960</v>
      </c>
      <c r="AY42" t="s">
        <v>1961</v>
      </c>
      <c r="AZ42" t="s">
        <v>1962</v>
      </c>
      <c r="BA42" t="s">
        <v>1963</v>
      </c>
      <c r="BD42" t="s">
        <v>1638</v>
      </c>
      <c r="BE42" t="s">
        <v>1962</v>
      </c>
      <c r="BG42" t="s">
        <v>1639</v>
      </c>
      <c r="BH42" t="s">
        <v>1640</v>
      </c>
      <c r="BJ42" s="3" t="str">
        <f>HYPERLINK("https://www.instagram.com/p/DEw067ez1jR/","https://www.instagram.com/p/DEw067ez1jR/")</f>
        <v>https://www.instagram.com/p/DEw067ez1jR/</v>
      </c>
    </row>
    <row r="43" ht="25.5" customHeight="1" spans="1:62">
      <c r="A43" t="s">
        <v>1964</v>
      </c>
      <c r="B43" t="s">
        <v>1625</v>
      </c>
      <c r="C43" t="s">
        <v>1965</v>
      </c>
      <c r="D43" t="s">
        <v>1769</v>
      </c>
      <c r="F43" s="2">
        <v>45679</v>
      </c>
      <c r="H43" t="s">
        <v>1691</v>
      </c>
      <c r="I43" t="s">
        <v>1966</v>
      </c>
      <c r="J43" t="s">
        <v>1629</v>
      </c>
      <c r="K43" s="3" t="str">
        <f>HYPERLINK("https://www.tiktok.com/@vanyblue_/video/7462446862612614405","https://www.tiktok.com/@vanyblue_/video/7462446862612614405")</f>
        <v>https://www.tiktok.com/@vanyblue_/video/7462446862612614405</v>
      </c>
      <c r="L43" t="s">
        <v>1630</v>
      </c>
      <c r="N43" s="3" t="str">
        <f>HYPERLINK("https://app.hypeauditor.com/my-network/influencer/32300066/analytics/tiktok/vanyblue_","https://app.hypeauditor.com/my-network/influencer/32300066/analytics/tiktok/vanyblue_")</f>
        <v>https://app.hypeauditor.com/my-network/influencer/32300066/analytics/tiktok/vanyblue_</v>
      </c>
      <c r="O43" s="3"/>
      <c r="P43" t="s">
        <v>56</v>
      </c>
      <c r="Q43" t="s">
        <v>57</v>
      </c>
      <c r="R43" t="s">
        <v>1652</v>
      </c>
      <c r="S43" t="s">
        <v>54</v>
      </c>
      <c r="T43">
        <v>967000</v>
      </c>
      <c r="U43" t="s">
        <v>1967</v>
      </c>
      <c r="W43" t="s">
        <v>55</v>
      </c>
      <c r="Y43" t="s">
        <v>54</v>
      </c>
      <c r="AA43" t="s">
        <v>55</v>
      </c>
      <c r="AE43" t="s">
        <v>55</v>
      </c>
      <c r="AG43" t="s">
        <v>54</v>
      </c>
      <c r="AI43" t="s">
        <v>55</v>
      </c>
      <c r="AK43" t="s">
        <v>55</v>
      </c>
      <c r="AM43" t="s">
        <v>55</v>
      </c>
      <c r="AO43" t="s">
        <v>55</v>
      </c>
      <c r="AQ43" t="s">
        <v>54</v>
      </c>
      <c r="AR43">
        <v>130000</v>
      </c>
      <c r="AS43">
        <v>0.041</v>
      </c>
      <c r="AT43" t="s">
        <v>1968</v>
      </c>
      <c r="AU43">
        <v>600</v>
      </c>
      <c r="AW43" t="s">
        <v>1969</v>
      </c>
      <c r="AX43" t="s">
        <v>1970</v>
      </c>
      <c r="AY43" t="s">
        <v>1971</v>
      </c>
      <c r="AZ43" t="s">
        <v>1782</v>
      </c>
      <c r="BA43" t="s">
        <v>1972</v>
      </c>
      <c r="BD43" t="s">
        <v>1638</v>
      </c>
      <c r="BE43" t="s">
        <v>1782</v>
      </c>
      <c r="BG43" t="s">
        <v>1639</v>
      </c>
      <c r="BH43" t="s">
        <v>1640</v>
      </c>
      <c r="BJ43" s="3" t="str">
        <f>HYPERLINK("https://www.tiktok.com/@vanyblue_/video/7462446862612614405","https://www.tiktok.com/@vanyblue_/video/7462446862612614405")</f>
        <v>https://www.tiktok.com/@vanyblue_/video/7462446862612614405</v>
      </c>
    </row>
    <row r="44" ht="25.5" customHeight="1" spans="1:62">
      <c r="A44" t="s">
        <v>1973</v>
      </c>
      <c r="B44" t="s">
        <v>1830</v>
      </c>
      <c r="C44" t="s">
        <v>1974</v>
      </c>
      <c r="D44" t="s">
        <v>1627</v>
      </c>
      <c r="F44" s="2"/>
      <c r="H44" t="s">
        <v>1643</v>
      </c>
      <c r="J44" t="s">
        <v>1644</v>
      </c>
      <c r="K44" s="3" t="str">
        <f>HYPERLINK("https://www.instagram.com/reel/DE7pZvPo6Ci/?igsh=MTI4aWc2ZW5mc3J5ag==","https://www.instagram.com/reel/DE7pZvPo6Ci/?igsh=MTI4aWc2ZW5mc3J5ag==")</f>
        <v>https://www.instagram.com/reel/DE7pZvPo6Ci/?igsh=MTI4aWc2ZW5mc3J5ag==</v>
      </c>
      <c r="L44" t="s">
        <v>1630</v>
      </c>
      <c r="N44" s="3" t="str">
        <f>HYPERLINK("https://app.hypeauditor.com/my-network/influencer/23642670/analytics/instagram/luigis.tips","https://app.hypeauditor.com/my-network/influencer/23642670/analytics/instagram/luigis.tips")</f>
        <v>https://app.hypeauditor.com/my-network/influencer/23642670/analytics/instagram/luigis.tips</v>
      </c>
      <c r="O44" s="3" t="str">
        <f>HYPERLINK("https://www.instagram.com/luigis.tips/","https://www.instagram.com/luigis.tips/")</f>
        <v>https://www.instagram.com/luigis.tips/</v>
      </c>
      <c r="P44" t="s">
        <v>65</v>
      </c>
      <c r="Q44" t="s">
        <v>116</v>
      </c>
      <c r="R44" t="s">
        <v>1703</v>
      </c>
      <c r="S44" t="s">
        <v>54</v>
      </c>
      <c r="T44">
        <v>555200</v>
      </c>
      <c r="U44" t="s">
        <v>1975</v>
      </c>
      <c r="W44" t="s">
        <v>55</v>
      </c>
      <c r="Y44" t="s">
        <v>54</v>
      </c>
      <c r="AA44" t="s">
        <v>55</v>
      </c>
      <c r="AE44" t="s">
        <v>55</v>
      </c>
      <c r="AG44" t="s">
        <v>54</v>
      </c>
      <c r="AI44" t="s">
        <v>55</v>
      </c>
      <c r="AK44" t="s">
        <v>55</v>
      </c>
      <c r="AM44" t="s">
        <v>55</v>
      </c>
      <c r="AO44" t="s">
        <v>55</v>
      </c>
      <c r="AQ44" t="s">
        <v>54</v>
      </c>
      <c r="AR44">
        <v>100000</v>
      </c>
      <c r="AS44">
        <v>0.0081</v>
      </c>
      <c r="AT44" t="s">
        <v>1976</v>
      </c>
      <c r="AU44">
        <v>600</v>
      </c>
      <c r="AW44" t="s">
        <v>1977</v>
      </c>
      <c r="AX44" t="s">
        <v>1410</v>
      </c>
      <c r="AY44" t="s">
        <v>1411</v>
      </c>
      <c r="AZ44" t="s">
        <v>1876</v>
      </c>
      <c r="BA44" t="s">
        <v>1978</v>
      </c>
      <c r="BD44" t="s">
        <v>1638</v>
      </c>
      <c r="BE44" t="s">
        <v>1876</v>
      </c>
      <c r="BG44" t="s">
        <v>1639</v>
      </c>
      <c r="BH44" t="s">
        <v>1640</v>
      </c>
      <c r="BJ44" s="3" t="str">
        <f>HYPERLINK("https://www.instagram.com/reel/DE7pZvPo6Ci/?igsh=MTI4aWc2ZW5mc3J5ag==","https://www.instagram.com/reel/DE7pZvPo6Ci/?igsh=MTI4aWc2ZW5mc3J5ag==")</f>
        <v>https://www.instagram.com/reel/DE7pZvPo6Ci/?igsh=MTI4aWc2ZW5mc3J5ag==</v>
      </c>
    </row>
    <row r="45" ht="25.5" customHeight="1" spans="2:62">
      <c r="B45" t="s">
        <v>1625</v>
      </c>
      <c r="F45" s="2"/>
      <c r="J45" t="s">
        <v>56</v>
      </c>
      <c r="K45" s="3" t="str">
        <f>HYPERLINK("https://www.tiktok.com/@infinitetech_/video/7460798963143183634","https://www.tiktok.com/@infinitetech_/video/7460798963143183634")</f>
        <v>https://www.tiktok.com/@infinitetech_/video/7460798963143183634</v>
      </c>
      <c r="L45" t="s">
        <v>1630</v>
      </c>
      <c r="N45" s="3"/>
      <c r="O45" s="3"/>
      <c r="P45" t="s">
        <v>56</v>
      </c>
      <c r="Q45" t="s">
        <v>57</v>
      </c>
      <c r="R45" t="s">
        <v>1913</v>
      </c>
      <c r="S45" t="s">
        <v>54</v>
      </c>
      <c r="W45" t="s">
        <v>55</v>
      </c>
      <c r="Y45" t="s">
        <v>54</v>
      </c>
      <c r="AA45" t="s">
        <v>55</v>
      </c>
      <c r="AE45" t="s">
        <v>55</v>
      </c>
      <c r="AG45" t="s">
        <v>54</v>
      </c>
      <c r="AI45" t="s">
        <v>55</v>
      </c>
      <c r="AK45" t="s">
        <v>55</v>
      </c>
      <c r="AM45" t="s">
        <v>55</v>
      </c>
      <c r="AO45" t="s">
        <v>55</v>
      </c>
      <c r="AQ45" t="s">
        <v>54</v>
      </c>
      <c r="AT45" t="s">
        <v>54</v>
      </c>
      <c r="AU45">
        <v>600</v>
      </c>
      <c r="AW45" t="s">
        <v>54</v>
      </c>
      <c r="BD45" t="s">
        <v>1638</v>
      </c>
      <c r="BG45" t="s">
        <v>1639</v>
      </c>
      <c r="BH45" t="s">
        <v>1640</v>
      </c>
      <c r="BI45" t="s">
        <v>1979</v>
      </c>
      <c r="BJ45" s="3" t="str">
        <f>HYPERLINK("https://www.tiktok.com/@infinitetech_/video/7460798963143183634","https://www.tiktok.com/@infinitetech_/video/7460798963143183634")</f>
        <v>https://www.tiktok.com/@infinitetech_/video/7460798963143183634</v>
      </c>
    </row>
    <row r="46" ht="25.5" customHeight="1" spans="2:62">
      <c r="B46" t="s">
        <v>1625</v>
      </c>
      <c r="F46" s="2"/>
      <c r="J46" t="s">
        <v>1644</v>
      </c>
      <c r="K46" s="3" t="str">
        <f>HYPERLINK("https://www.tiktok.com/@incroillable/video/7465637034770615584","https://www.tiktok.com/@incroillable/video/7465637034770615584")</f>
        <v>https://www.tiktok.com/@incroillable/video/7465637034770615584</v>
      </c>
      <c r="L46" t="s">
        <v>1630</v>
      </c>
      <c r="N46" s="3"/>
      <c r="O46" s="3" t="str">
        <f>HYPERLINK("https://www.tiktok.com/@incroillable","https://www.tiktok.com/@incroillable")</f>
        <v>https://www.tiktok.com/@incroillable</v>
      </c>
      <c r="P46" t="s">
        <v>56</v>
      </c>
      <c r="Q46" t="s">
        <v>57</v>
      </c>
      <c r="R46" t="s">
        <v>1652</v>
      </c>
      <c r="S46" t="s">
        <v>54</v>
      </c>
      <c r="T46">
        <v>57700</v>
      </c>
      <c r="U46" t="s">
        <v>55</v>
      </c>
      <c r="W46" t="s">
        <v>55</v>
      </c>
      <c r="Y46" t="s">
        <v>54</v>
      </c>
      <c r="AA46" t="s">
        <v>55</v>
      </c>
      <c r="AE46" t="s">
        <v>55</v>
      </c>
      <c r="AG46" t="s">
        <v>54</v>
      </c>
      <c r="AI46" t="s">
        <v>55</v>
      </c>
      <c r="AK46" t="s">
        <v>55</v>
      </c>
      <c r="AM46" t="s">
        <v>55</v>
      </c>
      <c r="AO46" t="s">
        <v>55</v>
      </c>
      <c r="AQ46" t="s">
        <v>54</v>
      </c>
      <c r="AR46">
        <v>100000</v>
      </c>
      <c r="AS46">
        <v>0.05</v>
      </c>
      <c r="AT46" t="s">
        <v>1980</v>
      </c>
      <c r="AU46">
        <v>600</v>
      </c>
      <c r="AW46" t="s">
        <v>1981</v>
      </c>
      <c r="AX46" t="s">
        <v>1410</v>
      </c>
      <c r="AY46" t="s">
        <v>1411</v>
      </c>
      <c r="AZ46" t="s">
        <v>1982</v>
      </c>
      <c r="BA46" t="s">
        <v>1983</v>
      </c>
      <c r="BD46" t="s">
        <v>1638</v>
      </c>
      <c r="BE46" t="s">
        <v>1982</v>
      </c>
      <c r="BG46" t="s">
        <v>1639</v>
      </c>
      <c r="BH46" t="s">
        <v>1640</v>
      </c>
      <c r="BI46" t="s">
        <v>1984</v>
      </c>
      <c r="BJ46" s="3" t="str">
        <f>HYPERLINK("https://www.tiktok.com/@incroillable/video/7465637034770615584","https://www.tiktok.com/@incroillable/video/7465637034770615584")</f>
        <v>https://www.tiktok.com/@incroillable/video/7465637034770615584</v>
      </c>
    </row>
    <row r="47" ht="25.5" customHeight="1" spans="1:62">
      <c r="A47" t="s">
        <v>764</v>
      </c>
      <c r="B47" t="s">
        <v>1701</v>
      </c>
      <c r="C47" t="s">
        <v>1690</v>
      </c>
      <c r="D47" t="s">
        <v>1627</v>
      </c>
      <c r="F47" s="2"/>
      <c r="G47" t="s">
        <v>1985</v>
      </c>
      <c r="H47" t="s">
        <v>1986</v>
      </c>
      <c r="I47" t="s">
        <v>1987</v>
      </c>
      <c r="J47" t="s">
        <v>1725</v>
      </c>
      <c r="K47" s="3" t="str">
        <f>HYPERLINK("https://www.tiktok.com/@minute/video/7457582663252118815","https://www.tiktok.com/@minute/video/7457582663252118815")</f>
        <v>https://www.tiktok.com/@minute/video/7457582663252118815</v>
      </c>
      <c r="L47" t="s">
        <v>1630</v>
      </c>
      <c r="N47" s="3" t="str">
        <f>HYPERLINK("https://app.hypeauditor.com/my-network/influencer/analytics/tiktok/minute?from=suggester","https://app.hypeauditor.com/my-network/influencer/analytics/tiktok/minute?from=suggester")</f>
        <v>https://app.hypeauditor.com/my-network/influencer/analytics/tiktok/minute?from=suggester</v>
      </c>
      <c r="O47" s="3" t="str">
        <f>HYPERLINK("https://www.tiktok.com/@minute","https://www.tiktok.com/@minute")</f>
        <v>https://www.tiktok.com/@minute</v>
      </c>
      <c r="P47" t="s">
        <v>56</v>
      </c>
      <c r="Q47" t="s">
        <v>57</v>
      </c>
      <c r="R47" t="s">
        <v>1631</v>
      </c>
      <c r="S47" t="s">
        <v>54</v>
      </c>
      <c r="T47">
        <v>193800</v>
      </c>
      <c r="U47" t="s">
        <v>765</v>
      </c>
      <c r="W47" t="s">
        <v>55</v>
      </c>
      <c r="Y47" t="s">
        <v>54</v>
      </c>
      <c r="AA47" t="s">
        <v>55</v>
      </c>
      <c r="AB47" t="s">
        <v>1666</v>
      </c>
      <c r="AC47" t="s">
        <v>59</v>
      </c>
      <c r="AE47" t="s">
        <v>55</v>
      </c>
      <c r="AG47" t="s">
        <v>54</v>
      </c>
      <c r="AI47" t="s">
        <v>55</v>
      </c>
      <c r="AK47" t="s">
        <v>55</v>
      </c>
      <c r="AM47" t="s">
        <v>55</v>
      </c>
      <c r="AO47" t="s">
        <v>55</v>
      </c>
      <c r="AQ47" t="s">
        <v>54</v>
      </c>
      <c r="AR47">
        <v>99700</v>
      </c>
      <c r="AS47">
        <v>0.058</v>
      </c>
      <c r="AT47" t="s">
        <v>1988</v>
      </c>
      <c r="AU47">
        <v>550</v>
      </c>
      <c r="AW47" t="s">
        <v>1989</v>
      </c>
      <c r="AX47" t="s">
        <v>1990</v>
      </c>
      <c r="AY47" t="s">
        <v>1991</v>
      </c>
      <c r="AZ47" t="s">
        <v>1992</v>
      </c>
      <c r="BA47" t="s">
        <v>1993</v>
      </c>
      <c r="BD47" t="s">
        <v>1638</v>
      </c>
      <c r="BE47" t="s">
        <v>1992</v>
      </c>
      <c r="BG47" t="s">
        <v>1639</v>
      </c>
      <c r="BH47" t="s">
        <v>1640</v>
      </c>
      <c r="BJ47" s="3" t="str">
        <f>HYPERLINK("https://www.tiktok.com/@minute/video/7457582663252118815","https://www.tiktok.com/@minute/video/7457582663252118815")</f>
        <v>https://www.tiktok.com/@minute/video/7457582663252118815</v>
      </c>
    </row>
    <row r="48" ht="25.5" customHeight="1" spans="1:62">
      <c r="A48" t="s">
        <v>1994</v>
      </c>
      <c r="B48" t="s">
        <v>1625</v>
      </c>
      <c r="C48" t="s">
        <v>1995</v>
      </c>
      <c r="F48" s="2"/>
      <c r="H48" t="s">
        <v>1996</v>
      </c>
      <c r="I48" t="s">
        <v>1997</v>
      </c>
      <c r="J48" t="s">
        <v>317</v>
      </c>
      <c r="K48" s="3"/>
      <c r="L48" t="s">
        <v>1645</v>
      </c>
      <c r="N48" s="3" t="str">
        <f>HYPERLINK("https://app.hypeauditor.com/my-network/influencer/7947591/analytics/instagram/coffeemlk","https://app.hypeauditor.com/my-network/influencer/7947591/analytics/instagram/coffeemlk")</f>
        <v>https://app.hypeauditor.com/my-network/influencer/7947591/analytics/instagram/coffeemlk</v>
      </c>
      <c r="O48" s="3"/>
      <c r="P48" t="s">
        <v>65</v>
      </c>
      <c r="Q48" t="s">
        <v>116</v>
      </c>
      <c r="S48" t="s">
        <v>54</v>
      </c>
      <c r="T48">
        <v>229300</v>
      </c>
      <c r="U48" t="s">
        <v>1998</v>
      </c>
      <c r="W48" t="s">
        <v>55</v>
      </c>
      <c r="Y48" t="s">
        <v>54</v>
      </c>
      <c r="AA48" t="s">
        <v>55</v>
      </c>
      <c r="AE48" t="s">
        <v>55</v>
      </c>
      <c r="AG48" t="s">
        <v>54</v>
      </c>
      <c r="AI48" t="s">
        <v>55</v>
      </c>
      <c r="AK48" t="s">
        <v>55</v>
      </c>
      <c r="AM48" t="s">
        <v>55</v>
      </c>
      <c r="AO48" t="s">
        <v>55</v>
      </c>
      <c r="AQ48" t="s">
        <v>54</v>
      </c>
      <c r="AR48">
        <v>80000</v>
      </c>
      <c r="AS48">
        <v>0.0595</v>
      </c>
      <c r="AT48" t="s">
        <v>1999</v>
      </c>
      <c r="AU48">
        <v>537</v>
      </c>
      <c r="AW48" t="s">
        <v>2000</v>
      </c>
      <c r="AX48" t="s">
        <v>2001</v>
      </c>
      <c r="AY48" t="s">
        <v>2002</v>
      </c>
      <c r="AZ48" t="s">
        <v>2003</v>
      </c>
      <c r="BA48" t="s">
        <v>2004</v>
      </c>
      <c r="BD48" t="s">
        <v>1956</v>
      </c>
      <c r="BE48" t="s">
        <v>2003</v>
      </c>
      <c r="BG48" t="s">
        <v>1639</v>
      </c>
      <c r="BH48" t="s">
        <v>1640</v>
      </c>
      <c r="BJ48" s="3"/>
    </row>
    <row r="49" ht="25.5" customHeight="1" spans="1:62">
      <c r="A49" t="s">
        <v>2005</v>
      </c>
      <c r="B49" t="s">
        <v>1625</v>
      </c>
      <c r="C49" t="s">
        <v>2006</v>
      </c>
      <c r="D49" t="s">
        <v>1627</v>
      </c>
      <c r="F49" s="2"/>
      <c r="G49" t="s">
        <v>2007</v>
      </c>
      <c r="H49" t="s">
        <v>1806</v>
      </c>
      <c r="I49" t="s">
        <v>2008</v>
      </c>
      <c r="J49" t="s">
        <v>1725</v>
      </c>
      <c r="K49" s="3" t="str">
        <f>HYPERLINK("https://www.instagram.com/p/DE5vdi9o3jU/","https://www.instagram.com/p/DE5vdi9o3jU/")</f>
        <v>https://www.instagram.com/p/DE5vdi9o3jU/</v>
      </c>
      <c r="L49" t="s">
        <v>1630</v>
      </c>
      <c r="M49" t="s">
        <v>2009</v>
      </c>
      <c r="N49" s="3" t="str">
        <f>HYPERLINK("https://app.hypeauditor.com/my-network/influencer/6895539/analytics/instagram/thetechbadgerr","https://app.hypeauditor.com/my-network/influencer/6895539/analytics/instagram/thetechbadgerr")</f>
        <v>https://app.hypeauditor.com/my-network/influencer/6895539/analytics/instagram/thetechbadgerr</v>
      </c>
      <c r="O49" s="3" t="str">
        <f>HYPERLINK("https://www.instagram.com/thetechbadgerr/","https://www.instagram.com/thetechbadgerr/")</f>
        <v>https://www.instagram.com/thetechbadgerr/</v>
      </c>
      <c r="P49" t="s">
        <v>65</v>
      </c>
      <c r="Q49" t="s">
        <v>116</v>
      </c>
      <c r="R49" t="s">
        <v>1631</v>
      </c>
      <c r="S49" t="s">
        <v>54</v>
      </c>
      <c r="T49">
        <v>556000</v>
      </c>
      <c r="U49" t="s">
        <v>2010</v>
      </c>
      <c r="V49">
        <v>0.39</v>
      </c>
      <c r="W49" t="s">
        <v>2011</v>
      </c>
      <c r="X49" t="s">
        <v>1739</v>
      </c>
      <c r="Y49" t="s">
        <v>1740</v>
      </c>
      <c r="Z49">
        <v>0.0833</v>
      </c>
      <c r="AA49" t="s">
        <v>2012</v>
      </c>
      <c r="AB49" t="s">
        <v>1666</v>
      </c>
      <c r="AC49" t="s">
        <v>59</v>
      </c>
      <c r="AD49">
        <v>0.763</v>
      </c>
      <c r="AE49" t="s">
        <v>2013</v>
      </c>
      <c r="AF49" t="s">
        <v>1668</v>
      </c>
      <c r="AG49" t="s">
        <v>59</v>
      </c>
      <c r="AH49">
        <v>0.5634</v>
      </c>
      <c r="AI49" t="s">
        <v>2014</v>
      </c>
      <c r="AJ49">
        <v>0.655</v>
      </c>
      <c r="AK49" t="s">
        <v>2015</v>
      </c>
      <c r="AL49">
        <v>0.56</v>
      </c>
      <c r="AM49" t="s">
        <v>2016</v>
      </c>
      <c r="AN49">
        <v>0.8131</v>
      </c>
      <c r="AO49" t="s">
        <v>2017</v>
      </c>
      <c r="AP49" t="s">
        <v>1668</v>
      </c>
      <c r="AQ49" t="s">
        <v>59</v>
      </c>
      <c r="AR49">
        <v>121700</v>
      </c>
      <c r="AS49">
        <v>0.013</v>
      </c>
      <c r="AT49" t="s">
        <v>2018</v>
      </c>
      <c r="AU49">
        <v>500</v>
      </c>
      <c r="AW49" t="s">
        <v>2019</v>
      </c>
      <c r="AX49" t="s">
        <v>2020</v>
      </c>
      <c r="AY49" t="s">
        <v>2021</v>
      </c>
      <c r="AZ49" t="s">
        <v>1794</v>
      </c>
      <c r="BA49" t="s">
        <v>2022</v>
      </c>
      <c r="BD49" t="s">
        <v>1638</v>
      </c>
      <c r="BE49" t="s">
        <v>1794</v>
      </c>
      <c r="BG49" t="s">
        <v>1639</v>
      </c>
      <c r="BH49" t="s">
        <v>1640</v>
      </c>
      <c r="BJ49" s="3" t="str">
        <f>HYPERLINK("https://www.instagram.com/p/DE5vdi9o3jU/","https://www.instagram.com/p/DE5vdi9o3jU/")</f>
        <v>https://www.instagram.com/p/DE5vdi9o3jU/</v>
      </c>
    </row>
    <row r="50" ht="25.5" customHeight="1" spans="1:62">
      <c r="A50" t="s">
        <v>2023</v>
      </c>
      <c r="B50" t="s">
        <v>1625</v>
      </c>
      <c r="C50" t="s">
        <v>2024</v>
      </c>
      <c r="D50" t="s">
        <v>1627</v>
      </c>
      <c r="F50" s="2">
        <v>45673</v>
      </c>
      <c r="H50" t="s">
        <v>1762</v>
      </c>
      <c r="I50" t="s">
        <v>2025</v>
      </c>
      <c r="J50" t="s">
        <v>1725</v>
      </c>
      <c r="K50" s="3" t="str">
        <f>HYPERLINK("https://www.instagram.com/p/DE5XPoXNKfv/","https://www.instagram.com/p/DE5XPoXNKfv/")</f>
        <v>https://www.instagram.com/p/DE5XPoXNKfv/</v>
      </c>
      <c r="L50" t="s">
        <v>1630</v>
      </c>
      <c r="N50" s="3" t="str">
        <f>HYPERLINK("https://app.hypeauditor.com/my-network/influencer/27117084/analytics/tiktok/iaenlinea","https://app.hypeauditor.com/my-network/influencer/27117084/analytics/tiktok/iaenlinea")</f>
        <v>https://app.hypeauditor.com/my-network/influencer/27117084/analytics/tiktok/iaenlinea</v>
      </c>
      <c r="O50" s="3" t="str">
        <f>HYPERLINK("https://www.instagram.com/iaenlinea","https://www.instagram.com/iaenlinea")</f>
        <v>https://www.instagram.com/iaenlinea</v>
      </c>
      <c r="P50" t="s">
        <v>65</v>
      </c>
      <c r="Q50" t="s">
        <v>116</v>
      </c>
      <c r="R50" t="s">
        <v>1652</v>
      </c>
      <c r="S50" t="s">
        <v>54</v>
      </c>
      <c r="T50">
        <v>315000</v>
      </c>
      <c r="U50" t="s">
        <v>2026</v>
      </c>
      <c r="W50" t="s">
        <v>55</v>
      </c>
      <c r="Y50" t="s">
        <v>54</v>
      </c>
      <c r="AA50" t="s">
        <v>55</v>
      </c>
      <c r="AE50" t="s">
        <v>55</v>
      </c>
      <c r="AG50" t="s">
        <v>54</v>
      </c>
      <c r="AI50" t="s">
        <v>55</v>
      </c>
      <c r="AK50" t="s">
        <v>55</v>
      </c>
      <c r="AM50" t="s">
        <v>55</v>
      </c>
      <c r="AO50" t="s">
        <v>55</v>
      </c>
      <c r="AQ50" t="s">
        <v>54</v>
      </c>
      <c r="AR50">
        <v>80000</v>
      </c>
      <c r="AS50">
        <v>0.011</v>
      </c>
      <c r="AT50" t="s">
        <v>2027</v>
      </c>
      <c r="AU50">
        <v>500</v>
      </c>
      <c r="AW50" t="s">
        <v>2028</v>
      </c>
      <c r="AX50" t="s">
        <v>78</v>
      </c>
      <c r="AY50" t="s">
        <v>1648</v>
      </c>
      <c r="AZ50" t="s">
        <v>1943</v>
      </c>
      <c r="BA50" t="s">
        <v>2029</v>
      </c>
      <c r="BD50" t="s">
        <v>1638</v>
      </c>
      <c r="BE50" t="s">
        <v>1943</v>
      </c>
      <c r="BG50" t="s">
        <v>1639</v>
      </c>
      <c r="BH50" t="s">
        <v>1640</v>
      </c>
      <c r="BJ50" s="3" t="str">
        <f>HYPERLINK("https://www.instagram.com/p/DE5XPoXNKfv/","https://www.instagram.com/p/DE5XPoXNKfv/")</f>
        <v>https://www.instagram.com/p/DE5XPoXNKfv/</v>
      </c>
    </row>
    <row r="51" ht="25.5" customHeight="1" spans="1:62">
      <c r="A51" t="s">
        <v>2030</v>
      </c>
      <c r="B51" t="s">
        <v>1625</v>
      </c>
      <c r="C51" t="s">
        <v>2031</v>
      </c>
      <c r="F51" s="2"/>
      <c r="H51" t="s">
        <v>1806</v>
      </c>
      <c r="I51" t="s">
        <v>2032</v>
      </c>
      <c r="J51" t="s">
        <v>1629</v>
      </c>
      <c r="K51" s="3" t="str">
        <f>HYPERLINK("https://www.tiktok.com/@atomicdragonoy/video/7467994234365168902","https://www.tiktok.com/@atomicdragonoy/video/7467994234365168902")</f>
        <v>https://www.tiktok.com/@atomicdragonoy/video/7467994234365168902</v>
      </c>
      <c r="L51" t="s">
        <v>1630</v>
      </c>
      <c r="N51" s="3" t="str">
        <f>HYPERLINK("https://app.hypeauditor.com/my-network/influencer/24619933/analytics/tiktok/atomicdragonoy","https://app.hypeauditor.com/my-network/influencer/24619933/analytics/tiktok/atomicdragonoy")</f>
        <v>https://app.hypeauditor.com/my-network/influencer/24619933/analytics/tiktok/atomicdragonoy</v>
      </c>
      <c r="O51" s="3" t="str">
        <f>HYPERLINK("https://www.tiktok.com/@atomicdragonoy","https://www.tiktok.com/@atomicdragonoy")</f>
        <v>https://www.tiktok.com/@atomicdragonoy</v>
      </c>
      <c r="P51" t="s">
        <v>56</v>
      </c>
      <c r="Q51" t="s">
        <v>57</v>
      </c>
      <c r="R51" t="s">
        <v>1753</v>
      </c>
      <c r="S51" t="s">
        <v>54</v>
      </c>
      <c r="T51">
        <v>339600</v>
      </c>
      <c r="U51" t="s">
        <v>2033</v>
      </c>
      <c r="W51" t="s">
        <v>55</v>
      </c>
      <c r="Y51" t="s">
        <v>54</v>
      </c>
      <c r="AA51" t="s">
        <v>55</v>
      </c>
      <c r="AE51" t="s">
        <v>55</v>
      </c>
      <c r="AG51" t="s">
        <v>54</v>
      </c>
      <c r="AI51" t="s">
        <v>55</v>
      </c>
      <c r="AK51" t="s">
        <v>55</v>
      </c>
      <c r="AM51" t="s">
        <v>55</v>
      </c>
      <c r="AO51" t="s">
        <v>55</v>
      </c>
      <c r="AQ51" t="s">
        <v>54</v>
      </c>
      <c r="AR51">
        <v>144700</v>
      </c>
      <c r="AS51">
        <v>0.0491</v>
      </c>
      <c r="AT51" t="s">
        <v>2034</v>
      </c>
      <c r="AU51">
        <v>500</v>
      </c>
      <c r="AW51" t="s">
        <v>2035</v>
      </c>
      <c r="AX51" t="s">
        <v>2036</v>
      </c>
      <c r="AY51" t="s">
        <v>2037</v>
      </c>
      <c r="AZ51" t="s">
        <v>2038</v>
      </c>
      <c r="BA51" t="s">
        <v>2039</v>
      </c>
      <c r="BD51" t="s">
        <v>1638</v>
      </c>
      <c r="BE51" t="s">
        <v>2038</v>
      </c>
      <c r="BG51" t="s">
        <v>1639</v>
      </c>
      <c r="BH51" t="s">
        <v>1640</v>
      </c>
      <c r="BJ51" s="3" t="str">
        <f>HYPERLINK("https://www.tiktok.com/@atomicdragonoy/video/7467994234365168902","https://www.tiktok.com/@atomicdragonoy/video/7467994234365168902")</f>
        <v>https://www.tiktok.com/@atomicdragonoy/video/7467994234365168902</v>
      </c>
    </row>
    <row r="52" ht="25.5" customHeight="1" spans="1:62">
      <c r="A52" t="s">
        <v>2040</v>
      </c>
      <c r="B52" t="s">
        <v>1625</v>
      </c>
      <c r="C52" t="s">
        <v>2041</v>
      </c>
      <c r="D52" t="s">
        <v>1627</v>
      </c>
      <c r="F52" s="2"/>
      <c r="H52" t="s">
        <v>1806</v>
      </c>
      <c r="J52" t="s">
        <v>1629</v>
      </c>
      <c r="K52" s="3" t="str">
        <f>HYPERLINK("https://www.tiktok.com/@edu.tec/video/7461026722381630725","https://www.tiktok.com/@edu.tec/video/7461026722381630725")</f>
        <v>https://www.tiktok.com/@edu.tec/video/7461026722381630725</v>
      </c>
      <c r="L52" t="s">
        <v>1630</v>
      </c>
      <c r="N52" s="3" t="str">
        <f>HYPERLINK("https://app.hypeauditor.com/my-network/influencer/28799320/analytics/tiktok/edu.tec","https://app.hypeauditor.com/my-network/influencer/28799320/analytics/tiktok/edu.tec")</f>
        <v>https://app.hypeauditor.com/my-network/influencer/28799320/analytics/tiktok/edu.tec</v>
      </c>
      <c r="O52" s="3" t="str">
        <f>HYPERLINK("https://www.tiktok.com/@edu.tec","https://www.tiktok.com/@edu.tec")</f>
        <v>https://www.tiktok.com/@edu.tec</v>
      </c>
      <c r="P52" t="s">
        <v>56</v>
      </c>
      <c r="Q52" t="s">
        <v>57</v>
      </c>
      <c r="R52" t="s">
        <v>97</v>
      </c>
      <c r="S52" t="s">
        <v>54</v>
      </c>
      <c r="T52">
        <v>777800</v>
      </c>
      <c r="U52" t="s">
        <v>2042</v>
      </c>
      <c r="W52" t="s">
        <v>55</v>
      </c>
      <c r="Y52" t="s">
        <v>54</v>
      </c>
      <c r="AA52" t="s">
        <v>55</v>
      </c>
      <c r="AE52" t="s">
        <v>55</v>
      </c>
      <c r="AG52" t="s">
        <v>54</v>
      </c>
      <c r="AI52" t="s">
        <v>55</v>
      </c>
      <c r="AK52" t="s">
        <v>55</v>
      </c>
      <c r="AM52" t="s">
        <v>55</v>
      </c>
      <c r="AO52" t="s">
        <v>55</v>
      </c>
      <c r="AQ52" t="s">
        <v>54</v>
      </c>
      <c r="AR52">
        <v>80000</v>
      </c>
      <c r="AS52">
        <v>0.053</v>
      </c>
      <c r="AT52" t="s">
        <v>2043</v>
      </c>
      <c r="AU52">
        <v>500</v>
      </c>
      <c r="AW52" t="s">
        <v>2044</v>
      </c>
      <c r="AX52" t="s">
        <v>78</v>
      </c>
      <c r="AY52" t="s">
        <v>1648</v>
      </c>
      <c r="AZ52" t="s">
        <v>2045</v>
      </c>
      <c r="BA52" t="s">
        <v>2046</v>
      </c>
      <c r="BD52" t="s">
        <v>1638</v>
      </c>
      <c r="BE52" t="s">
        <v>2045</v>
      </c>
      <c r="BG52" t="s">
        <v>1639</v>
      </c>
      <c r="BH52" t="s">
        <v>1640</v>
      </c>
      <c r="BJ52" s="3" t="str">
        <f>HYPERLINK("https://www.tiktok.com/@edu.tec/video/7461026722381630725","https://www.tiktok.com/@edu.tec/video/7461026722381630725")</f>
        <v>https://www.tiktok.com/@edu.tec/video/7461026722381630725</v>
      </c>
    </row>
    <row r="53" ht="25.5" customHeight="1" spans="1:62">
      <c r="A53" t="s">
        <v>2047</v>
      </c>
      <c r="B53" t="s">
        <v>1830</v>
      </c>
      <c r="C53" t="s">
        <v>2048</v>
      </c>
      <c r="D53" t="s">
        <v>1627</v>
      </c>
      <c r="F53" s="2">
        <v>45664</v>
      </c>
      <c r="G53" t="s">
        <v>2049</v>
      </c>
      <c r="H53" t="s">
        <v>1752</v>
      </c>
      <c r="J53" t="s">
        <v>1644</v>
      </c>
      <c r="K53" s="3" t="str">
        <f>HYPERLINK("https://www.instagram.com/reel/DEho54jSsrX/?igsh=eGRveXc1Mml3N291","https://www.instagram.com/reel/DEho54jSsrX/?igsh=eGRveXc1Mml3N291")</f>
        <v>https://www.instagram.com/reel/DEho54jSsrX/?igsh=eGRveXc1Mml3N291</v>
      </c>
      <c r="L53" t="s">
        <v>1630</v>
      </c>
      <c r="N53" s="3" t="str">
        <f>HYPERLINK("https://app.hypeauditor.com/my-network/influencer/830110","https://app.hypeauditor.com/my-network/influencer/830110")</f>
        <v>https://app.hypeauditor.com/my-network/influencer/830110</v>
      </c>
      <c r="O53" s="3" t="str">
        <f>HYPERLINK("https://www.instagram.com/adam.godigital/","https://www.instagram.com/adam.godigital/")</f>
        <v>https://www.instagram.com/adam.godigital/</v>
      </c>
      <c r="P53" t="s">
        <v>65</v>
      </c>
      <c r="Q53" t="s">
        <v>116</v>
      </c>
      <c r="R53" t="s">
        <v>97</v>
      </c>
      <c r="S53" t="s">
        <v>54</v>
      </c>
      <c r="T53">
        <v>1289000</v>
      </c>
      <c r="U53" t="s">
        <v>2050</v>
      </c>
      <c r="W53" t="s">
        <v>55</v>
      </c>
      <c r="Y53" t="s">
        <v>54</v>
      </c>
      <c r="AA53" t="s">
        <v>55</v>
      </c>
      <c r="AB53" t="s">
        <v>1666</v>
      </c>
      <c r="AC53" t="s">
        <v>59</v>
      </c>
      <c r="AE53" t="s">
        <v>55</v>
      </c>
      <c r="AG53" t="s">
        <v>54</v>
      </c>
      <c r="AI53" t="s">
        <v>55</v>
      </c>
      <c r="AK53" t="s">
        <v>55</v>
      </c>
      <c r="AM53" t="s">
        <v>55</v>
      </c>
      <c r="AO53" t="s">
        <v>55</v>
      </c>
      <c r="AQ53" t="s">
        <v>54</v>
      </c>
      <c r="AR53">
        <v>90000</v>
      </c>
      <c r="AS53">
        <v>0.0025</v>
      </c>
      <c r="AT53" t="s">
        <v>2051</v>
      </c>
      <c r="AU53">
        <v>500</v>
      </c>
      <c r="AW53" t="s">
        <v>2052</v>
      </c>
      <c r="AX53" t="s">
        <v>841</v>
      </c>
      <c r="AY53" t="s">
        <v>842</v>
      </c>
      <c r="AZ53" t="s">
        <v>2053</v>
      </c>
      <c r="BA53" t="s">
        <v>2054</v>
      </c>
      <c r="BD53" t="s">
        <v>1638</v>
      </c>
      <c r="BE53" t="s">
        <v>2053</v>
      </c>
      <c r="BG53" t="s">
        <v>1639</v>
      </c>
      <c r="BH53" t="s">
        <v>1640</v>
      </c>
      <c r="BJ53" s="3" t="str">
        <f>HYPERLINK("https://www.instagram.com/reel/DEho54jSsrX/?igsh=eGRveXc1Mml3N291","https://www.instagram.com/reel/DEho54jSsrX/?igsh=eGRveXc1Mml3N291")</f>
        <v>https://www.instagram.com/reel/DEho54jSsrX/?igsh=eGRveXc1Mml3N291</v>
      </c>
    </row>
    <row r="54" ht="25.5" customHeight="1" spans="1:62">
      <c r="A54" t="s">
        <v>2055</v>
      </c>
      <c r="B54" t="s">
        <v>1625</v>
      </c>
      <c r="C54" t="s">
        <v>2056</v>
      </c>
      <c r="D54" t="s">
        <v>1627</v>
      </c>
      <c r="F54" s="2"/>
      <c r="H54" t="s">
        <v>1806</v>
      </c>
      <c r="I54" t="s">
        <v>2057</v>
      </c>
      <c r="J54" t="s">
        <v>1629</v>
      </c>
      <c r="K54" s="3" t="str">
        <f>HYPERLINK("https://www.tiktok.com/@conectado._/video/7460686666353609989?_r=1&amp;_t=ZM-8t8BgGFbotZ","https://www.tiktok.com/@conectado._/video/7460686666353609989?_r=1&amp;_t=ZM-8t8BgGFbotZ")</f>
        <v>https://www.tiktok.com/@conectado._/video/7460686666353609989?_r=1&amp;_t=ZM-8t8BgGFbotZ</v>
      </c>
      <c r="L54" t="s">
        <v>1630</v>
      </c>
      <c r="N54" s="3"/>
      <c r="O54" s="3" t="str">
        <f>HYPERLINK("https://www.tiktok.com/@conectado._","https://www.tiktok.com/@conectado._")</f>
        <v>https://www.tiktok.com/@conectado._</v>
      </c>
      <c r="P54" t="s">
        <v>56</v>
      </c>
      <c r="Q54" t="s">
        <v>57</v>
      </c>
      <c r="R54" t="s">
        <v>1753</v>
      </c>
      <c r="S54" t="s">
        <v>54</v>
      </c>
      <c r="T54">
        <v>642700</v>
      </c>
      <c r="U54" t="s">
        <v>2058</v>
      </c>
      <c r="W54" t="s">
        <v>55</v>
      </c>
      <c r="Y54" t="s">
        <v>54</v>
      </c>
      <c r="AA54" t="s">
        <v>55</v>
      </c>
      <c r="AE54" t="s">
        <v>55</v>
      </c>
      <c r="AG54" t="s">
        <v>54</v>
      </c>
      <c r="AI54" t="s">
        <v>55</v>
      </c>
      <c r="AK54" t="s">
        <v>55</v>
      </c>
      <c r="AM54" t="s">
        <v>55</v>
      </c>
      <c r="AO54" t="s">
        <v>55</v>
      </c>
      <c r="AQ54" t="s">
        <v>54</v>
      </c>
      <c r="AR54">
        <v>70000</v>
      </c>
      <c r="AS54">
        <v>0.04</v>
      </c>
      <c r="AT54" t="s">
        <v>2059</v>
      </c>
      <c r="AU54">
        <v>500</v>
      </c>
      <c r="AW54" t="s">
        <v>2060</v>
      </c>
      <c r="AX54" t="s">
        <v>2061</v>
      </c>
      <c r="AY54" t="s">
        <v>1671</v>
      </c>
      <c r="AZ54" t="s">
        <v>2062</v>
      </c>
      <c r="BA54" t="s">
        <v>2063</v>
      </c>
      <c r="BD54" t="s">
        <v>1638</v>
      </c>
      <c r="BE54" t="s">
        <v>2062</v>
      </c>
      <c r="BG54" t="s">
        <v>1639</v>
      </c>
      <c r="BH54" t="s">
        <v>1640</v>
      </c>
      <c r="BJ54" s="3" t="str">
        <f>HYPERLINK("https://www.tiktok.com/@conectado._/video/7460686666353609989?_r=1&amp;_t=ZM-8t8BgGFbotZ","https://www.tiktok.com/@conectado._/video/7460686666353609989?_r=1&amp;_t=ZM-8t8BgGFbotZ")</f>
        <v>https://www.tiktok.com/@conectado._/video/7460686666353609989?_r=1&amp;_t=ZM-8t8BgGFbotZ</v>
      </c>
    </row>
    <row r="55" ht="25.5" customHeight="1" spans="1:62">
      <c r="A55" t="s">
        <v>2064</v>
      </c>
      <c r="B55" t="s">
        <v>1830</v>
      </c>
      <c r="C55" t="s">
        <v>2065</v>
      </c>
      <c r="D55" t="s">
        <v>1627</v>
      </c>
      <c r="F55" s="2"/>
      <c r="H55" t="s">
        <v>1663</v>
      </c>
      <c r="J55" t="s">
        <v>1644</v>
      </c>
      <c r="K55" s="3" t="str">
        <f>HYPERLINK("https://www.instagram.com/reel/DFvZ9IJJMB7/?igsh=MTBuMHkyNHNzNGdsOA%3D%3D","https://www.instagram.com/reel/DFvZ9IJJMB7/?igsh=MTBuMHkyNHNzNGdsOA%3D%3D")</f>
        <v>https://www.instagram.com/reel/DFvZ9IJJMB7/?igsh=MTBuMHkyNHNzNGdsOA%3D%3D</v>
      </c>
      <c r="L55" t="s">
        <v>1630</v>
      </c>
      <c r="N55" s="3"/>
      <c r="O55" s="3" t="str">
        <f>HYPERLINK("https://www.instagram.com/derjotech/reels/","https://www.instagram.com/derjotech/reels/")</f>
        <v>https://www.instagram.com/derjotech/reels/</v>
      </c>
      <c r="P55" t="s">
        <v>65</v>
      </c>
      <c r="Q55" t="s">
        <v>116</v>
      </c>
      <c r="S55" t="s">
        <v>54</v>
      </c>
      <c r="T55">
        <v>348000</v>
      </c>
      <c r="U55" t="s">
        <v>2066</v>
      </c>
      <c r="W55" t="s">
        <v>55</v>
      </c>
      <c r="Y55" t="s">
        <v>54</v>
      </c>
      <c r="AA55" t="s">
        <v>55</v>
      </c>
      <c r="AE55" t="s">
        <v>55</v>
      </c>
      <c r="AG55" t="s">
        <v>54</v>
      </c>
      <c r="AI55" t="s">
        <v>55</v>
      </c>
      <c r="AK55" t="s">
        <v>55</v>
      </c>
      <c r="AM55" t="s">
        <v>55</v>
      </c>
      <c r="AO55" t="s">
        <v>55</v>
      </c>
      <c r="AQ55" t="s">
        <v>54</v>
      </c>
      <c r="AR55">
        <v>34000</v>
      </c>
      <c r="AS55">
        <v>0.025</v>
      </c>
      <c r="AT55" t="s">
        <v>2067</v>
      </c>
      <c r="AU55">
        <v>500</v>
      </c>
      <c r="AW55" t="s">
        <v>2068</v>
      </c>
      <c r="AX55" t="s">
        <v>2069</v>
      </c>
      <c r="AY55" t="s">
        <v>2070</v>
      </c>
      <c r="AZ55" t="s">
        <v>1677</v>
      </c>
      <c r="BA55" t="s">
        <v>2071</v>
      </c>
      <c r="BD55" t="s">
        <v>1638</v>
      </c>
      <c r="BE55" t="s">
        <v>1677</v>
      </c>
      <c r="BG55" t="s">
        <v>1639</v>
      </c>
      <c r="BH55" t="s">
        <v>1640</v>
      </c>
      <c r="BJ55" s="3" t="str">
        <f>HYPERLINK("https://www.instagram.com/reel/DFvZ9IJJMB7/?igsh=MTBuMHkyNHNzNGdsOA%3D%3D","https://www.instagram.com/reel/DFvZ9IJJMB7/?igsh=MTBuMHkyNHNzNGdsOA%3D%3D")</f>
        <v>https://www.instagram.com/reel/DFvZ9IJJMB7/?igsh=MTBuMHkyNHNzNGdsOA%3D%3D</v>
      </c>
    </row>
    <row r="56" ht="25.5" customHeight="1" spans="1:62">
      <c r="A56" t="s">
        <v>2072</v>
      </c>
      <c r="B56" t="s">
        <v>1625</v>
      </c>
      <c r="D56" t="s">
        <v>1627</v>
      </c>
      <c r="F56" s="2"/>
      <c r="J56" t="s">
        <v>1644</v>
      </c>
      <c r="K56" s="3" t="str">
        <f>HYPERLINK("https://www.instagram.com/p/DEuir1dOowl/?img_index=1","https://www.instagram.com/p/DEuir1dOowl/?img_index=1")</f>
        <v>https://www.instagram.com/p/DEuir1dOowl/?img_index=1</v>
      </c>
      <c r="L56" t="s">
        <v>1630</v>
      </c>
      <c r="N56" s="3" t="str">
        <f>HYPERLINK("https://app.hypeauditor.com/my-network/influencer/31925425/analytics/instagram/artificialmente.ia","https://app.hypeauditor.com/my-network/influencer/31925425/analytics/instagram/artificialmente.ia")</f>
        <v>https://app.hypeauditor.com/my-network/influencer/31925425/analytics/instagram/artificialmente.ia</v>
      </c>
      <c r="O56" s="3" t="str">
        <f>HYPERLINK("https://www.instagram.com/artificialmente.ia/","https://www.instagram.com/artificialmente.ia/")</f>
        <v>https://www.instagram.com/artificialmente.ia/</v>
      </c>
      <c r="P56" t="s">
        <v>65</v>
      </c>
      <c r="Q56" t="s">
        <v>66</v>
      </c>
      <c r="R56" t="s">
        <v>1631</v>
      </c>
      <c r="S56" t="s">
        <v>54</v>
      </c>
      <c r="T56">
        <v>125000</v>
      </c>
      <c r="U56" t="s">
        <v>2073</v>
      </c>
      <c r="W56" t="s">
        <v>55</v>
      </c>
      <c r="Y56" t="s">
        <v>54</v>
      </c>
      <c r="AA56" t="s">
        <v>55</v>
      </c>
      <c r="AE56" t="s">
        <v>55</v>
      </c>
      <c r="AG56" t="s">
        <v>54</v>
      </c>
      <c r="AI56" t="s">
        <v>55</v>
      </c>
      <c r="AK56" t="s">
        <v>55</v>
      </c>
      <c r="AM56" t="s">
        <v>55</v>
      </c>
      <c r="AO56" t="s">
        <v>55</v>
      </c>
      <c r="AQ56" t="s">
        <v>54</v>
      </c>
      <c r="AR56">
        <v>30000</v>
      </c>
      <c r="AS56">
        <v>0.04</v>
      </c>
      <c r="AT56" t="s">
        <v>1980</v>
      </c>
      <c r="AU56">
        <v>500</v>
      </c>
      <c r="AW56" t="s">
        <v>1981</v>
      </c>
      <c r="AX56" t="s">
        <v>2074</v>
      </c>
      <c r="AY56" t="s">
        <v>2075</v>
      </c>
      <c r="AZ56" t="s">
        <v>2076</v>
      </c>
      <c r="BA56" t="s">
        <v>2077</v>
      </c>
      <c r="BD56" t="s">
        <v>1638</v>
      </c>
      <c r="BE56" t="s">
        <v>2076</v>
      </c>
      <c r="BG56" t="s">
        <v>1639</v>
      </c>
      <c r="BH56" t="s">
        <v>1640</v>
      </c>
      <c r="BJ56" s="3" t="str">
        <f>HYPERLINK("https://www.instagram.com/p/DEuir1dOowl/?img_index=1","https://www.instagram.com/p/DEuir1dOowl/?img_index=1")</f>
        <v>https://www.instagram.com/p/DEuir1dOowl/?img_index=1</v>
      </c>
    </row>
    <row r="57" ht="25.5" customHeight="1" spans="1:62">
      <c r="A57" t="s">
        <v>2078</v>
      </c>
      <c r="B57" t="s">
        <v>1625</v>
      </c>
      <c r="C57" t="s">
        <v>2079</v>
      </c>
      <c r="D57" t="s">
        <v>1627</v>
      </c>
      <c r="F57" s="2"/>
      <c r="I57" t="s">
        <v>2080</v>
      </c>
      <c r="J57" t="s">
        <v>1725</v>
      </c>
      <c r="K57" s="3"/>
      <c r="L57" t="s">
        <v>2081</v>
      </c>
      <c r="N57" s="3"/>
      <c r="O57" s="3" t="str">
        <f>HYPERLINK("https://www.youtube.com/@creativesuitetutorials","https://www.youtube.com/@creativesuitetutorials")</f>
        <v>https://www.youtube.com/@creativesuitetutorials</v>
      </c>
      <c r="P57" t="s">
        <v>269</v>
      </c>
      <c r="Q57" t="s">
        <v>378</v>
      </c>
      <c r="S57" t="s">
        <v>54</v>
      </c>
      <c r="T57">
        <v>26700</v>
      </c>
      <c r="U57" t="s">
        <v>55</v>
      </c>
      <c r="W57" t="s">
        <v>55</v>
      </c>
      <c r="Y57" t="s">
        <v>54</v>
      </c>
      <c r="AA57" t="s">
        <v>55</v>
      </c>
      <c r="AE57" t="s">
        <v>55</v>
      </c>
      <c r="AG57" t="s">
        <v>54</v>
      </c>
      <c r="AI57" t="s">
        <v>55</v>
      </c>
      <c r="AK57" t="s">
        <v>55</v>
      </c>
      <c r="AM57" t="s">
        <v>55</v>
      </c>
      <c r="AO57" t="s">
        <v>55</v>
      </c>
      <c r="AQ57" t="s">
        <v>54</v>
      </c>
      <c r="AR57">
        <v>24000</v>
      </c>
      <c r="AS57">
        <v>0.13</v>
      </c>
      <c r="AT57" t="s">
        <v>2082</v>
      </c>
      <c r="AU57">
        <v>500</v>
      </c>
      <c r="AW57" t="s">
        <v>2083</v>
      </c>
      <c r="AX57" t="s">
        <v>2084</v>
      </c>
      <c r="AY57" t="s">
        <v>55</v>
      </c>
      <c r="AZ57" t="s">
        <v>2085</v>
      </c>
      <c r="BA57" t="s">
        <v>2086</v>
      </c>
      <c r="BD57" t="s">
        <v>1625</v>
      </c>
      <c r="BE57" t="s">
        <v>2085</v>
      </c>
      <c r="BG57" t="s">
        <v>1639</v>
      </c>
      <c r="BH57" t="s">
        <v>1640</v>
      </c>
      <c r="BJ57" s="3"/>
    </row>
    <row r="58" ht="25.5" customHeight="1" spans="1:62">
      <c r="A58" t="s">
        <v>2087</v>
      </c>
      <c r="B58" t="s">
        <v>1625</v>
      </c>
      <c r="C58" t="s">
        <v>2088</v>
      </c>
      <c r="D58" t="s">
        <v>1627</v>
      </c>
      <c r="F58" s="2"/>
      <c r="I58" t="s">
        <v>2089</v>
      </c>
      <c r="J58" t="s">
        <v>1644</v>
      </c>
      <c r="K58" s="3" t="str">
        <f>HYPERLINK("https://www.instagram.com/p/DFmqdc-OWLm/","https://www.instagram.com/p/DFmqdc-OWLm/")</f>
        <v>https://www.instagram.com/p/DFmqdc-OWLm/</v>
      </c>
      <c r="L58" t="s">
        <v>1630</v>
      </c>
      <c r="N58" s="3"/>
      <c r="O58" s="3" t="str">
        <f>HYPERLINK("https://www.instagram.com/harunsgltci?igsh=MXBlMXl3NWxjbHA1Zg==","https://www.instagram.com/harunsgltci?igsh=MXBlMXl3NWxjbHA1Zg==")</f>
        <v>https://www.instagram.com/harunsgltci?igsh=MXBlMXl3NWxjbHA1Zg==</v>
      </c>
      <c r="P58" t="s">
        <v>65</v>
      </c>
      <c r="Q58" t="s">
        <v>116</v>
      </c>
      <c r="R58" t="s">
        <v>1631</v>
      </c>
      <c r="S58" t="s">
        <v>54</v>
      </c>
      <c r="T58">
        <v>222000</v>
      </c>
      <c r="U58" t="s">
        <v>2090</v>
      </c>
      <c r="W58" t="s">
        <v>55</v>
      </c>
      <c r="Y58" t="s">
        <v>54</v>
      </c>
      <c r="AA58" t="s">
        <v>55</v>
      </c>
      <c r="AE58" t="s">
        <v>55</v>
      </c>
      <c r="AG58" t="s">
        <v>54</v>
      </c>
      <c r="AI58" t="s">
        <v>55</v>
      </c>
      <c r="AK58" t="s">
        <v>55</v>
      </c>
      <c r="AM58" t="s">
        <v>55</v>
      </c>
      <c r="AO58" t="s">
        <v>55</v>
      </c>
      <c r="AQ58" t="s">
        <v>54</v>
      </c>
      <c r="AR58">
        <v>10000</v>
      </c>
      <c r="AS58">
        <v>0.019</v>
      </c>
      <c r="AT58" t="s">
        <v>2091</v>
      </c>
      <c r="AU58">
        <v>500</v>
      </c>
      <c r="AW58" t="s">
        <v>2092</v>
      </c>
      <c r="AX58" t="s">
        <v>1468</v>
      </c>
      <c r="AY58" t="s">
        <v>55</v>
      </c>
      <c r="AZ58" t="s">
        <v>1452</v>
      </c>
      <c r="BA58" t="s">
        <v>2093</v>
      </c>
      <c r="BD58" t="s">
        <v>1638</v>
      </c>
      <c r="BE58" t="s">
        <v>1452</v>
      </c>
      <c r="BG58" t="s">
        <v>1639</v>
      </c>
      <c r="BH58" t="s">
        <v>1640</v>
      </c>
      <c r="BJ58" s="3" t="str">
        <f>HYPERLINK("https://www.instagram.com/p/DFmqdc-OWLm/","https://www.instagram.com/p/DFmqdc-OWLm/")</f>
        <v>https://www.instagram.com/p/DFmqdc-OWLm/</v>
      </c>
    </row>
    <row r="59" ht="25.5" customHeight="1" spans="1:62">
      <c r="A59" t="s">
        <v>1751</v>
      </c>
      <c r="B59" t="s">
        <v>1830</v>
      </c>
      <c r="C59" t="s">
        <v>2094</v>
      </c>
      <c r="F59" s="2"/>
      <c r="J59" t="s">
        <v>1629</v>
      </c>
      <c r="K59" s="3" t="str">
        <f>HYPERLINK("https://www.instagram.com/reel/DE0AyLaRHDP/","https://www.instagram.com/reel/DE0AyLaRHDP/")</f>
        <v>https://www.instagram.com/reel/DE0AyLaRHDP/</v>
      </c>
      <c r="L59" t="s">
        <v>1630</v>
      </c>
      <c r="N59" s="3"/>
      <c r="O59" s="3"/>
      <c r="P59" t="s">
        <v>65</v>
      </c>
      <c r="Q59" t="s">
        <v>116</v>
      </c>
      <c r="R59" t="s">
        <v>1753</v>
      </c>
      <c r="S59" t="s">
        <v>54</v>
      </c>
      <c r="W59" t="s">
        <v>55</v>
      </c>
      <c r="Y59" t="s">
        <v>54</v>
      </c>
      <c r="AA59" t="s">
        <v>55</v>
      </c>
      <c r="AE59" t="s">
        <v>55</v>
      </c>
      <c r="AG59" t="s">
        <v>54</v>
      </c>
      <c r="AI59" t="s">
        <v>55</v>
      </c>
      <c r="AK59" t="s">
        <v>55</v>
      </c>
      <c r="AM59" t="s">
        <v>55</v>
      </c>
      <c r="AO59" t="s">
        <v>55</v>
      </c>
      <c r="AQ59" t="s">
        <v>54</v>
      </c>
      <c r="AT59" t="s">
        <v>54</v>
      </c>
      <c r="AU59">
        <v>500</v>
      </c>
      <c r="AW59" t="s">
        <v>54</v>
      </c>
      <c r="BD59" t="s">
        <v>1638</v>
      </c>
      <c r="BG59" t="s">
        <v>1639</v>
      </c>
      <c r="BH59" t="s">
        <v>1640</v>
      </c>
      <c r="BJ59" s="3" t="str">
        <f>HYPERLINK("https://www.instagram.com/reel/DE0AyLaRHDP/","https://www.instagram.com/reel/DE0AyLaRHDP/")</f>
        <v>https://www.instagram.com/reel/DE0AyLaRHDP/</v>
      </c>
    </row>
    <row r="60" ht="25.5" customHeight="1" spans="1:62">
      <c r="A60" t="s">
        <v>2095</v>
      </c>
      <c r="B60" t="s">
        <v>1625</v>
      </c>
      <c r="C60" t="s">
        <v>2096</v>
      </c>
      <c r="F60" s="2"/>
      <c r="H60" t="s">
        <v>1663</v>
      </c>
      <c r="J60" t="s">
        <v>1816</v>
      </c>
      <c r="K60" s="3" t="str">
        <f>HYPERLINK("https://x.com/TheAIColony/status/1876928183540318463","https://x.com/TheAIColony/status/1876928183540318463")</f>
        <v>https://x.com/TheAIColony/status/1876928183540318463</v>
      </c>
      <c r="L60" t="s">
        <v>1630</v>
      </c>
      <c r="N60" s="3"/>
      <c r="O60" s="3" t="str">
        <f>HYPERLINK("https://x.com/TheAIColony","https://x.com/TheAIColony")</f>
        <v>https://x.com/TheAIColony</v>
      </c>
      <c r="P60" t="s">
        <v>1816</v>
      </c>
      <c r="Q60" t="s">
        <v>1817</v>
      </c>
      <c r="R60" t="s">
        <v>1631</v>
      </c>
      <c r="S60" t="s">
        <v>54</v>
      </c>
      <c r="T60">
        <v>134400</v>
      </c>
      <c r="U60" t="s">
        <v>2097</v>
      </c>
      <c r="W60" t="s">
        <v>55</v>
      </c>
      <c r="Y60" t="s">
        <v>54</v>
      </c>
      <c r="AA60" t="s">
        <v>55</v>
      </c>
      <c r="AE60" t="s">
        <v>55</v>
      </c>
      <c r="AG60" t="s">
        <v>54</v>
      </c>
      <c r="AI60" t="s">
        <v>55</v>
      </c>
      <c r="AK60" t="s">
        <v>55</v>
      </c>
      <c r="AM60" t="s">
        <v>55</v>
      </c>
      <c r="AO60" t="s">
        <v>55</v>
      </c>
      <c r="AQ60" t="s">
        <v>54</v>
      </c>
      <c r="AR60">
        <v>300000</v>
      </c>
      <c r="AS60">
        <v>0.01</v>
      </c>
      <c r="AT60" t="s">
        <v>2098</v>
      </c>
      <c r="AU60">
        <v>499</v>
      </c>
      <c r="AW60" t="s">
        <v>2099</v>
      </c>
      <c r="AX60" t="s">
        <v>2100</v>
      </c>
      <c r="AY60" t="s">
        <v>2101</v>
      </c>
      <c r="AZ60" t="s">
        <v>2102</v>
      </c>
      <c r="BA60" t="s">
        <v>2103</v>
      </c>
      <c r="BD60" t="s">
        <v>1638</v>
      </c>
      <c r="BE60" t="s">
        <v>2102</v>
      </c>
      <c r="BG60" t="s">
        <v>1639</v>
      </c>
      <c r="BH60" t="s">
        <v>1640</v>
      </c>
      <c r="BJ60" s="3" t="str">
        <f>HYPERLINK("https://x.com/TheAIColony/status/1876928183540318463","https://x.com/TheAIColony/status/1876928183540318463")</f>
        <v>https://x.com/TheAIColony/status/1876928183540318463</v>
      </c>
    </row>
    <row r="61" ht="25.5" customHeight="1" spans="1:62">
      <c r="A61" t="s">
        <v>2104</v>
      </c>
      <c r="B61" t="s">
        <v>1625</v>
      </c>
      <c r="C61" t="s">
        <v>2105</v>
      </c>
      <c r="F61" s="2"/>
      <c r="H61" t="s">
        <v>2106</v>
      </c>
      <c r="J61" t="s">
        <v>1629</v>
      </c>
      <c r="K61" s="3"/>
      <c r="L61" t="s">
        <v>1645</v>
      </c>
      <c r="N61" s="3" t="str">
        <f>HYPERLINK("http://No es Brujería, es Tecnología","No es Brujería, es Tecnología")</f>
        <v>No es Brujería, es Tecnología</v>
      </c>
      <c r="O61" s="3"/>
      <c r="P61" t="s">
        <v>65</v>
      </c>
      <c r="Q61" t="s">
        <v>116</v>
      </c>
      <c r="S61" t="s">
        <v>54</v>
      </c>
      <c r="W61" t="s">
        <v>55</v>
      </c>
      <c r="Y61" t="s">
        <v>54</v>
      </c>
      <c r="AA61" t="s">
        <v>55</v>
      </c>
      <c r="AE61" t="s">
        <v>55</v>
      </c>
      <c r="AG61" t="s">
        <v>54</v>
      </c>
      <c r="AI61" t="s">
        <v>55</v>
      </c>
      <c r="AK61" t="s">
        <v>55</v>
      </c>
      <c r="AM61" t="s">
        <v>55</v>
      </c>
      <c r="AO61" t="s">
        <v>55</v>
      </c>
      <c r="AQ61" t="s">
        <v>54</v>
      </c>
      <c r="AT61" t="s">
        <v>54</v>
      </c>
      <c r="AU61">
        <v>481</v>
      </c>
      <c r="AW61" t="s">
        <v>54</v>
      </c>
      <c r="BD61" t="s">
        <v>1830</v>
      </c>
      <c r="BG61" t="s">
        <v>1639</v>
      </c>
      <c r="BH61" t="s">
        <v>1640</v>
      </c>
      <c r="BJ61" s="3"/>
    </row>
    <row r="62" ht="25.5" customHeight="1" spans="1:62">
      <c r="A62" t="s">
        <v>2107</v>
      </c>
      <c r="B62" t="s">
        <v>1625</v>
      </c>
      <c r="C62" t="s">
        <v>2096</v>
      </c>
      <c r="F62" s="2"/>
      <c r="H62" t="s">
        <v>1643</v>
      </c>
      <c r="J62" t="s">
        <v>1644</v>
      </c>
      <c r="K62" s="3" t="str">
        <f>HYPERLINK("https://x.com/AngryTomtweets/status/1876568904824476137","https://x.com/AngryTomtweets/status/1876568904824476137")</f>
        <v>https://x.com/AngryTomtweets/status/1876568904824476137</v>
      </c>
      <c r="L62" t="s">
        <v>1630</v>
      </c>
      <c r="N62" s="3" t="str">
        <f>HYPERLINK("https://app.hypeauditor.com/my-network/influencer/23369480/analytics/twitter/angrytomtweets","https://app.hypeauditor.com/my-network/influencer/23369480/analytics/twitter/angrytomtweets")</f>
        <v>https://app.hypeauditor.com/my-network/influencer/23369480/analytics/twitter/angrytomtweets</v>
      </c>
      <c r="O62" s="3" t="str">
        <f>HYPERLINK("https://x.com/angrytomtweets","https://x.com/angrytomtweets")</f>
        <v>https://x.com/angrytomtweets</v>
      </c>
      <c r="P62" t="s">
        <v>1816</v>
      </c>
      <c r="Q62" t="s">
        <v>1817</v>
      </c>
      <c r="R62" t="s">
        <v>1631</v>
      </c>
      <c r="S62" t="s">
        <v>54</v>
      </c>
      <c r="T62">
        <v>121200</v>
      </c>
      <c r="U62" t="s">
        <v>2108</v>
      </c>
      <c r="W62" t="s">
        <v>55</v>
      </c>
      <c r="Y62" t="s">
        <v>54</v>
      </c>
      <c r="AA62" t="s">
        <v>55</v>
      </c>
      <c r="AE62" t="s">
        <v>55</v>
      </c>
      <c r="AG62" t="s">
        <v>54</v>
      </c>
      <c r="AI62" t="s">
        <v>55</v>
      </c>
      <c r="AK62" t="s">
        <v>55</v>
      </c>
      <c r="AM62" t="s">
        <v>55</v>
      </c>
      <c r="AO62" t="s">
        <v>55</v>
      </c>
      <c r="AQ62" t="s">
        <v>54</v>
      </c>
      <c r="AR62">
        <v>800000</v>
      </c>
      <c r="AS62">
        <v>0.003</v>
      </c>
      <c r="AT62" t="s">
        <v>2109</v>
      </c>
      <c r="AU62">
        <v>450</v>
      </c>
      <c r="AW62" t="s">
        <v>2110</v>
      </c>
      <c r="AX62" t="s">
        <v>2111</v>
      </c>
      <c r="AY62" t="s">
        <v>2112</v>
      </c>
      <c r="AZ62" t="s">
        <v>1908</v>
      </c>
      <c r="BA62" t="s">
        <v>1909</v>
      </c>
      <c r="BD62" t="s">
        <v>1638</v>
      </c>
      <c r="BE62" t="s">
        <v>1908</v>
      </c>
      <c r="BG62" t="s">
        <v>1639</v>
      </c>
      <c r="BH62" t="s">
        <v>1640</v>
      </c>
      <c r="BJ62" s="3" t="str">
        <f>HYPERLINK("https://x.com/AngryTomtweets/status/1876568904824476137","https://x.com/AngryTomtweets/status/1876568904824476137")</f>
        <v>https://x.com/AngryTomtweets/status/1876568904824476137</v>
      </c>
    </row>
    <row r="63" ht="25.5" customHeight="1" spans="1:62">
      <c r="A63" t="s">
        <v>2113</v>
      </c>
      <c r="B63" t="s">
        <v>1625</v>
      </c>
      <c r="C63" t="s">
        <v>2114</v>
      </c>
      <c r="F63" s="2"/>
      <c r="H63" t="s">
        <v>1806</v>
      </c>
      <c r="I63" t="s">
        <v>2115</v>
      </c>
      <c r="J63" t="s">
        <v>1629</v>
      </c>
      <c r="K63" s="3"/>
      <c r="L63" t="s">
        <v>1645</v>
      </c>
      <c r="N63" s="3" t="str">
        <f>HYPERLINK("https://app.hypeauditor.com/my-network/influencer/29763527/analytics/tiktok/tecnovickz","https://app.hypeauditor.com/my-network/influencer/29763527/analytics/tiktok/tecnovickz")</f>
        <v>https://app.hypeauditor.com/my-network/influencer/29763527/analytics/tiktok/tecnovickz</v>
      </c>
      <c r="O63" s="3"/>
      <c r="P63" t="s">
        <v>56</v>
      </c>
      <c r="Q63" t="s">
        <v>57</v>
      </c>
      <c r="S63" t="s">
        <v>54</v>
      </c>
      <c r="W63" t="s">
        <v>55</v>
      </c>
      <c r="Y63" t="s">
        <v>54</v>
      </c>
      <c r="AA63" t="s">
        <v>55</v>
      </c>
      <c r="AE63" t="s">
        <v>55</v>
      </c>
      <c r="AG63" t="s">
        <v>54</v>
      </c>
      <c r="AI63" t="s">
        <v>55</v>
      </c>
      <c r="AK63" t="s">
        <v>55</v>
      </c>
      <c r="AM63" t="s">
        <v>55</v>
      </c>
      <c r="AO63" t="s">
        <v>55</v>
      </c>
      <c r="AQ63" t="s">
        <v>54</v>
      </c>
      <c r="AT63" t="s">
        <v>54</v>
      </c>
      <c r="AU63">
        <v>450</v>
      </c>
      <c r="AW63" t="s">
        <v>54</v>
      </c>
      <c r="BD63" t="s">
        <v>1625</v>
      </c>
      <c r="BG63" t="s">
        <v>1639</v>
      </c>
      <c r="BH63" t="s">
        <v>1640</v>
      </c>
      <c r="BJ63" s="3"/>
    </row>
    <row r="64" ht="25.5" customHeight="1" spans="1:62">
      <c r="A64" t="s">
        <v>2116</v>
      </c>
      <c r="B64" t="s">
        <v>1625</v>
      </c>
      <c r="C64" t="s">
        <v>2117</v>
      </c>
      <c r="D64" t="s">
        <v>1627</v>
      </c>
      <c r="F64" s="2">
        <v>45670</v>
      </c>
      <c r="H64" t="s">
        <v>1643</v>
      </c>
      <c r="J64" t="s">
        <v>1644</v>
      </c>
      <c r="K64" s="3" t="str">
        <f>HYPERLINK("https://www.instagram.com/p/DExKcc9NEYZ/?igsh=ZW8wdnNqcWVidXl2","https://www.instagram.com/p/DExKcc9NEYZ/?igsh=ZW8wdnNqcWVidXl2")</f>
        <v>https://www.instagram.com/p/DExKcc9NEYZ/?igsh=ZW8wdnNqcWVidXl2</v>
      </c>
      <c r="L64" t="s">
        <v>1630</v>
      </c>
      <c r="N64" s="3" t="str">
        <f>HYPERLINK("https://app.hypeauditor.com/my-network/influencer/27030577/analytics/instagram/aitrendz.xyz","https://app.hypeauditor.com/my-network/influencer/27030577/analytics/instagram/aitrendz.xyz")</f>
        <v>https://app.hypeauditor.com/my-network/influencer/27030577/analytics/instagram/aitrendz.xyz</v>
      </c>
      <c r="O64" s="3" t="str">
        <f>HYPERLINK("https://www.tiktok.com/@aitrendz.xyz","https://www.tiktok.com/@aitrendz.xyz")</f>
        <v>https://www.tiktok.com/@aitrendz.xyz</v>
      </c>
      <c r="P64" t="s">
        <v>65</v>
      </c>
      <c r="Q64" t="s">
        <v>66</v>
      </c>
      <c r="R64" t="s">
        <v>1887</v>
      </c>
      <c r="S64" t="s">
        <v>54</v>
      </c>
      <c r="T64">
        <v>73000</v>
      </c>
      <c r="U64" t="s">
        <v>55</v>
      </c>
      <c r="W64" t="s">
        <v>55</v>
      </c>
      <c r="Y64" t="s">
        <v>54</v>
      </c>
      <c r="AA64" t="s">
        <v>55</v>
      </c>
      <c r="AE64" t="s">
        <v>55</v>
      </c>
      <c r="AG64" t="s">
        <v>54</v>
      </c>
      <c r="AI64" t="s">
        <v>55</v>
      </c>
      <c r="AK64" t="s">
        <v>55</v>
      </c>
      <c r="AM64" t="s">
        <v>55</v>
      </c>
      <c r="AO64" t="s">
        <v>55</v>
      </c>
      <c r="AQ64" t="s">
        <v>54</v>
      </c>
      <c r="AR64">
        <v>70000</v>
      </c>
      <c r="AS64">
        <v>0.0423</v>
      </c>
      <c r="AT64" t="s">
        <v>2118</v>
      </c>
      <c r="AU64">
        <v>450</v>
      </c>
      <c r="AW64" t="s">
        <v>2119</v>
      </c>
      <c r="AX64" t="s">
        <v>2120</v>
      </c>
      <c r="AY64" t="s">
        <v>2121</v>
      </c>
      <c r="AZ64" t="s">
        <v>1803</v>
      </c>
      <c r="BA64" t="s">
        <v>2122</v>
      </c>
      <c r="BD64" t="s">
        <v>1638</v>
      </c>
      <c r="BE64" t="s">
        <v>1803</v>
      </c>
      <c r="BG64" t="s">
        <v>1639</v>
      </c>
      <c r="BH64" t="s">
        <v>1640</v>
      </c>
      <c r="BJ64" s="3" t="str">
        <f>HYPERLINK("https://www.instagram.com/p/DExKcc9NEYZ/?igsh=ZW8wdnNqcWVidXl2","https://www.instagram.com/p/DExKcc9NEYZ/?igsh=ZW8wdnNqcWVidXl2")</f>
        <v>https://www.instagram.com/p/DExKcc9NEYZ/?igsh=ZW8wdnNqcWVidXl2</v>
      </c>
    </row>
    <row r="65" ht="25.5" customHeight="1" spans="1:62">
      <c r="A65" t="s">
        <v>316</v>
      </c>
      <c r="B65" t="s">
        <v>1701</v>
      </c>
      <c r="C65" t="s">
        <v>2123</v>
      </c>
      <c r="D65" t="s">
        <v>1627</v>
      </c>
      <c r="F65" s="2"/>
      <c r="H65" t="s">
        <v>2124</v>
      </c>
      <c r="J65" t="s">
        <v>1725</v>
      </c>
      <c r="K65" s="3" t="str">
        <f>HYPERLINK("https://www.youtube.com/shorts/dxuE69bzfBg","Building a website has never been this easy! Use AI to create a stunning site in minutes. 💻✨ #ai")</f>
        <v>Building a website has never been this easy! Use AI to create a stunning site in minutes. 💻✨ #ai</v>
      </c>
      <c r="L65" t="s">
        <v>1630</v>
      </c>
      <c r="N65" s="3" t="str">
        <f>HYPERLINK("https://app.hypeauditor.com/my-network/influencer/29788037/analytics/youtube/UCKGAQCeDKoaM-DTCrbHuW8g","https://app.hypeauditor.com/my-network/influencer/29788037/analytics/youtube/UCKGAQCeDKoaM-DTCrbHuW8g")</f>
        <v>https://app.hypeauditor.com/my-network/influencer/29788037/analytics/youtube/UCKGAQCeDKoaM-DTCrbHuW8g</v>
      </c>
      <c r="O65" s="3" t="str">
        <f>HYPERLINK("https://www.youtube.com/@yomajameskukor/videos","https://www.youtube.com/@yomajameskukor/videos")</f>
        <v>https://www.youtube.com/@yomajameskukor/videos</v>
      </c>
      <c r="P65" t="s">
        <v>269</v>
      </c>
      <c r="Q65" t="s">
        <v>423</v>
      </c>
      <c r="R65" t="s">
        <v>1887</v>
      </c>
      <c r="S65" t="s">
        <v>54</v>
      </c>
      <c r="T65">
        <v>136500</v>
      </c>
      <c r="U65" t="s">
        <v>2125</v>
      </c>
      <c r="W65" t="s">
        <v>55</v>
      </c>
      <c r="Y65" t="s">
        <v>54</v>
      </c>
      <c r="AA65" t="s">
        <v>55</v>
      </c>
      <c r="AE65" t="s">
        <v>55</v>
      </c>
      <c r="AG65" t="s">
        <v>54</v>
      </c>
      <c r="AI65" t="s">
        <v>55</v>
      </c>
      <c r="AK65" t="s">
        <v>55</v>
      </c>
      <c r="AM65" t="s">
        <v>55</v>
      </c>
      <c r="AO65" t="s">
        <v>55</v>
      </c>
      <c r="AQ65" t="s">
        <v>54</v>
      </c>
      <c r="AR65">
        <v>70000</v>
      </c>
      <c r="AS65">
        <v>0.131</v>
      </c>
      <c r="AT65" t="s">
        <v>2126</v>
      </c>
      <c r="AU65">
        <v>450</v>
      </c>
      <c r="AW65" t="s">
        <v>2127</v>
      </c>
      <c r="AX65" t="s">
        <v>2120</v>
      </c>
      <c r="AY65" t="s">
        <v>2121</v>
      </c>
      <c r="AZ65" t="s">
        <v>2128</v>
      </c>
      <c r="BA65" t="s">
        <v>2129</v>
      </c>
      <c r="BD65" t="s">
        <v>1638</v>
      </c>
      <c r="BE65" t="s">
        <v>2128</v>
      </c>
      <c r="BG65" t="s">
        <v>1639</v>
      </c>
      <c r="BH65" t="s">
        <v>1640</v>
      </c>
      <c r="BJ65" s="3" t="str">
        <f>HYPERLINK("https://www.youtube.com/shorts/dxuE69bzfBg","Building a website has never been this easy! Use AI to create a stunning site in minutes. 💻✨ #ai")</f>
        <v>Building a website has never been this easy! Use AI to create a stunning site in minutes. 💻✨ #ai</v>
      </c>
    </row>
    <row r="66" ht="25.5" customHeight="1" spans="1:62">
      <c r="A66" t="s">
        <v>2005</v>
      </c>
      <c r="B66" t="s">
        <v>1625</v>
      </c>
      <c r="C66" t="s">
        <v>2130</v>
      </c>
      <c r="D66" t="s">
        <v>1627</v>
      </c>
      <c r="F66" s="2"/>
      <c r="G66" t="s">
        <v>2131</v>
      </c>
      <c r="H66" t="s">
        <v>1806</v>
      </c>
      <c r="I66" t="s">
        <v>2008</v>
      </c>
      <c r="J66" t="s">
        <v>630</v>
      </c>
      <c r="K66" s="3"/>
      <c r="L66" t="s">
        <v>1630</v>
      </c>
      <c r="N66" s="3" t="str">
        <f>HYPERLINK("https://app.hypeauditor.com/my-network/influencer/7363302/analytics/tiktok/thetechbadger","https://app.hypeauditor.com/my-network/influencer/7363302/analytics/tiktok/thetechbadger")</f>
        <v>https://app.hypeauditor.com/my-network/influencer/7363302/analytics/tiktok/thetechbadger</v>
      </c>
      <c r="O66" s="3"/>
      <c r="P66" t="s">
        <v>56</v>
      </c>
      <c r="Q66" t="s">
        <v>57</v>
      </c>
      <c r="R66" t="s">
        <v>1631</v>
      </c>
      <c r="S66" t="s">
        <v>54</v>
      </c>
      <c r="T66">
        <v>476700</v>
      </c>
      <c r="U66" t="s">
        <v>2132</v>
      </c>
      <c r="V66">
        <v>0.912</v>
      </c>
      <c r="W66" t="s">
        <v>2133</v>
      </c>
      <c r="X66" t="s">
        <v>1739</v>
      </c>
      <c r="Y66" t="s">
        <v>1740</v>
      </c>
      <c r="Z66">
        <v>0.1</v>
      </c>
      <c r="AA66" t="s">
        <v>185</v>
      </c>
      <c r="AB66" t="s">
        <v>1666</v>
      </c>
      <c r="AC66" t="s">
        <v>59</v>
      </c>
      <c r="AD66">
        <v>0.872</v>
      </c>
      <c r="AE66" t="s">
        <v>2134</v>
      </c>
      <c r="AF66" t="s">
        <v>1668</v>
      </c>
      <c r="AG66" t="s">
        <v>59</v>
      </c>
      <c r="AH66">
        <v>0.6384</v>
      </c>
      <c r="AI66" t="s">
        <v>2135</v>
      </c>
      <c r="AJ66">
        <v>0.364</v>
      </c>
      <c r="AK66" t="s">
        <v>2136</v>
      </c>
      <c r="AL66">
        <v>0.31</v>
      </c>
      <c r="AM66" t="s">
        <v>2137</v>
      </c>
      <c r="AN66">
        <v>0.971</v>
      </c>
      <c r="AO66" t="s">
        <v>2138</v>
      </c>
      <c r="AP66" t="s">
        <v>52</v>
      </c>
      <c r="AQ66" t="s">
        <v>54</v>
      </c>
      <c r="AR66">
        <v>75500</v>
      </c>
      <c r="AS66">
        <v>0.027</v>
      </c>
      <c r="AT66" t="s">
        <v>2139</v>
      </c>
      <c r="AU66">
        <v>400</v>
      </c>
      <c r="AW66" t="s">
        <v>2140</v>
      </c>
      <c r="AX66" t="s">
        <v>2141</v>
      </c>
      <c r="AY66" t="s">
        <v>2142</v>
      </c>
      <c r="AZ66" t="s">
        <v>637</v>
      </c>
      <c r="BA66" t="s">
        <v>2143</v>
      </c>
      <c r="BD66" t="s">
        <v>1830</v>
      </c>
      <c r="BE66" t="s">
        <v>637</v>
      </c>
      <c r="BG66" t="s">
        <v>1639</v>
      </c>
      <c r="BH66" t="s">
        <v>1640</v>
      </c>
      <c r="BJ66" s="3"/>
    </row>
    <row r="67" ht="25.5" customHeight="1" spans="1:62">
      <c r="A67" t="s">
        <v>320</v>
      </c>
      <c r="B67" t="s">
        <v>1701</v>
      </c>
      <c r="C67" t="s">
        <v>2144</v>
      </c>
      <c r="F67" s="2"/>
      <c r="H67" t="s">
        <v>1713</v>
      </c>
      <c r="I67" t="s">
        <v>327</v>
      </c>
      <c r="J67" t="s">
        <v>1725</v>
      </c>
      <c r="K67" s="3" t="str">
        <f>HYPERLINK("https://vt.tiktok.com/ZSMdfFXXB/","https://vt.tiktok.com/ZSMdfFXXB/")</f>
        <v>https://vt.tiktok.com/ZSMdfFXXB/</v>
      </c>
      <c r="L67" t="s">
        <v>1630</v>
      </c>
      <c r="N67" s="3" t="str">
        <f>HYPERLINK("https://app.hypeauditor.com/my-network/influencer/1158826/analytics/tiktok/keralatechie","https://app.hypeauditor.com/my-network/influencer/1158826/analytics/tiktok/keralatechie")</f>
        <v>https://app.hypeauditor.com/my-network/influencer/1158826/analytics/tiktok/keralatechie</v>
      </c>
      <c r="O67" s="3" t="str">
        <f>HYPERLINK("https://www.tiktok.com/@keralatechie","https://www.tiktok.com/@keralatechie")</f>
        <v>https://www.tiktok.com/@keralatechie</v>
      </c>
      <c r="P67" t="s">
        <v>56</v>
      </c>
      <c r="Q67" t="s">
        <v>57</v>
      </c>
      <c r="R67" t="s">
        <v>1693</v>
      </c>
      <c r="S67" t="s">
        <v>54</v>
      </c>
      <c r="T67">
        <v>189900</v>
      </c>
      <c r="U67" t="s">
        <v>321</v>
      </c>
      <c r="W67" t="s">
        <v>55</v>
      </c>
      <c r="Y67" t="s">
        <v>54</v>
      </c>
      <c r="AA67" t="s">
        <v>55</v>
      </c>
      <c r="AE67" t="s">
        <v>55</v>
      </c>
      <c r="AG67" t="s">
        <v>54</v>
      </c>
      <c r="AI67" t="s">
        <v>55</v>
      </c>
      <c r="AK67" t="s">
        <v>55</v>
      </c>
      <c r="AM67" t="s">
        <v>55</v>
      </c>
      <c r="AO67" t="s">
        <v>55</v>
      </c>
      <c r="AQ67" t="s">
        <v>54</v>
      </c>
      <c r="AR67">
        <v>48000</v>
      </c>
      <c r="AS67">
        <v>0.056</v>
      </c>
      <c r="AT67" t="s">
        <v>2145</v>
      </c>
      <c r="AU67">
        <v>400</v>
      </c>
      <c r="AW67" t="s">
        <v>2146</v>
      </c>
      <c r="AX67" t="s">
        <v>1774</v>
      </c>
      <c r="AY67" t="s">
        <v>1775</v>
      </c>
      <c r="AZ67" t="s">
        <v>2147</v>
      </c>
      <c r="BA67" t="s">
        <v>2148</v>
      </c>
      <c r="BD67" t="s">
        <v>1638</v>
      </c>
      <c r="BE67" t="s">
        <v>2147</v>
      </c>
      <c r="BG67" t="s">
        <v>1639</v>
      </c>
      <c r="BH67" t="s">
        <v>1640</v>
      </c>
      <c r="BJ67" s="3" t="str">
        <f>HYPERLINK("https://vt.tiktok.com/ZSMdfFXXB/","https://vt.tiktok.com/ZSMdfFXXB/")</f>
        <v>https://vt.tiktok.com/ZSMdfFXXB/</v>
      </c>
    </row>
    <row r="68" ht="25.5" customHeight="1" spans="1:62">
      <c r="A68" t="s">
        <v>2149</v>
      </c>
      <c r="B68" t="s">
        <v>1830</v>
      </c>
      <c r="C68" t="s">
        <v>2150</v>
      </c>
      <c r="F68" s="2"/>
      <c r="H68" t="s">
        <v>1663</v>
      </c>
      <c r="I68" t="s">
        <v>2151</v>
      </c>
      <c r="J68" t="s">
        <v>1725</v>
      </c>
      <c r="K68" s="3"/>
      <c r="L68" t="s">
        <v>1645</v>
      </c>
      <c r="N68" s="3"/>
      <c r="O68" s="3"/>
      <c r="P68" t="s">
        <v>56</v>
      </c>
      <c r="Q68" t="s">
        <v>57</v>
      </c>
      <c r="S68" t="s">
        <v>54</v>
      </c>
      <c r="W68" t="s">
        <v>55</v>
      </c>
      <c r="Y68" t="s">
        <v>54</v>
      </c>
      <c r="AA68" t="s">
        <v>55</v>
      </c>
      <c r="AE68" t="s">
        <v>55</v>
      </c>
      <c r="AG68" t="s">
        <v>54</v>
      </c>
      <c r="AI68" t="s">
        <v>55</v>
      </c>
      <c r="AK68" t="s">
        <v>55</v>
      </c>
      <c r="AM68" t="s">
        <v>55</v>
      </c>
      <c r="AO68" t="s">
        <v>55</v>
      </c>
      <c r="AQ68" t="s">
        <v>54</v>
      </c>
      <c r="AT68" t="s">
        <v>54</v>
      </c>
      <c r="AU68">
        <v>400</v>
      </c>
      <c r="AW68" t="s">
        <v>54</v>
      </c>
      <c r="BD68" t="s">
        <v>1830</v>
      </c>
      <c r="BG68" t="s">
        <v>1639</v>
      </c>
      <c r="BH68" t="s">
        <v>1640</v>
      </c>
      <c r="BJ68" s="3"/>
    </row>
    <row r="69" ht="25.5" customHeight="1" spans="1:62">
      <c r="A69" t="s">
        <v>2152</v>
      </c>
      <c r="B69" t="s">
        <v>1625</v>
      </c>
      <c r="C69" t="s">
        <v>2153</v>
      </c>
      <c r="F69" s="2"/>
      <c r="H69" t="s">
        <v>1663</v>
      </c>
      <c r="J69" t="s">
        <v>1644</v>
      </c>
      <c r="K69" s="3" t="str">
        <f>HYPERLINK("https://x.com/hasantoxr/status/1876563049286668431?s=46","https://x.com/hasantoxr/status/1876563049286668431?s=46")</f>
        <v>https://x.com/hasantoxr/status/1876563049286668431?s=46</v>
      </c>
      <c r="L69" t="s">
        <v>1630</v>
      </c>
      <c r="N69" s="3"/>
      <c r="O69" s="3" t="str">
        <f>HYPERLINK("https://x.com/hasantoxr","https://x.com/hasantoxr")</f>
        <v>https://x.com/hasantoxr</v>
      </c>
      <c r="P69" t="s">
        <v>1816</v>
      </c>
      <c r="Q69" t="s">
        <v>1817</v>
      </c>
      <c r="R69" t="s">
        <v>1631</v>
      </c>
      <c r="S69" t="s">
        <v>54</v>
      </c>
      <c r="T69">
        <v>382400</v>
      </c>
      <c r="U69" t="s">
        <v>2154</v>
      </c>
      <c r="W69" t="s">
        <v>55</v>
      </c>
      <c r="Y69" t="s">
        <v>54</v>
      </c>
      <c r="AA69" t="s">
        <v>55</v>
      </c>
      <c r="AE69" t="s">
        <v>55</v>
      </c>
      <c r="AG69" t="s">
        <v>54</v>
      </c>
      <c r="AI69" t="s">
        <v>55</v>
      </c>
      <c r="AK69" t="s">
        <v>55</v>
      </c>
      <c r="AM69" t="s">
        <v>55</v>
      </c>
      <c r="AO69" t="s">
        <v>55</v>
      </c>
      <c r="AQ69" t="s">
        <v>54</v>
      </c>
      <c r="AR69">
        <v>50000</v>
      </c>
      <c r="AS69">
        <v>0.08</v>
      </c>
      <c r="AT69" t="s">
        <v>1904</v>
      </c>
      <c r="AU69">
        <v>400</v>
      </c>
      <c r="AW69" t="s">
        <v>1905</v>
      </c>
      <c r="AX69" t="s">
        <v>2155</v>
      </c>
      <c r="AY69" t="s">
        <v>1931</v>
      </c>
      <c r="AZ69" t="s">
        <v>2076</v>
      </c>
      <c r="BA69" t="s">
        <v>2077</v>
      </c>
      <c r="BD69" t="s">
        <v>1638</v>
      </c>
      <c r="BE69" t="s">
        <v>2076</v>
      </c>
      <c r="BG69" t="s">
        <v>1639</v>
      </c>
      <c r="BH69" t="s">
        <v>1640</v>
      </c>
      <c r="BJ69" s="3" t="str">
        <f>HYPERLINK("https://x.com/hasantoxr/status/1876563049286668431?s=46","https://x.com/hasantoxr/status/1876563049286668431?s=46")</f>
        <v>https://x.com/hasantoxr/status/1876563049286668431?s=46</v>
      </c>
    </row>
    <row r="70" ht="25.5" customHeight="1" spans="1:62">
      <c r="A70" t="s">
        <v>2156</v>
      </c>
      <c r="B70" t="s">
        <v>1638</v>
      </c>
      <c r="C70" t="s">
        <v>2157</v>
      </c>
      <c r="D70" t="s">
        <v>1627</v>
      </c>
      <c r="F70" s="2"/>
      <c r="H70" t="s">
        <v>1663</v>
      </c>
      <c r="J70" t="s">
        <v>1644</v>
      </c>
      <c r="K70" s="3" t="str">
        <f>HYPERLINK("https://www.instagram.com/p/DFK31KRi9RK/?igsh=MWFnaHRibXJmNjJkcg==","https://www.instagram.com/p/DFK31KRi9RK/?igsh=MWFnaHRibXJmNjJkcg==")</f>
        <v>https://www.instagram.com/p/DFK31KRi9RK/?igsh=MWFnaHRibXJmNjJkcg==</v>
      </c>
      <c r="L70" t="s">
        <v>1630</v>
      </c>
      <c r="N70" s="3" t="str">
        <f>HYPERLINK("https://app.hypeauditor.com/my-network/influencer/2926493/analytics/instagram/digitalrajas","https://app.hypeauditor.com/my-network/influencer/2926493/analytics/instagram/digitalrajas")</f>
        <v>https://app.hypeauditor.com/my-network/influencer/2926493/analytics/instagram/digitalrajas</v>
      </c>
      <c r="O70" s="3"/>
      <c r="P70" t="s">
        <v>65</v>
      </c>
      <c r="Q70" t="s">
        <v>66</v>
      </c>
      <c r="R70" t="s">
        <v>1631</v>
      </c>
      <c r="S70" t="s">
        <v>54</v>
      </c>
      <c r="T70">
        <v>184000</v>
      </c>
      <c r="U70" t="s">
        <v>2158</v>
      </c>
      <c r="W70" t="s">
        <v>55</v>
      </c>
      <c r="Y70" t="s">
        <v>54</v>
      </c>
      <c r="AA70" t="s">
        <v>55</v>
      </c>
      <c r="AE70" t="s">
        <v>55</v>
      </c>
      <c r="AG70" t="s">
        <v>54</v>
      </c>
      <c r="AI70" t="s">
        <v>55</v>
      </c>
      <c r="AK70" t="s">
        <v>55</v>
      </c>
      <c r="AM70" t="s">
        <v>55</v>
      </c>
      <c r="AO70" t="s">
        <v>55</v>
      </c>
      <c r="AQ70" t="s">
        <v>54</v>
      </c>
      <c r="AR70">
        <v>12000</v>
      </c>
      <c r="AS70">
        <v>0.0145</v>
      </c>
      <c r="AT70" t="s">
        <v>2159</v>
      </c>
      <c r="AU70">
        <v>400</v>
      </c>
      <c r="AW70" t="s">
        <v>2160</v>
      </c>
      <c r="AX70" t="s">
        <v>189</v>
      </c>
      <c r="AY70" t="s">
        <v>55</v>
      </c>
      <c r="AZ70" t="s">
        <v>2161</v>
      </c>
      <c r="BA70" t="s">
        <v>2162</v>
      </c>
      <c r="BD70" t="s">
        <v>1638</v>
      </c>
      <c r="BE70" t="s">
        <v>2161</v>
      </c>
      <c r="BG70" t="s">
        <v>1639</v>
      </c>
      <c r="BH70" t="s">
        <v>1640</v>
      </c>
      <c r="BJ70" s="3" t="str">
        <f>HYPERLINK("https://www.instagram.com/p/DFK31KRi9RK/?igsh=MWFnaHRibXJmNjJkcg==","https://www.instagram.com/p/DFK31KRi9RK/?igsh=MWFnaHRibXJmNjJkcg==")</f>
        <v>https://www.instagram.com/p/DFK31KRi9RK/?igsh=MWFnaHRibXJmNjJkcg==</v>
      </c>
    </row>
    <row r="71" ht="25.5" customHeight="1" spans="1:62">
      <c r="A71" t="s">
        <v>2163</v>
      </c>
      <c r="B71" t="s">
        <v>1625</v>
      </c>
      <c r="C71" t="s">
        <v>2164</v>
      </c>
      <c r="D71" t="s">
        <v>1627</v>
      </c>
      <c r="F71" s="2"/>
      <c r="H71" t="s">
        <v>1806</v>
      </c>
      <c r="I71" t="s">
        <v>2165</v>
      </c>
      <c r="J71" t="s">
        <v>1629</v>
      </c>
      <c r="K71" s="3" t="str">
        <f>HYPERLINK("https://www.tiktok.com/@itsamineazizi/video/7459123740182351109?_r=1&amp;_t=ZM-8t0sgQkBtp7","https://www.tiktok.com/@itsamineazizi/video/7459123740182351109?_r=1&amp;_t=ZM-8t0sgQkBtp7")</f>
        <v>https://www.tiktok.com/@itsamineazizi/video/7459123740182351109?_r=1&amp;_t=ZM-8t0sgQkBtp7</v>
      </c>
      <c r="L71" t="s">
        <v>1630</v>
      </c>
      <c r="N71" s="3" t="str">
        <f>HYPERLINK("https://app.hypeauditor.com/my-network/influencer/13100173/analytics/tiktok/itsamineazizi","https://app.hypeauditor.com/my-network/influencer/13100173/analytics/tiktok/itsamineazizi")</f>
        <v>https://app.hypeauditor.com/my-network/influencer/13100173/analytics/tiktok/itsamineazizi</v>
      </c>
      <c r="O71" s="3" t="str">
        <f>HYPERLINK("https://www.tiktok.com/@itsamineazizi","https://www.tiktok.com/@itsamineazizi")</f>
        <v>https://www.tiktok.com/@itsamineazizi</v>
      </c>
      <c r="P71" t="s">
        <v>56</v>
      </c>
      <c r="Q71" t="s">
        <v>57</v>
      </c>
      <c r="R71" t="s">
        <v>1631</v>
      </c>
      <c r="S71" t="s">
        <v>54</v>
      </c>
      <c r="T71">
        <v>32900</v>
      </c>
      <c r="U71" t="s">
        <v>55</v>
      </c>
      <c r="W71" t="s">
        <v>55</v>
      </c>
      <c r="Y71" t="s">
        <v>54</v>
      </c>
      <c r="AA71" t="s">
        <v>55</v>
      </c>
      <c r="AE71" t="s">
        <v>55</v>
      </c>
      <c r="AG71" t="s">
        <v>54</v>
      </c>
      <c r="AI71" t="s">
        <v>55</v>
      </c>
      <c r="AK71" t="s">
        <v>55</v>
      </c>
      <c r="AM71" t="s">
        <v>55</v>
      </c>
      <c r="AO71" t="s">
        <v>55</v>
      </c>
      <c r="AQ71" t="s">
        <v>54</v>
      </c>
      <c r="AR71">
        <v>60000</v>
      </c>
      <c r="AS71">
        <v>0.05</v>
      </c>
      <c r="AT71" t="s">
        <v>2098</v>
      </c>
      <c r="AU71">
        <v>400</v>
      </c>
      <c r="AW71" t="s">
        <v>2099</v>
      </c>
      <c r="AX71" t="s">
        <v>1684</v>
      </c>
      <c r="AY71" t="s">
        <v>1307</v>
      </c>
      <c r="AZ71" t="s">
        <v>1876</v>
      </c>
      <c r="BA71" t="s">
        <v>2166</v>
      </c>
      <c r="BD71" t="s">
        <v>1638</v>
      </c>
      <c r="BE71" t="s">
        <v>1876</v>
      </c>
      <c r="BG71" t="s">
        <v>1639</v>
      </c>
      <c r="BH71" t="s">
        <v>1640</v>
      </c>
      <c r="BJ71" s="3" t="str">
        <f>HYPERLINK("https://www.tiktok.com/@itsamineazizi/video/7459123740182351109?_r=1&amp;_t=ZM-8t0sgQkBtp7","https://www.tiktok.com/@itsamineazizi/video/7459123740182351109?_r=1&amp;_t=ZM-8t0sgQkBtp7")</f>
        <v>https://www.tiktok.com/@itsamineazizi/video/7459123740182351109?_r=1&amp;_t=ZM-8t0sgQkBtp7</v>
      </c>
    </row>
    <row r="72" ht="25.5" customHeight="1" spans="1:62">
      <c r="A72" t="s">
        <v>2167</v>
      </c>
      <c r="B72" t="s">
        <v>1625</v>
      </c>
      <c r="C72" t="s">
        <v>2168</v>
      </c>
      <c r="D72" t="s">
        <v>1627</v>
      </c>
      <c r="F72" s="2"/>
      <c r="H72" t="s">
        <v>1663</v>
      </c>
      <c r="I72" t="s">
        <v>236</v>
      </c>
      <c r="J72" t="s">
        <v>1629</v>
      </c>
      <c r="K72" s="3" t="str">
        <f>HYPERLINK("https://www.instagram.com/p/DE7jsypNf2V/","https://www.instagram.com/p/DE7jsypNf2V/")</f>
        <v>https://www.instagram.com/p/DE7jsypNf2V/</v>
      </c>
      <c r="L72" t="s">
        <v>1630</v>
      </c>
      <c r="N72" s="3" t="str">
        <f>HYPERLINK("https://app.hypeauditor.com/my-network/influencer/1974753/analytics/instagram/infotricks_","https://app.hypeauditor.com/my-network/influencer/1974753/analytics/instagram/infotricks_")</f>
        <v>https://app.hypeauditor.com/my-network/influencer/1974753/analytics/instagram/infotricks_</v>
      </c>
      <c r="O72" s="3" t="str">
        <f>HYPERLINK("https://www.instagram.com/infotricks_/","https://www.instagram.com/infotricks_/")</f>
        <v>https://www.instagram.com/infotricks_/</v>
      </c>
      <c r="P72" t="s">
        <v>65</v>
      </c>
      <c r="Q72" t="s">
        <v>116</v>
      </c>
      <c r="R72" t="s">
        <v>1703</v>
      </c>
      <c r="S72" t="s">
        <v>54</v>
      </c>
      <c r="T72">
        <v>236000</v>
      </c>
      <c r="U72" t="s">
        <v>2169</v>
      </c>
      <c r="W72" t="s">
        <v>55</v>
      </c>
      <c r="Y72" t="s">
        <v>54</v>
      </c>
      <c r="AA72" t="s">
        <v>55</v>
      </c>
      <c r="AE72" t="s">
        <v>55</v>
      </c>
      <c r="AG72" t="s">
        <v>54</v>
      </c>
      <c r="AI72" t="s">
        <v>55</v>
      </c>
      <c r="AK72" t="s">
        <v>55</v>
      </c>
      <c r="AM72" t="s">
        <v>55</v>
      </c>
      <c r="AO72" t="s">
        <v>55</v>
      </c>
      <c r="AQ72" t="s">
        <v>54</v>
      </c>
      <c r="AR72">
        <v>50000</v>
      </c>
      <c r="AS72">
        <v>0.04</v>
      </c>
      <c r="AT72" t="s">
        <v>2170</v>
      </c>
      <c r="AU72">
        <v>400</v>
      </c>
      <c r="AW72" t="s">
        <v>2171</v>
      </c>
      <c r="AX72" t="s">
        <v>2155</v>
      </c>
      <c r="AY72" t="s">
        <v>1931</v>
      </c>
      <c r="AZ72" t="s">
        <v>2172</v>
      </c>
      <c r="BA72" t="s">
        <v>2173</v>
      </c>
      <c r="BD72" t="s">
        <v>1638</v>
      </c>
      <c r="BE72" t="s">
        <v>2172</v>
      </c>
      <c r="BG72" t="s">
        <v>1639</v>
      </c>
      <c r="BH72" t="s">
        <v>1640</v>
      </c>
      <c r="BJ72" s="3" t="str">
        <f>HYPERLINK("https://www.instagram.com/p/DE7jsypNf2V/","https://www.instagram.com/p/DE7jsypNf2V/")</f>
        <v>https://www.instagram.com/p/DE7jsypNf2V/</v>
      </c>
    </row>
    <row r="73" ht="25.5" customHeight="1" spans="1:62">
      <c r="A73" t="s">
        <v>2174</v>
      </c>
      <c r="B73" t="s">
        <v>1625</v>
      </c>
      <c r="C73" t="s">
        <v>2175</v>
      </c>
      <c r="F73" s="2"/>
      <c r="J73" t="s">
        <v>1644</v>
      </c>
      <c r="K73" s="3" t="str">
        <f>HYPERLINK("https://www.instagram.com/p/DGBArE2CHFv/?igsh=em9wd25vanFmaGN6","https://www.instagram.com/p/DGBArE2CHFv/?igsh=em9wd25vanFmaGN6")</f>
        <v>https://www.instagram.com/p/DGBArE2CHFv/?igsh=em9wd25vanFmaGN6</v>
      </c>
      <c r="L73" t="s">
        <v>1630</v>
      </c>
      <c r="N73" s="3"/>
      <c r="O73" s="3" t="str">
        <f>HYPERLINK("https://www.instagram.com/thebusinessmagnets/","https://www.instagram.com/thebusinessmagnets/")</f>
        <v>https://www.instagram.com/thebusinessmagnets/</v>
      </c>
      <c r="P73" t="s">
        <v>65</v>
      </c>
      <c r="S73" t="s">
        <v>54</v>
      </c>
      <c r="T73">
        <v>2378000</v>
      </c>
      <c r="U73" t="s">
        <v>2176</v>
      </c>
      <c r="W73" t="s">
        <v>55</v>
      </c>
      <c r="Y73" t="s">
        <v>54</v>
      </c>
      <c r="AA73" t="s">
        <v>55</v>
      </c>
      <c r="AE73" t="s">
        <v>55</v>
      </c>
      <c r="AG73" t="s">
        <v>54</v>
      </c>
      <c r="AI73" t="s">
        <v>55</v>
      </c>
      <c r="AK73" t="s">
        <v>55</v>
      </c>
      <c r="AM73" t="s">
        <v>55</v>
      </c>
      <c r="AO73" t="s">
        <v>55</v>
      </c>
      <c r="AQ73" t="s">
        <v>54</v>
      </c>
      <c r="AR73">
        <v>60000</v>
      </c>
      <c r="AS73">
        <v>0.009</v>
      </c>
      <c r="AT73" t="s">
        <v>2177</v>
      </c>
      <c r="AU73">
        <v>400</v>
      </c>
      <c r="AW73" t="s">
        <v>2178</v>
      </c>
      <c r="AX73" t="s">
        <v>1684</v>
      </c>
      <c r="AY73" t="s">
        <v>1307</v>
      </c>
      <c r="AZ73" t="s">
        <v>2179</v>
      </c>
      <c r="BA73" t="s">
        <v>2180</v>
      </c>
      <c r="BD73" t="s">
        <v>1638</v>
      </c>
      <c r="BE73" t="s">
        <v>2179</v>
      </c>
      <c r="BG73" t="s">
        <v>1639</v>
      </c>
      <c r="BH73" t="s">
        <v>1640</v>
      </c>
      <c r="BJ73" s="3" t="str">
        <f>HYPERLINK("https://www.instagram.com/p/DGBArE2CHFv/?igsh=em9wd25vanFmaGN6","https://www.instagram.com/p/DGBArE2CHFv/?igsh=em9wd25vanFmaGN6")</f>
        <v>https://www.instagram.com/p/DGBArE2CHFv/?igsh=em9wd25vanFmaGN6</v>
      </c>
    </row>
    <row r="74" ht="25.5" customHeight="1" spans="2:62">
      <c r="B74" t="s">
        <v>1625</v>
      </c>
      <c r="F74" s="2"/>
      <c r="K74" s="3" t="str">
        <f>HYPERLINK("https://vm.tiktok.com/ZNeKC4fqf/","https://vm.tiktok.com/ZNeKC4fqf/")</f>
        <v>https://vm.tiktok.com/ZNeKC4fqf/</v>
      </c>
      <c r="L74" t="s">
        <v>1630</v>
      </c>
      <c r="N74" s="3"/>
      <c r="O74" s="3"/>
      <c r="P74" t="s">
        <v>56</v>
      </c>
      <c r="Q74" t="s">
        <v>57</v>
      </c>
      <c r="R74" t="s">
        <v>1703</v>
      </c>
      <c r="S74" t="s">
        <v>54</v>
      </c>
      <c r="W74" t="s">
        <v>55</v>
      </c>
      <c r="Y74" t="s">
        <v>54</v>
      </c>
      <c r="AA74" t="s">
        <v>55</v>
      </c>
      <c r="AE74" t="s">
        <v>55</v>
      </c>
      <c r="AG74" t="s">
        <v>54</v>
      </c>
      <c r="AI74" t="s">
        <v>55</v>
      </c>
      <c r="AK74" t="s">
        <v>55</v>
      </c>
      <c r="AM74" t="s">
        <v>55</v>
      </c>
      <c r="AO74" t="s">
        <v>55</v>
      </c>
      <c r="AQ74" t="s">
        <v>54</v>
      </c>
      <c r="AT74" t="s">
        <v>54</v>
      </c>
      <c r="AU74">
        <v>400</v>
      </c>
      <c r="AW74" t="s">
        <v>54</v>
      </c>
      <c r="BD74" t="s">
        <v>1638</v>
      </c>
      <c r="BG74" t="s">
        <v>1639</v>
      </c>
      <c r="BH74" t="s">
        <v>1640</v>
      </c>
      <c r="BI74" t="s">
        <v>2181</v>
      </c>
      <c r="BJ74" s="3" t="str">
        <f>HYPERLINK("https://vm.tiktok.com/ZNeKC4fqf/","https://vm.tiktok.com/ZNeKC4fqf/")</f>
        <v>https://vm.tiktok.com/ZNeKC4fqf/</v>
      </c>
    </row>
    <row r="75" ht="25.5" customHeight="1" spans="1:62">
      <c r="A75" t="s">
        <v>2182</v>
      </c>
      <c r="B75" t="s">
        <v>1625</v>
      </c>
      <c r="C75" t="s">
        <v>2183</v>
      </c>
      <c r="F75" s="2"/>
      <c r="I75" t="s">
        <v>2184</v>
      </c>
      <c r="J75" t="s">
        <v>773</v>
      </c>
      <c r="K75" s="3"/>
      <c r="L75" t="s">
        <v>1645</v>
      </c>
      <c r="N75" s="3" t="str">
        <f>HYPERLINK("https://app.hypeauditor.com/my-network/influencer/19935270/analytics/tiktok/ana.viianna","https://app.hypeauditor.com/my-network/influencer/19935270/analytics/tiktok/ana.viianna")</f>
        <v>https://app.hypeauditor.com/my-network/influencer/19935270/analytics/tiktok/ana.viianna</v>
      </c>
      <c r="O75" s="3" t="str">
        <f>HYPERLINK("https://www.tiktok.com/@ana.viianna","https://www.tiktok.com/@ana.viianna")</f>
        <v>https://www.tiktok.com/@ana.viianna</v>
      </c>
      <c r="P75" t="s">
        <v>56</v>
      </c>
      <c r="Q75" t="s">
        <v>57</v>
      </c>
      <c r="S75" t="s">
        <v>54</v>
      </c>
      <c r="T75">
        <v>757900</v>
      </c>
      <c r="U75" t="s">
        <v>2185</v>
      </c>
      <c r="W75" t="s">
        <v>55</v>
      </c>
      <c r="Y75" t="s">
        <v>54</v>
      </c>
      <c r="AA75" t="s">
        <v>55</v>
      </c>
      <c r="AE75" t="s">
        <v>55</v>
      </c>
      <c r="AG75" t="s">
        <v>54</v>
      </c>
      <c r="AI75" t="s">
        <v>55</v>
      </c>
      <c r="AK75" t="s">
        <v>55</v>
      </c>
      <c r="AM75" t="s">
        <v>55</v>
      </c>
      <c r="AO75" t="s">
        <v>55</v>
      </c>
      <c r="AQ75" t="s">
        <v>54</v>
      </c>
      <c r="AR75">
        <v>350000</v>
      </c>
      <c r="AS75">
        <v>0.0371</v>
      </c>
      <c r="AT75" t="s">
        <v>2186</v>
      </c>
      <c r="AU75">
        <v>400</v>
      </c>
      <c r="AW75" t="s">
        <v>2187</v>
      </c>
      <c r="AX75" t="s">
        <v>2188</v>
      </c>
      <c r="AY75" t="s">
        <v>2189</v>
      </c>
      <c r="AZ75" t="s">
        <v>1189</v>
      </c>
      <c r="BA75" t="s">
        <v>2190</v>
      </c>
      <c r="BD75" t="s">
        <v>1830</v>
      </c>
      <c r="BE75" t="s">
        <v>1189</v>
      </c>
      <c r="BG75" t="s">
        <v>1639</v>
      </c>
      <c r="BH75" t="s">
        <v>1640</v>
      </c>
      <c r="BJ75" s="3"/>
    </row>
    <row r="76" ht="25.5" customHeight="1" spans="2:62">
      <c r="B76" t="s">
        <v>1625</v>
      </c>
      <c r="F76" s="2"/>
      <c r="K76" s="3" t="str">
        <f>HYPERLINK("https://www.instagram.com/share/BADQl8hn-d","https://www.instagram.com/share/BADQl8hn-d")</f>
        <v>https://www.instagram.com/share/BADQl8hn-d</v>
      </c>
      <c r="L76" t="s">
        <v>1630</v>
      </c>
      <c r="N76" s="3"/>
      <c r="O76" s="3"/>
      <c r="P76" t="s">
        <v>65</v>
      </c>
      <c r="Q76" t="s">
        <v>116</v>
      </c>
      <c r="R76" t="s">
        <v>1631</v>
      </c>
      <c r="S76" t="s">
        <v>54</v>
      </c>
      <c r="W76" t="s">
        <v>55</v>
      </c>
      <c r="Y76" t="s">
        <v>54</v>
      </c>
      <c r="AA76" t="s">
        <v>55</v>
      </c>
      <c r="AE76" t="s">
        <v>55</v>
      </c>
      <c r="AG76" t="s">
        <v>54</v>
      </c>
      <c r="AI76" t="s">
        <v>55</v>
      </c>
      <c r="AK76" t="s">
        <v>55</v>
      </c>
      <c r="AM76" t="s">
        <v>55</v>
      </c>
      <c r="AO76" t="s">
        <v>55</v>
      </c>
      <c r="AQ76" t="s">
        <v>54</v>
      </c>
      <c r="AT76" t="s">
        <v>54</v>
      </c>
      <c r="AU76">
        <v>400</v>
      </c>
      <c r="AW76" t="s">
        <v>54</v>
      </c>
      <c r="BD76" t="s">
        <v>1638</v>
      </c>
      <c r="BG76" t="s">
        <v>1639</v>
      </c>
      <c r="BH76" t="s">
        <v>1640</v>
      </c>
      <c r="BI76" t="s">
        <v>2156</v>
      </c>
      <c r="BJ76" s="3" t="str">
        <f>HYPERLINK("https://www.instagram.com/share/BADQl8hn-d","https://www.instagram.com/share/BADQl8hn-d")</f>
        <v>https://www.instagram.com/share/BADQl8hn-d</v>
      </c>
    </row>
    <row r="77" ht="25.5" customHeight="1" spans="1:62">
      <c r="A77" t="s">
        <v>2191</v>
      </c>
      <c r="B77" t="s">
        <v>1830</v>
      </c>
      <c r="C77" t="s">
        <v>2192</v>
      </c>
      <c r="F77" s="2"/>
      <c r="I77" t="s">
        <v>2193</v>
      </c>
      <c r="J77" t="s">
        <v>773</v>
      </c>
      <c r="K77" s="3" t="str">
        <f>HYPERLINK("https://www.instagram.com/reel/DF6zgorxA1u/?igsh=NTc4MTIwNjQ2YQ==","https://www.instagram.com/reel/DF6zgorxA1u/?igsh=NTc4MTIwNjQ2YQ==")</f>
        <v>https://www.instagram.com/reel/DF6zgorxA1u/?igsh=NTc4MTIwNjQ2YQ==</v>
      </c>
      <c r="L77" t="s">
        <v>1630</v>
      </c>
      <c r="N77" s="3" t="str">
        <f>HYPERLINK("https://app.hypeauditor.com/en/my-network/influencer/2805224/analytics/instagram/weareallengineers","https://app.hypeauditor.com/en/my-network/influencer/2805224/analytics/instagram/weareallengineers")</f>
        <v>https://app.hypeauditor.com/en/my-network/influencer/2805224/analytics/instagram/weareallengineers</v>
      </c>
      <c r="O77" s="3" t="str">
        <f>HYPERLINK("https://www.instagram.com/reel/DF6zgorxA1u/?igsh=NTc4MTIwNjQ2YQ%3D%3D","https://www.instagram.com/reel/DF6zgorxA1u/?igsh=NTc4MTIwNjQ2YQ%3D%3D")</f>
        <v>https://www.instagram.com/reel/DF6zgorxA1u/?igsh=NTc4MTIwNjQ2YQ%3D%3D</v>
      </c>
      <c r="P77" t="s">
        <v>65</v>
      </c>
      <c r="Q77" t="s">
        <v>116</v>
      </c>
      <c r="S77" t="s">
        <v>54</v>
      </c>
      <c r="T77">
        <v>295000</v>
      </c>
      <c r="U77" t="s">
        <v>2194</v>
      </c>
      <c r="W77" t="s">
        <v>55</v>
      </c>
      <c r="Y77" t="s">
        <v>54</v>
      </c>
      <c r="AA77" t="s">
        <v>55</v>
      </c>
      <c r="AE77" t="s">
        <v>55</v>
      </c>
      <c r="AG77" t="s">
        <v>54</v>
      </c>
      <c r="AI77" t="s">
        <v>55</v>
      </c>
      <c r="AK77" t="s">
        <v>55</v>
      </c>
      <c r="AM77" t="s">
        <v>55</v>
      </c>
      <c r="AO77" t="s">
        <v>55</v>
      </c>
      <c r="AQ77" t="s">
        <v>54</v>
      </c>
      <c r="AR77">
        <v>30000</v>
      </c>
      <c r="AS77">
        <v>0.015</v>
      </c>
      <c r="AT77" t="s">
        <v>2195</v>
      </c>
      <c r="AU77">
        <v>400</v>
      </c>
      <c r="AW77" t="s">
        <v>2196</v>
      </c>
      <c r="AX77" t="s">
        <v>635</v>
      </c>
      <c r="AY77" t="s">
        <v>636</v>
      </c>
      <c r="AZ77" t="s">
        <v>361</v>
      </c>
      <c r="BA77" t="s">
        <v>2197</v>
      </c>
      <c r="BD77" t="s">
        <v>1638</v>
      </c>
      <c r="BE77" t="s">
        <v>361</v>
      </c>
      <c r="BG77" t="s">
        <v>1639</v>
      </c>
      <c r="BH77" t="s">
        <v>1640</v>
      </c>
      <c r="BJ77" s="3" t="str">
        <f>HYPERLINK("https://www.instagram.com/reel/DF6zgorxA1u/?igsh=NTc4MTIwNjQ2YQ==","https://www.instagram.com/reel/DF6zgorxA1u/?igsh=NTc4MTIwNjQ2YQ==")</f>
        <v>https://www.instagram.com/reel/DF6zgorxA1u/?igsh=NTc4MTIwNjQ2YQ==</v>
      </c>
    </row>
    <row r="78" ht="25.5" customHeight="1" spans="1:62">
      <c r="A78" t="s">
        <v>2198</v>
      </c>
      <c r="B78" t="s">
        <v>1625</v>
      </c>
      <c r="C78" t="s">
        <v>2199</v>
      </c>
      <c r="D78" t="s">
        <v>1627</v>
      </c>
      <c r="F78" s="2"/>
      <c r="H78" t="s">
        <v>1663</v>
      </c>
      <c r="I78" t="s">
        <v>2200</v>
      </c>
      <c r="J78" t="s">
        <v>1644</v>
      </c>
      <c r="K78" s="3" t="str">
        <f>HYPERLINK("https://vm.tiktok.com/ZMkfR33FW/","https://vm.tiktok.com/ZMkfR33FW/")</f>
        <v>https://vm.tiktok.com/ZMkfR33FW/</v>
      </c>
      <c r="L78" t="s">
        <v>1630</v>
      </c>
      <c r="N78" s="3" t="str">
        <f>HYPERLINK("https://app.hypeauditor.com/my-network/influencer/19694640/analytics/tiktok/rodo_vkz","https://app.hypeauditor.com/my-network/influencer/19694640/analytics/tiktok/rodo_vkz")</f>
        <v>https://app.hypeauditor.com/my-network/influencer/19694640/analytics/tiktok/rodo_vkz</v>
      </c>
      <c r="O78" s="3" t="str">
        <f>HYPERLINK("https://www.tiktok.com/@rodo_vkz","https://www.tiktok.com/@rodo_vkz")</f>
        <v>https://www.tiktok.com/@rodo_vkz</v>
      </c>
      <c r="P78" t="s">
        <v>56</v>
      </c>
      <c r="Q78" t="s">
        <v>57</v>
      </c>
      <c r="R78" t="s">
        <v>1753</v>
      </c>
      <c r="S78" t="s">
        <v>54</v>
      </c>
      <c r="T78">
        <v>390900</v>
      </c>
      <c r="U78" t="s">
        <v>1262</v>
      </c>
      <c r="W78" t="s">
        <v>55</v>
      </c>
      <c r="Y78" t="s">
        <v>54</v>
      </c>
      <c r="AA78" t="s">
        <v>55</v>
      </c>
      <c r="AE78" t="s">
        <v>55</v>
      </c>
      <c r="AG78" t="s">
        <v>54</v>
      </c>
      <c r="AI78" t="s">
        <v>55</v>
      </c>
      <c r="AK78" t="s">
        <v>55</v>
      </c>
      <c r="AM78" t="s">
        <v>55</v>
      </c>
      <c r="AO78" t="s">
        <v>55</v>
      </c>
      <c r="AQ78" t="s">
        <v>54</v>
      </c>
      <c r="AR78">
        <v>600000</v>
      </c>
      <c r="AS78">
        <v>0.01</v>
      </c>
      <c r="AT78" t="s">
        <v>2201</v>
      </c>
      <c r="AU78">
        <v>399</v>
      </c>
      <c r="AW78" t="s">
        <v>2202</v>
      </c>
      <c r="AX78" t="s">
        <v>2203</v>
      </c>
      <c r="AY78" t="s">
        <v>2204</v>
      </c>
      <c r="AZ78" t="s">
        <v>2205</v>
      </c>
      <c r="BA78" t="s">
        <v>2206</v>
      </c>
      <c r="BD78" t="s">
        <v>1638</v>
      </c>
      <c r="BE78" t="s">
        <v>2205</v>
      </c>
      <c r="BG78" t="s">
        <v>1639</v>
      </c>
      <c r="BH78" t="s">
        <v>1640</v>
      </c>
      <c r="BJ78" s="3" t="str">
        <f>HYPERLINK("https://vm.tiktok.com/ZMkfR33FW/","https://vm.tiktok.com/ZMkfR33FW/")</f>
        <v>https://vm.tiktok.com/ZMkfR33FW/</v>
      </c>
    </row>
    <row r="79" ht="25.5" customHeight="1" spans="1:62">
      <c r="A79" t="s">
        <v>2207</v>
      </c>
      <c r="B79" t="s">
        <v>1625</v>
      </c>
      <c r="C79" t="s">
        <v>2208</v>
      </c>
      <c r="D79" t="s">
        <v>1627</v>
      </c>
      <c r="F79" s="2">
        <v>45680</v>
      </c>
      <c r="H79" t="s">
        <v>1663</v>
      </c>
      <c r="I79" t="s">
        <v>2209</v>
      </c>
      <c r="J79" t="s">
        <v>1644</v>
      </c>
      <c r="K79" s="3" t="s">
        <v>2210</v>
      </c>
      <c r="L79" t="s">
        <v>1630</v>
      </c>
      <c r="N79" s="3" t="str">
        <f>HYPERLINK("https://app.hypeauditor.com/my-network/influencer/23057466/analytics/tiktok/pagutiles","https://app.hypeauditor.com/my-network/influencer/23057466/analytics/tiktok/pagutiles")</f>
        <v>https://app.hypeauditor.com/my-network/influencer/23057466/analytics/tiktok/pagutiles</v>
      </c>
      <c r="O79" s="3" t="str">
        <f>HYPERLINK("https://www.tiktok.com/@pagutiles","https://www.tiktok.com/@pagutiles")</f>
        <v>https://www.tiktok.com/@pagutiles</v>
      </c>
      <c r="P79" t="s">
        <v>56</v>
      </c>
      <c r="Q79" t="s">
        <v>57</v>
      </c>
      <c r="R79" t="s">
        <v>1703</v>
      </c>
      <c r="S79" t="s">
        <v>54</v>
      </c>
      <c r="T79">
        <v>592600</v>
      </c>
      <c r="U79" t="s">
        <v>2211</v>
      </c>
      <c r="W79" t="s">
        <v>55</v>
      </c>
      <c r="Y79" t="s">
        <v>54</v>
      </c>
      <c r="AA79" t="s">
        <v>55</v>
      </c>
      <c r="AE79" t="s">
        <v>55</v>
      </c>
      <c r="AG79" t="s">
        <v>54</v>
      </c>
      <c r="AI79" t="s">
        <v>55</v>
      </c>
      <c r="AK79" t="s">
        <v>55</v>
      </c>
      <c r="AM79" t="s">
        <v>55</v>
      </c>
      <c r="AO79" t="s">
        <v>55</v>
      </c>
      <c r="AQ79" t="s">
        <v>54</v>
      </c>
      <c r="AR79">
        <v>38000</v>
      </c>
      <c r="AS79">
        <v>0.059</v>
      </c>
      <c r="AT79" t="s">
        <v>2212</v>
      </c>
      <c r="AU79">
        <v>395</v>
      </c>
      <c r="AW79" t="s">
        <v>2213</v>
      </c>
      <c r="AX79" t="s">
        <v>2214</v>
      </c>
      <c r="AY79" t="s">
        <v>2215</v>
      </c>
      <c r="AZ79" t="s">
        <v>2216</v>
      </c>
      <c r="BA79" t="s">
        <v>2217</v>
      </c>
      <c r="BD79" t="s">
        <v>1638</v>
      </c>
      <c r="BE79" t="s">
        <v>2216</v>
      </c>
      <c r="BG79" t="s">
        <v>1639</v>
      </c>
      <c r="BH79" t="s">
        <v>1640</v>
      </c>
      <c r="BJ79" s="3" t="s">
        <v>2210</v>
      </c>
    </row>
    <row r="80" ht="25.5" customHeight="1" spans="1:62">
      <c r="A80" t="s">
        <v>2218</v>
      </c>
      <c r="B80" t="s">
        <v>1701</v>
      </c>
      <c r="C80" t="s">
        <v>1688</v>
      </c>
      <c r="D80" t="s">
        <v>1627</v>
      </c>
      <c r="F80" s="2"/>
      <c r="H80" t="s">
        <v>1752</v>
      </c>
      <c r="I80" t="s">
        <v>2219</v>
      </c>
      <c r="J80" t="s">
        <v>1644</v>
      </c>
      <c r="K80" s="3" t="str">
        <f>HYPERLINK("https://www.instagram.com/reel/DEsMxEqoe_r/?igsh=MXhlN3NjMzJ5YTBnOA==","https://www.instagram.com/reel/DEsMxEqoe_r/?igsh=MXhlN3NjMzJ5YTBnOA==")</f>
        <v>https://www.instagram.com/reel/DEsMxEqoe_r/?igsh=MXhlN3NjMzJ5YTBnOA==</v>
      </c>
      <c r="L80" t="s">
        <v>1630</v>
      </c>
      <c r="N80" s="3" t="str">
        <f>HYPERLINK("https://app.hypeauditor.com/my-network/influencer/27671262/analytics/instagram/s.studybee","https://app.hypeauditor.com/my-network/influencer/27671262/analytics/instagram/s.studybee")</f>
        <v>https://app.hypeauditor.com/my-network/influencer/27671262/analytics/instagram/s.studybee</v>
      </c>
      <c r="O80" s="3" t="str">
        <f>HYPERLINK("https://www.instagram.com/s.studybee/reels/","https://www.instagram.com/s.studybee/reels/")</f>
        <v>https://www.instagram.com/s.studybee/reels/</v>
      </c>
      <c r="P80" t="s">
        <v>65</v>
      </c>
      <c r="Q80" t="s">
        <v>116</v>
      </c>
      <c r="R80" t="s">
        <v>1631</v>
      </c>
      <c r="S80" t="s">
        <v>54</v>
      </c>
      <c r="T80">
        <v>119900</v>
      </c>
      <c r="U80" t="s">
        <v>417</v>
      </c>
      <c r="W80" t="s">
        <v>55</v>
      </c>
      <c r="Y80" t="s">
        <v>54</v>
      </c>
      <c r="AA80" t="s">
        <v>55</v>
      </c>
      <c r="AE80" t="s">
        <v>55</v>
      </c>
      <c r="AG80" t="s">
        <v>54</v>
      </c>
      <c r="AI80" t="s">
        <v>55</v>
      </c>
      <c r="AK80" t="s">
        <v>55</v>
      </c>
      <c r="AM80" t="s">
        <v>55</v>
      </c>
      <c r="AO80" t="s">
        <v>55</v>
      </c>
      <c r="AQ80" t="s">
        <v>54</v>
      </c>
      <c r="AR80">
        <v>70000</v>
      </c>
      <c r="AS80">
        <v>0.03</v>
      </c>
      <c r="AT80" t="s">
        <v>2220</v>
      </c>
      <c r="AU80">
        <v>385</v>
      </c>
      <c r="AW80" t="s">
        <v>2221</v>
      </c>
      <c r="AX80" t="s">
        <v>1089</v>
      </c>
      <c r="AY80" t="s">
        <v>2222</v>
      </c>
      <c r="AZ80" t="s">
        <v>2223</v>
      </c>
      <c r="BA80" t="s">
        <v>2224</v>
      </c>
      <c r="BD80" t="s">
        <v>1638</v>
      </c>
      <c r="BE80" t="s">
        <v>2223</v>
      </c>
      <c r="BG80" t="s">
        <v>1639</v>
      </c>
      <c r="BH80" t="s">
        <v>1640</v>
      </c>
      <c r="BJ80" s="3" t="str">
        <f>HYPERLINK("https://www.instagram.com/reel/DEsMxEqoe_r/?igsh=MXhlN3NjMzJ5YTBnOA==","https://www.instagram.com/reel/DEsMxEqoe_r/?igsh=MXhlN3NjMzJ5YTBnOA==")</f>
        <v>https://www.instagram.com/reel/DEsMxEqoe_r/?igsh=MXhlN3NjMzJ5YTBnOA==</v>
      </c>
    </row>
    <row r="81" ht="25.5" customHeight="1" spans="1:62">
      <c r="A81" t="s">
        <v>2225</v>
      </c>
      <c r="B81" t="s">
        <v>1625</v>
      </c>
      <c r="C81" t="s">
        <v>2226</v>
      </c>
      <c r="D81" t="s">
        <v>1769</v>
      </c>
      <c r="F81" s="2">
        <v>45679</v>
      </c>
      <c r="H81" t="s">
        <v>1663</v>
      </c>
      <c r="I81" t="s">
        <v>2227</v>
      </c>
      <c r="J81" t="s">
        <v>1644</v>
      </c>
      <c r="K81" s="3"/>
      <c r="L81" t="s">
        <v>1630</v>
      </c>
      <c r="N81" s="3" t="str">
        <f>HYPERLINK("https://app.hypeauditor.com/my-network/influencer/27732209/analytics/tiktok/frostechgmz","https://app.hypeauditor.com/my-network/influencer/27732209/analytics/tiktok/frostechgmz")</f>
        <v>https://app.hypeauditor.com/my-network/influencer/27732209/analytics/tiktok/frostechgmz</v>
      </c>
      <c r="O81" s="3" t="str">
        <f>HYPERLINK("https://www.tiktok.com/@frostechgmz/video/7462529856832556294","https://www.tiktok.com/@frostechgmz/video/7462529856832556294")</f>
        <v>https://www.tiktok.com/@frostechgmz/video/7462529856832556294</v>
      </c>
      <c r="P81" t="s">
        <v>56</v>
      </c>
      <c r="Q81" t="s">
        <v>57</v>
      </c>
      <c r="R81" t="s">
        <v>1753</v>
      </c>
      <c r="S81" t="s">
        <v>54</v>
      </c>
      <c r="T81">
        <v>165400</v>
      </c>
      <c r="U81" t="s">
        <v>2228</v>
      </c>
      <c r="W81" t="s">
        <v>55</v>
      </c>
      <c r="Y81" t="s">
        <v>54</v>
      </c>
      <c r="AA81" t="s">
        <v>55</v>
      </c>
      <c r="AE81" t="s">
        <v>55</v>
      </c>
      <c r="AG81" t="s">
        <v>54</v>
      </c>
      <c r="AI81" t="s">
        <v>55</v>
      </c>
      <c r="AK81" t="s">
        <v>55</v>
      </c>
      <c r="AM81" t="s">
        <v>55</v>
      </c>
      <c r="AO81" t="s">
        <v>55</v>
      </c>
      <c r="AQ81" t="s">
        <v>54</v>
      </c>
      <c r="AR81">
        <v>60000</v>
      </c>
      <c r="AS81">
        <v>0.044</v>
      </c>
      <c r="AT81" t="s">
        <v>2229</v>
      </c>
      <c r="AU81">
        <v>350</v>
      </c>
      <c r="AW81" t="s">
        <v>2230</v>
      </c>
      <c r="AX81" t="s">
        <v>1003</v>
      </c>
      <c r="AY81" t="s">
        <v>2231</v>
      </c>
      <c r="AZ81" t="s">
        <v>2232</v>
      </c>
      <c r="BA81" t="s">
        <v>2233</v>
      </c>
      <c r="BD81" t="s">
        <v>1830</v>
      </c>
      <c r="BE81" t="s">
        <v>2232</v>
      </c>
      <c r="BG81" t="s">
        <v>1639</v>
      </c>
      <c r="BH81" t="s">
        <v>1640</v>
      </c>
      <c r="BJ81" s="3"/>
    </row>
    <row r="82" ht="25.5" customHeight="1" spans="1:62">
      <c r="A82" t="s">
        <v>2234</v>
      </c>
      <c r="B82" t="s">
        <v>1625</v>
      </c>
      <c r="C82" t="s">
        <v>1815</v>
      </c>
      <c r="F82" s="2"/>
      <c r="H82" t="s">
        <v>1663</v>
      </c>
      <c r="J82" t="s">
        <v>1816</v>
      </c>
      <c r="K82" s="3" t="str">
        <f>HYPERLINK("https://x.com/LearnWithBishal/status/1876583112194531573","https://x.com/LearnWithBishal/status/1876583112194531573")</f>
        <v>https://x.com/LearnWithBishal/status/1876583112194531573</v>
      </c>
      <c r="L82" t="s">
        <v>1630</v>
      </c>
      <c r="N82" s="3"/>
      <c r="O82" s="3" t="str">
        <f>HYPERLINK("https://x.com/LearnWithBishal","https://x.com/LearnWithBishal")</f>
        <v>https://x.com/LearnWithBishal</v>
      </c>
      <c r="P82" t="s">
        <v>1816</v>
      </c>
      <c r="Q82" t="s">
        <v>1817</v>
      </c>
      <c r="R82" t="s">
        <v>1631</v>
      </c>
      <c r="S82" t="s">
        <v>54</v>
      </c>
      <c r="T82">
        <v>108700</v>
      </c>
      <c r="U82" t="s">
        <v>2235</v>
      </c>
      <c r="W82" t="s">
        <v>55</v>
      </c>
      <c r="Y82" t="s">
        <v>54</v>
      </c>
      <c r="AA82" t="s">
        <v>55</v>
      </c>
      <c r="AE82" t="s">
        <v>55</v>
      </c>
      <c r="AG82" t="s">
        <v>54</v>
      </c>
      <c r="AI82" t="s">
        <v>55</v>
      </c>
      <c r="AK82" t="s">
        <v>55</v>
      </c>
      <c r="AM82" t="s">
        <v>55</v>
      </c>
      <c r="AO82" t="s">
        <v>55</v>
      </c>
      <c r="AQ82" t="s">
        <v>54</v>
      </c>
      <c r="AR82">
        <v>50000</v>
      </c>
      <c r="AS82">
        <v>0.048</v>
      </c>
      <c r="AT82" t="s">
        <v>2109</v>
      </c>
      <c r="AU82">
        <v>350</v>
      </c>
      <c r="AW82" t="s">
        <v>2110</v>
      </c>
      <c r="AX82" t="s">
        <v>359</v>
      </c>
      <c r="AY82" t="s">
        <v>360</v>
      </c>
      <c r="AZ82" t="s">
        <v>1803</v>
      </c>
      <c r="BA82" t="s">
        <v>2236</v>
      </c>
      <c r="BD82" t="s">
        <v>1638</v>
      </c>
      <c r="BE82" t="s">
        <v>1803</v>
      </c>
      <c r="BG82" t="s">
        <v>1639</v>
      </c>
      <c r="BH82" t="s">
        <v>1640</v>
      </c>
      <c r="BJ82" s="3" t="str">
        <f>HYPERLINK("https://x.com/LearnWithBishal/status/1876583112194531573","https://x.com/LearnWithBishal/status/1876583112194531573")</f>
        <v>https://x.com/LearnWithBishal/status/1876583112194531573</v>
      </c>
    </row>
    <row r="83" ht="25.5" customHeight="1" spans="1:62">
      <c r="A83" t="s">
        <v>2237</v>
      </c>
      <c r="B83" t="s">
        <v>1625</v>
      </c>
      <c r="C83" t="s">
        <v>2096</v>
      </c>
      <c r="F83" s="2"/>
      <c r="H83" t="s">
        <v>1663</v>
      </c>
      <c r="J83" t="s">
        <v>1644</v>
      </c>
      <c r="K83" s="3" t="str">
        <f>HYPERLINK("https://x.com/hey_madni/status/1876625861451063357","https://x.com/hey_madni/status/1876625861451063357")</f>
        <v>https://x.com/hey_madni/status/1876625861451063357</v>
      </c>
      <c r="L83" t="s">
        <v>1630</v>
      </c>
      <c r="N83" s="3"/>
      <c r="O83" s="3" t="str">
        <f>HYPERLINK("https://x.com/hey_madni","https://x.com/hey_madni")</f>
        <v>https://x.com/hey_madni</v>
      </c>
      <c r="P83" t="s">
        <v>1816</v>
      </c>
      <c r="Q83" t="s">
        <v>1817</v>
      </c>
      <c r="R83" t="s">
        <v>1652</v>
      </c>
      <c r="S83" t="s">
        <v>54</v>
      </c>
      <c r="T83">
        <v>107000</v>
      </c>
      <c r="U83" t="s">
        <v>2238</v>
      </c>
      <c r="W83" t="s">
        <v>55</v>
      </c>
      <c r="Y83" t="s">
        <v>54</v>
      </c>
      <c r="AA83" t="s">
        <v>55</v>
      </c>
      <c r="AE83" t="s">
        <v>55</v>
      </c>
      <c r="AG83" t="s">
        <v>54</v>
      </c>
      <c r="AI83" t="s">
        <v>55</v>
      </c>
      <c r="AK83" t="s">
        <v>55</v>
      </c>
      <c r="AM83" t="s">
        <v>55</v>
      </c>
      <c r="AO83" t="s">
        <v>55</v>
      </c>
      <c r="AQ83" t="s">
        <v>54</v>
      </c>
      <c r="AR83">
        <v>42000</v>
      </c>
      <c r="AS83">
        <v>0.05</v>
      </c>
      <c r="AT83" t="s">
        <v>2239</v>
      </c>
      <c r="AU83">
        <v>350</v>
      </c>
      <c r="AW83" t="s">
        <v>2240</v>
      </c>
      <c r="AX83" t="s">
        <v>1774</v>
      </c>
      <c r="AY83" t="s">
        <v>1775</v>
      </c>
      <c r="AZ83" t="s">
        <v>2102</v>
      </c>
      <c r="BA83" t="s">
        <v>2241</v>
      </c>
      <c r="BD83" t="s">
        <v>1638</v>
      </c>
      <c r="BE83" t="s">
        <v>2102</v>
      </c>
      <c r="BG83" t="s">
        <v>1639</v>
      </c>
      <c r="BH83" t="s">
        <v>1640</v>
      </c>
      <c r="BJ83" s="3" t="str">
        <f>HYPERLINK("https://x.com/hey_madni/status/1876625861451063357","https://x.com/hey_madni/status/1876625861451063357")</f>
        <v>https://x.com/hey_madni/status/1876625861451063357</v>
      </c>
    </row>
    <row r="84" ht="25.5" customHeight="1" spans="1:62">
      <c r="A84" t="s">
        <v>392</v>
      </c>
      <c r="B84" t="s">
        <v>1701</v>
      </c>
      <c r="C84" t="s">
        <v>2242</v>
      </c>
      <c r="D84" t="s">
        <v>1627</v>
      </c>
      <c r="F84" s="2"/>
      <c r="H84" t="s">
        <v>1770</v>
      </c>
      <c r="I84" t="s">
        <v>2243</v>
      </c>
      <c r="J84" t="s">
        <v>317</v>
      </c>
      <c r="K84" s="3" t="str">
        <f>HYPERLINK("https://www.instagram.com/reel/DFFWPXZT0JI/","https://www.instagram.com/reel/DFFWPXZT0JI/")</f>
        <v>https://www.instagram.com/reel/DFFWPXZT0JI/</v>
      </c>
      <c r="L84" t="s">
        <v>1630</v>
      </c>
      <c r="N84" s="3" t="str">
        <f>HYPERLINK("https://app.hypeauditor.com/my-network/influencer/956360/analytics/instagram/ux.edward","https://app.hypeauditor.com/my-network/influencer/956360/analytics/instagram/ux.edward")</f>
        <v>https://app.hypeauditor.com/my-network/influencer/956360/analytics/instagram/ux.edward</v>
      </c>
      <c r="O84" s="3" t="str">
        <f>HYPERLINK("https://www.instagram.com/ux.edward/reels/","https://www.instagram.com/ux.edward/reels/")</f>
        <v>https://www.instagram.com/ux.edward/reels/</v>
      </c>
      <c r="P84" t="s">
        <v>65</v>
      </c>
      <c r="Q84" t="s">
        <v>116</v>
      </c>
      <c r="R84" t="s">
        <v>1631</v>
      </c>
      <c r="S84" t="s">
        <v>54</v>
      </c>
      <c r="T84">
        <v>117700</v>
      </c>
      <c r="U84" t="s">
        <v>393</v>
      </c>
      <c r="W84" t="s">
        <v>55</v>
      </c>
      <c r="Y84" t="s">
        <v>54</v>
      </c>
      <c r="AA84" t="s">
        <v>55</v>
      </c>
      <c r="AE84" t="s">
        <v>55</v>
      </c>
      <c r="AG84" t="s">
        <v>54</v>
      </c>
      <c r="AI84" t="s">
        <v>55</v>
      </c>
      <c r="AK84" t="s">
        <v>55</v>
      </c>
      <c r="AM84" t="s">
        <v>55</v>
      </c>
      <c r="AO84" t="s">
        <v>55</v>
      </c>
      <c r="AQ84" t="s">
        <v>54</v>
      </c>
      <c r="AR84">
        <v>23400</v>
      </c>
      <c r="AS84">
        <v>0.03</v>
      </c>
      <c r="AT84" t="s">
        <v>2244</v>
      </c>
      <c r="AU84">
        <v>300</v>
      </c>
      <c r="AW84" t="s">
        <v>2245</v>
      </c>
      <c r="AX84" t="s">
        <v>2246</v>
      </c>
      <c r="AY84" t="s">
        <v>2247</v>
      </c>
      <c r="AZ84" t="s">
        <v>2248</v>
      </c>
      <c r="BA84" t="s">
        <v>2249</v>
      </c>
      <c r="BD84" t="s">
        <v>1638</v>
      </c>
      <c r="BE84" t="s">
        <v>2248</v>
      </c>
      <c r="BG84" t="s">
        <v>1639</v>
      </c>
      <c r="BH84" t="s">
        <v>1640</v>
      </c>
      <c r="BJ84" s="3" t="str">
        <f>HYPERLINK("https://www.instagram.com/reel/DFFWPXZT0JI/","https://www.instagram.com/reel/DFFWPXZT0JI/")</f>
        <v>https://www.instagram.com/reel/DFFWPXZT0JI/</v>
      </c>
    </row>
    <row r="85" ht="25.5" customHeight="1" spans="1:62">
      <c r="A85" t="s">
        <v>616</v>
      </c>
      <c r="B85" t="s">
        <v>1701</v>
      </c>
      <c r="C85" t="s">
        <v>1688</v>
      </c>
      <c r="D85" t="s">
        <v>1627</v>
      </c>
      <c r="F85" s="2"/>
      <c r="H85" t="s">
        <v>1663</v>
      </c>
      <c r="I85" t="s">
        <v>2250</v>
      </c>
      <c r="J85" t="s">
        <v>1725</v>
      </c>
      <c r="K85" s="3" t="str">
        <f>HYPERLINK("https://www.instagram.com/reel/DE7Vb2LN1Tw/?igsh=MTQ5MHFhMmdwMG96dw==","https://www.instagram.com/reel/DE7Vb2LN1Tw/?igsh=MTQ5MHFhMmdwMG96dw==")</f>
        <v>https://www.instagram.com/reel/DE7Vb2LN1Tw/?igsh=MTQ5MHFhMmdwMG96dw==</v>
      </c>
      <c r="L85" t="s">
        <v>1630</v>
      </c>
      <c r="N85" s="3" t="str">
        <f>HYPERLINK("https://app.hypeauditor.com/my-network/influencer/19872523/analytics/instagram/kristel_tech","https://app.hypeauditor.com/my-network/influencer/19872523/analytics/instagram/kristel_tech")</f>
        <v>https://app.hypeauditor.com/my-network/influencer/19872523/analytics/instagram/kristel_tech</v>
      </c>
      <c r="O85" s="3" t="str">
        <f>HYPERLINK("https://www.instagram.com/kristel_tech/reels/","https://www.instagram.com/kristel_tech/reels/")</f>
        <v>https://www.instagram.com/kristel_tech/reels/</v>
      </c>
      <c r="P85" t="s">
        <v>65</v>
      </c>
      <c r="Q85" t="s">
        <v>116</v>
      </c>
      <c r="R85" t="s">
        <v>1703</v>
      </c>
      <c r="S85" t="s">
        <v>54</v>
      </c>
      <c r="T85">
        <v>76200</v>
      </c>
      <c r="U85" t="s">
        <v>55</v>
      </c>
      <c r="W85" t="s">
        <v>55</v>
      </c>
      <c r="Y85" t="s">
        <v>54</v>
      </c>
      <c r="AA85" t="s">
        <v>55</v>
      </c>
      <c r="AE85" t="s">
        <v>55</v>
      </c>
      <c r="AG85" t="s">
        <v>54</v>
      </c>
      <c r="AI85" t="s">
        <v>55</v>
      </c>
      <c r="AK85" t="s">
        <v>55</v>
      </c>
      <c r="AM85" t="s">
        <v>55</v>
      </c>
      <c r="AO85" t="s">
        <v>55</v>
      </c>
      <c r="AQ85" t="s">
        <v>54</v>
      </c>
      <c r="AR85">
        <v>22000</v>
      </c>
      <c r="AS85">
        <v>0.0327</v>
      </c>
      <c r="AT85" t="s">
        <v>2251</v>
      </c>
      <c r="AU85">
        <v>300</v>
      </c>
      <c r="AW85" t="s">
        <v>2252</v>
      </c>
      <c r="AX85" t="s">
        <v>619</v>
      </c>
      <c r="AY85" t="s">
        <v>620</v>
      </c>
      <c r="AZ85" t="s">
        <v>2253</v>
      </c>
      <c r="BA85" t="s">
        <v>2254</v>
      </c>
      <c r="BD85" t="s">
        <v>1638</v>
      </c>
      <c r="BE85" t="s">
        <v>2253</v>
      </c>
      <c r="BG85" t="s">
        <v>1639</v>
      </c>
      <c r="BH85" t="s">
        <v>1640</v>
      </c>
      <c r="BJ85" s="3" t="str">
        <f>HYPERLINK("https://www.instagram.com/reel/DE7Vb2LN1Tw/?igsh=MTQ5MHFhMmdwMG96dw==","https://www.instagram.com/reel/DE7Vb2LN1Tw/?igsh=MTQ5MHFhMmdwMG96dw==")</f>
        <v>https://www.instagram.com/reel/DE7Vb2LN1Tw/?igsh=MTQ5MHFhMmdwMG96dw==</v>
      </c>
    </row>
    <row r="86" ht="25.5" customHeight="1" spans="1:62">
      <c r="A86" t="s">
        <v>1404</v>
      </c>
      <c r="B86" t="s">
        <v>1701</v>
      </c>
      <c r="C86" t="s">
        <v>1688</v>
      </c>
      <c r="D86" t="s">
        <v>1627</v>
      </c>
      <c r="F86" s="2">
        <v>45672</v>
      </c>
      <c r="H86" t="s">
        <v>1663</v>
      </c>
      <c r="I86" t="s">
        <v>2255</v>
      </c>
      <c r="J86" t="s">
        <v>1725</v>
      </c>
      <c r="K86" s="3" t="str">
        <f>HYPERLINK("https://www.instagram.com/reel/DE22qPfStDj/?igsh=MzRlODBiNWFlZA==","https://www.instagram.com/reel/DE22qPfStDj/?igsh=MzRlODBiNWFlZA==")</f>
        <v>https://www.instagram.com/reel/DE22qPfStDj/?igsh=MzRlODBiNWFlZA==</v>
      </c>
      <c r="L86" t="s">
        <v>1630</v>
      </c>
      <c r="N86" s="3" t="str">
        <f>HYPERLINK("https://app.hypeauditor.com/my-network/influencer/16544888/analytics/instagram/codingmermaid.ai","https://app.hypeauditor.com/my-network/influencer/16544888/analytics/instagram/codingmermaid.ai")</f>
        <v>https://app.hypeauditor.com/my-network/influencer/16544888/analytics/instagram/codingmermaid.ai</v>
      </c>
      <c r="O86" s="3" t="str">
        <f>HYPERLINK("https://www.instagram.com/codingmermaid.ai/","https://www.instagram.com/codingmermaid.ai/")</f>
        <v>https://www.instagram.com/codingmermaid.ai/</v>
      </c>
      <c r="P86" t="s">
        <v>65</v>
      </c>
      <c r="Q86" t="s">
        <v>2256</v>
      </c>
      <c r="R86" t="s">
        <v>1631</v>
      </c>
      <c r="S86" t="s">
        <v>54</v>
      </c>
      <c r="T86">
        <v>164100</v>
      </c>
      <c r="U86" t="s">
        <v>1405</v>
      </c>
      <c r="W86" t="s">
        <v>55</v>
      </c>
      <c r="Y86" t="s">
        <v>54</v>
      </c>
      <c r="AA86" t="s">
        <v>55</v>
      </c>
      <c r="AE86" t="s">
        <v>55</v>
      </c>
      <c r="AG86" t="s">
        <v>54</v>
      </c>
      <c r="AI86" t="s">
        <v>55</v>
      </c>
      <c r="AK86" t="s">
        <v>55</v>
      </c>
      <c r="AM86" t="s">
        <v>55</v>
      </c>
      <c r="AO86" t="s">
        <v>55</v>
      </c>
      <c r="AQ86" t="s">
        <v>54</v>
      </c>
      <c r="AR86">
        <v>50000</v>
      </c>
      <c r="AS86">
        <v>0.03</v>
      </c>
      <c r="AT86" t="s">
        <v>2257</v>
      </c>
      <c r="AU86">
        <v>300</v>
      </c>
      <c r="AW86" t="s">
        <v>2258</v>
      </c>
      <c r="AX86" t="s">
        <v>1410</v>
      </c>
      <c r="AY86" t="s">
        <v>1411</v>
      </c>
      <c r="AZ86" t="s">
        <v>2259</v>
      </c>
      <c r="BA86" t="s">
        <v>2260</v>
      </c>
      <c r="BD86" t="s">
        <v>1638</v>
      </c>
      <c r="BE86" t="s">
        <v>2259</v>
      </c>
      <c r="BG86" t="s">
        <v>1639</v>
      </c>
      <c r="BH86" t="s">
        <v>1640</v>
      </c>
      <c r="BJ86" s="3" t="str">
        <f>HYPERLINK("https://www.instagram.com/reel/DE22qPfStDj/?igsh=MzRlODBiNWFlZA==","https://www.instagram.com/reel/DE22qPfStDj/?igsh=MzRlODBiNWFlZA==")</f>
        <v>https://www.instagram.com/reel/DE22qPfStDj/?igsh=MzRlODBiNWFlZA==</v>
      </c>
    </row>
    <row r="87" ht="25.5" customHeight="1" spans="1:62">
      <c r="A87" t="s">
        <v>2261</v>
      </c>
      <c r="B87" t="s">
        <v>1701</v>
      </c>
      <c r="C87" t="s">
        <v>1650</v>
      </c>
      <c r="F87" s="2">
        <v>45690</v>
      </c>
      <c r="H87" t="s">
        <v>2106</v>
      </c>
      <c r="I87" t="s">
        <v>2262</v>
      </c>
      <c r="J87" t="s">
        <v>1725</v>
      </c>
      <c r="K87" s="3" t="str">
        <f>HYPERLINK("https://www.tiktok.com/@toquederetoque/video/7466914349450284310?_r=1&amp;_t=ZN-8td9mVAJXza","https://www.tiktok.com/@toquederetoque/video/7466914349450284310?_r=1&amp;_t=ZN-8td9mVAJXza")</f>
        <v>https://www.tiktok.com/@toquederetoque/video/7466914349450284310?_r=1&amp;_t=ZN-8td9mVAJXza</v>
      </c>
      <c r="L87" t="s">
        <v>1630</v>
      </c>
      <c r="N87" s="3"/>
      <c r="O87" s="3" t="str">
        <f>HYPERLINK("https://www.tiktok.com/@toquederetoque","https://www.tiktok.com/@toquederetoque")</f>
        <v>https://www.tiktok.com/@toquederetoque</v>
      </c>
      <c r="P87" t="s">
        <v>56</v>
      </c>
      <c r="Q87" t="s">
        <v>57</v>
      </c>
      <c r="R87" t="s">
        <v>1652</v>
      </c>
      <c r="S87" t="s">
        <v>54</v>
      </c>
      <c r="T87">
        <v>620100</v>
      </c>
      <c r="U87" t="s">
        <v>1409</v>
      </c>
      <c r="W87" t="s">
        <v>55</v>
      </c>
      <c r="Y87" t="s">
        <v>54</v>
      </c>
      <c r="AA87" t="s">
        <v>55</v>
      </c>
      <c r="AE87" t="s">
        <v>55</v>
      </c>
      <c r="AG87" t="s">
        <v>54</v>
      </c>
      <c r="AI87" t="s">
        <v>55</v>
      </c>
      <c r="AK87" t="s">
        <v>55</v>
      </c>
      <c r="AM87" t="s">
        <v>55</v>
      </c>
      <c r="AO87" t="s">
        <v>55</v>
      </c>
      <c r="AQ87" t="s">
        <v>54</v>
      </c>
      <c r="AR87">
        <v>50000</v>
      </c>
      <c r="AS87">
        <v>0.035</v>
      </c>
      <c r="AT87" t="s">
        <v>2263</v>
      </c>
      <c r="AU87">
        <v>300</v>
      </c>
      <c r="AW87" t="s">
        <v>2264</v>
      </c>
      <c r="AX87" t="s">
        <v>1410</v>
      </c>
      <c r="AY87" t="s">
        <v>1411</v>
      </c>
      <c r="AZ87" t="s">
        <v>2265</v>
      </c>
      <c r="BA87" t="s">
        <v>2266</v>
      </c>
      <c r="BD87" t="s">
        <v>1638</v>
      </c>
      <c r="BE87" t="s">
        <v>2265</v>
      </c>
      <c r="BG87" t="s">
        <v>1639</v>
      </c>
      <c r="BH87" t="s">
        <v>1640</v>
      </c>
      <c r="BJ87" s="3" t="str">
        <f>HYPERLINK("https://www.tiktok.com/@toquederetoque/video/7466914349450284310?_r=1&amp;_t=ZN-8td9mVAJXza","https://www.tiktok.com/@toquederetoque/video/7466914349450284310?_r=1&amp;_t=ZN-8td9mVAJXza")</f>
        <v>https://www.tiktok.com/@toquederetoque/video/7466914349450284310?_r=1&amp;_t=ZN-8td9mVAJXza</v>
      </c>
    </row>
    <row r="88" ht="25.5" customHeight="1" spans="1:62">
      <c r="A88" t="s">
        <v>2267</v>
      </c>
      <c r="B88" t="s">
        <v>1625</v>
      </c>
      <c r="C88" t="s">
        <v>1815</v>
      </c>
      <c r="F88" s="2"/>
      <c r="H88" t="s">
        <v>1663</v>
      </c>
      <c r="J88" t="s">
        <v>1644</v>
      </c>
      <c r="K88" s="3" t="str">
        <f>HYPERLINK("https://x.com/MiguelMaestroIA/status/1876894468940403019","https://x.com/MiguelMaestroIA/status/1876894468940403019")</f>
        <v>https://x.com/MiguelMaestroIA/status/1876894468940403019</v>
      </c>
      <c r="L88" t="s">
        <v>1630</v>
      </c>
      <c r="N88" s="3"/>
      <c r="O88" s="3" t="str">
        <f>HYPERLINK("https://x.com/IA_Quijotehttps://x.com/MiguelMaestroIA","https://x.com/IA_Quijotehttps://x.com/MiguelMaestroIA")</f>
        <v>https://x.com/IA_Quijotehttps://x.com/MiguelMaestroIA</v>
      </c>
      <c r="P88" t="s">
        <v>1816</v>
      </c>
      <c r="Q88" t="s">
        <v>1817</v>
      </c>
      <c r="R88" t="s">
        <v>1703</v>
      </c>
      <c r="S88" t="s">
        <v>54</v>
      </c>
      <c r="T88">
        <v>294600</v>
      </c>
      <c r="U88" t="s">
        <v>2268</v>
      </c>
      <c r="W88" t="s">
        <v>55</v>
      </c>
      <c r="Y88" t="s">
        <v>54</v>
      </c>
      <c r="AA88" t="s">
        <v>55</v>
      </c>
      <c r="AE88" t="s">
        <v>55</v>
      </c>
      <c r="AG88" t="s">
        <v>54</v>
      </c>
      <c r="AI88" t="s">
        <v>55</v>
      </c>
      <c r="AK88" t="s">
        <v>55</v>
      </c>
      <c r="AM88" t="s">
        <v>55</v>
      </c>
      <c r="AO88" t="s">
        <v>55</v>
      </c>
      <c r="AQ88" t="s">
        <v>54</v>
      </c>
      <c r="AR88">
        <v>100000</v>
      </c>
      <c r="AS88">
        <v>0.02</v>
      </c>
      <c r="AT88" t="s">
        <v>2269</v>
      </c>
      <c r="AU88">
        <v>300</v>
      </c>
      <c r="AW88" t="s">
        <v>2270</v>
      </c>
      <c r="AX88" t="s">
        <v>2271</v>
      </c>
      <c r="AY88" t="s">
        <v>2272</v>
      </c>
      <c r="AZ88" t="s">
        <v>2161</v>
      </c>
      <c r="BA88" t="s">
        <v>2273</v>
      </c>
      <c r="BD88" t="s">
        <v>1638</v>
      </c>
      <c r="BE88" t="s">
        <v>2161</v>
      </c>
      <c r="BG88" t="s">
        <v>1639</v>
      </c>
      <c r="BH88" t="s">
        <v>1640</v>
      </c>
      <c r="BJ88" s="3" t="str">
        <f>HYPERLINK("https://x.com/MiguelMaestroIA/status/1876894468940403019","https://x.com/MiguelMaestroIA/status/1876894468940403019")</f>
        <v>https://x.com/MiguelMaestroIA/status/1876894468940403019</v>
      </c>
    </row>
    <row r="89" ht="25.5" customHeight="1" spans="1:62">
      <c r="A89" t="s">
        <v>1979</v>
      </c>
      <c r="B89" t="s">
        <v>1625</v>
      </c>
      <c r="C89" t="s">
        <v>2274</v>
      </c>
      <c r="D89" t="s">
        <v>1627</v>
      </c>
      <c r="F89" s="2"/>
      <c r="H89" t="s">
        <v>1861</v>
      </c>
      <c r="J89" t="s">
        <v>65</v>
      </c>
      <c r="K89" s="3" t="str">
        <f>HYPERLINK("https://www.instagram.com/p/DE-xSCvT-Ku/","https://www.instagram.com/p/DE-xSCvT-Ku/")</f>
        <v>https://www.instagram.com/p/DE-xSCvT-Ku/</v>
      </c>
      <c r="L89" t="s">
        <v>1630</v>
      </c>
      <c r="N89" s="3"/>
      <c r="O89" s="3"/>
      <c r="P89" t="s">
        <v>65</v>
      </c>
      <c r="Q89" t="s">
        <v>116</v>
      </c>
      <c r="R89" t="s">
        <v>1913</v>
      </c>
      <c r="S89" t="s">
        <v>54</v>
      </c>
      <c r="T89">
        <v>84000</v>
      </c>
      <c r="U89" t="s">
        <v>55</v>
      </c>
      <c r="W89" t="s">
        <v>55</v>
      </c>
      <c r="Y89" t="s">
        <v>54</v>
      </c>
      <c r="AA89" t="s">
        <v>55</v>
      </c>
      <c r="AE89" t="s">
        <v>55</v>
      </c>
      <c r="AG89" t="s">
        <v>54</v>
      </c>
      <c r="AI89" t="s">
        <v>55</v>
      </c>
      <c r="AK89" t="s">
        <v>55</v>
      </c>
      <c r="AM89" t="s">
        <v>55</v>
      </c>
      <c r="AO89" t="s">
        <v>55</v>
      </c>
      <c r="AQ89" t="s">
        <v>54</v>
      </c>
      <c r="AR89">
        <v>30000</v>
      </c>
      <c r="AS89">
        <v>0.0367</v>
      </c>
      <c r="AT89" t="s">
        <v>2275</v>
      </c>
      <c r="AU89">
        <v>300</v>
      </c>
      <c r="AW89" t="s">
        <v>2276</v>
      </c>
      <c r="AX89" t="s">
        <v>139</v>
      </c>
      <c r="AY89" t="s">
        <v>140</v>
      </c>
      <c r="AZ89" t="s">
        <v>2277</v>
      </c>
      <c r="BA89" t="s">
        <v>2278</v>
      </c>
      <c r="BD89" t="s">
        <v>1638</v>
      </c>
      <c r="BE89" t="s">
        <v>2277</v>
      </c>
      <c r="BG89" t="s">
        <v>1639</v>
      </c>
      <c r="BH89" t="s">
        <v>1640</v>
      </c>
      <c r="BJ89" s="3" t="str">
        <f>HYPERLINK("https://www.instagram.com/p/DE-xSCvT-Ku/","https://www.instagram.com/p/DE-xSCvT-Ku/")</f>
        <v>https://www.instagram.com/p/DE-xSCvT-Ku/</v>
      </c>
    </row>
    <row r="90" ht="25.5" customHeight="1" spans="1:62">
      <c r="A90" t="s">
        <v>2279</v>
      </c>
      <c r="B90" t="s">
        <v>1625</v>
      </c>
      <c r="C90" t="s">
        <v>2280</v>
      </c>
      <c r="D90" t="s">
        <v>1627</v>
      </c>
      <c r="F90" s="2"/>
      <c r="H90" t="s">
        <v>2281</v>
      </c>
      <c r="I90" t="s">
        <v>2282</v>
      </c>
      <c r="J90" t="s">
        <v>1644</v>
      </c>
      <c r="K90" s="3" t="str">
        <f>HYPERLINK("https://www.instagram.com/reel/DFDrQmgP2BB/?igsh=MXAzMWNsbmt1aWFnbA%3D%3D","https://www.instagram.com/reel/DFDrQmgP2BB/?igsh=MXAzMWNsbmt1aWFnbA%3D%3D")</f>
        <v>https://www.instagram.com/reel/DFDrQmgP2BB/?igsh=MXAzMWNsbmt1aWFnbA%3D%3D</v>
      </c>
      <c r="L90" t="s">
        <v>1630</v>
      </c>
      <c r="N90" s="3" t="str">
        <f>HYPERLINK("https://app.hypeauditor.com/my-network/influencer/4100741/analytics/instagram/geekformante","https://app.hypeauditor.com/my-network/influencer/4100741/analytics/instagram/geekformante")</f>
        <v>https://app.hypeauditor.com/my-network/influencer/4100741/analytics/instagram/geekformante</v>
      </c>
      <c r="O90" s="3" t="str">
        <f>HYPERLINK("https://www.instagram.com/geekformante/reels/","https://www.instagram.com/geekformante/reels/")</f>
        <v>https://www.instagram.com/geekformante/reels/</v>
      </c>
      <c r="P90" t="s">
        <v>65</v>
      </c>
      <c r="Q90" t="s">
        <v>116</v>
      </c>
      <c r="R90" t="s">
        <v>1753</v>
      </c>
      <c r="S90" t="s">
        <v>54</v>
      </c>
      <c r="T90">
        <v>64000</v>
      </c>
      <c r="U90" t="s">
        <v>55</v>
      </c>
      <c r="W90" t="s">
        <v>55</v>
      </c>
      <c r="Y90" t="s">
        <v>54</v>
      </c>
      <c r="AA90" t="s">
        <v>55</v>
      </c>
      <c r="AE90" t="s">
        <v>55</v>
      </c>
      <c r="AG90" t="s">
        <v>54</v>
      </c>
      <c r="AI90" t="s">
        <v>55</v>
      </c>
      <c r="AK90" t="s">
        <v>55</v>
      </c>
      <c r="AM90" t="s">
        <v>55</v>
      </c>
      <c r="AO90" t="s">
        <v>55</v>
      </c>
      <c r="AQ90" t="s">
        <v>54</v>
      </c>
      <c r="AR90">
        <v>32000</v>
      </c>
      <c r="AS90">
        <v>0.05</v>
      </c>
      <c r="AT90" t="s">
        <v>154</v>
      </c>
      <c r="AU90">
        <v>300</v>
      </c>
      <c r="AW90" t="s">
        <v>155</v>
      </c>
      <c r="AX90" t="s">
        <v>198</v>
      </c>
      <c r="AY90" t="s">
        <v>199</v>
      </c>
      <c r="AZ90" t="s">
        <v>2283</v>
      </c>
      <c r="BA90" t="s">
        <v>2284</v>
      </c>
      <c r="BD90" t="s">
        <v>1638</v>
      </c>
      <c r="BE90" t="s">
        <v>2283</v>
      </c>
      <c r="BG90" t="s">
        <v>1639</v>
      </c>
      <c r="BH90" t="s">
        <v>1640</v>
      </c>
      <c r="BJ90" s="3" t="str">
        <f>HYPERLINK("https://www.instagram.com/reel/DFDrQmgP2BB/?igsh=MXAzMWNsbmt1aWFnbA%3D%3D","https://www.instagram.com/reel/DFDrQmgP2BB/?igsh=MXAzMWNsbmt1aWFnbA%3D%3D")</f>
        <v>https://www.instagram.com/reel/DFDrQmgP2BB/?igsh=MXAzMWNsbmt1aWFnbA%3D%3D</v>
      </c>
    </row>
    <row r="91" ht="25.5" customHeight="1" spans="1:62">
      <c r="A91" t="s">
        <v>1526</v>
      </c>
      <c r="B91" t="s">
        <v>1638</v>
      </c>
      <c r="C91" t="s">
        <v>2285</v>
      </c>
      <c r="F91" s="2"/>
      <c r="I91" t="s">
        <v>2286</v>
      </c>
      <c r="J91" t="s">
        <v>317</v>
      </c>
      <c r="K91" s="3"/>
      <c r="L91" t="s">
        <v>1645</v>
      </c>
      <c r="N91" s="3" t="str">
        <f>HYPERLINK("https://app.hypeauditor.com/my-network/influencer/5196509/analytics/instagram/craftingwithcassandra","https://app.hypeauditor.com/my-network/influencer/5196509/analytics/instagram/craftingwithcassandra")</f>
        <v>https://app.hypeauditor.com/my-network/influencer/5196509/analytics/instagram/craftingwithcassandra</v>
      </c>
      <c r="O91" s="3"/>
      <c r="P91" t="s">
        <v>65</v>
      </c>
      <c r="Q91" t="s">
        <v>116</v>
      </c>
      <c r="S91" t="s">
        <v>54</v>
      </c>
      <c r="W91" t="s">
        <v>55</v>
      </c>
      <c r="Y91" t="s">
        <v>54</v>
      </c>
      <c r="AA91" t="s">
        <v>55</v>
      </c>
      <c r="AE91" t="s">
        <v>55</v>
      </c>
      <c r="AG91" t="s">
        <v>54</v>
      </c>
      <c r="AI91" t="s">
        <v>55</v>
      </c>
      <c r="AK91" t="s">
        <v>55</v>
      </c>
      <c r="AM91" t="s">
        <v>55</v>
      </c>
      <c r="AO91" t="s">
        <v>55</v>
      </c>
      <c r="AQ91" t="s">
        <v>54</v>
      </c>
      <c r="AT91" t="s">
        <v>54</v>
      </c>
      <c r="AU91">
        <v>300</v>
      </c>
      <c r="AW91" t="s">
        <v>54</v>
      </c>
      <c r="BD91" t="s">
        <v>1830</v>
      </c>
      <c r="BG91" t="s">
        <v>1639</v>
      </c>
      <c r="BH91" t="s">
        <v>1640</v>
      </c>
      <c r="BJ91" s="3"/>
    </row>
    <row r="92" ht="25.5" customHeight="1" spans="1:62">
      <c r="A92" t="s">
        <v>2287</v>
      </c>
      <c r="B92" t="s">
        <v>1830</v>
      </c>
      <c r="C92" t="s">
        <v>2288</v>
      </c>
      <c r="D92" t="s">
        <v>1627</v>
      </c>
      <c r="F92" s="2">
        <v>45679</v>
      </c>
      <c r="J92" t="s">
        <v>1644</v>
      </c>
      <c r="K92" s="3" t="str">
        <f>HYPERLINK("https://www.tiktok.com/@decodeia/video/7462792557794184470?_r=1&amp;_t=8sScHc9t6NK","https://www.tiktok.com/@decodeia/video/7462792557794184470?_r=1&amp;_t=8sScHc9t6NK")</f>
        <v>https://www.tiktok.com/@decodeia/video/7462792557794184470?_r=1&amp;_t=8sScHc9t6NK</v>
      </c>
      <c r="L92" t="s">
        <v>1630</v>
      </c>
      <c r="N92" s="3"/>
      <c r="O92" s="3" t="str">
        <f>HYPERLINK("https://www.tiktok.com/@decodeia","https://www.tiktok.com/@decodeia")</f>
        <v>https://www.tiktok.com/@decodeia</v>
      </c>
      <c r="P92" t="s">
        <v>56</v>
      </c>
      <c r="Q92" t="s">
        <v>57</v>
      </c>
      <c r="R92" t="s">
        <v>1779</v>
      </c>
      <c r="S92" t="s">
        <v>54</v>
      </c>
      <c r="T92">
        <v>46400</v>
      </c>
      <c r="U92" t="s">
        <v>55</v>
      </c>
      <c r="W92" t="s">
        <v>55</v>
      </c>
      <c r="Y92" t="s">
        <v>54</v>
      </c>
      <c r="AA92" t="s">
        <v>55</v>
      </c>
      <c r="AE92" t="s">
        <v>55</v>
      </c>
      <c r="AG92" t="s">
        <v>54</v>
      </c>
      <c r="AI92" t="s">
        <v>55</v>
      </c>
      <c r="AK92" t="s">
        <v>55</v>
      </c>
      <c r="AM92" t="s">
        <v>55</v>
      </c>
      <c r="AO92" t="s">
        <v>55</v>
      </c>
      <c r="AQ92" t="s">
        <v>54</v>
      </c>
      <c r="AR92">
        <v>50000</v>
      </c>
      <c r="AS92">
        <v>0.038</v>
      </c>
      <c r="AT92" t="s">
        <v>2289</v>
      </c>
      <c r="AU92">
        <v>300</v>
      </c>
      <c r="AW92" t="s">
        <v>2290</v>
      </c>
      <c r="AX92" t="s">
        <v>1410</v>
      </c>
      <c r="AY92" t="s">
        <v>1411</v>
      </c>
      <c r="AZ92" t="s">
        <v>2291</v>
      </c>
      <c r="BA92" t="s">
        <v>2292</v>
      </c>
      <c r="BD92" t="s">
        <v>1638</v>
      </c>
      <c r="BE92" t="s">
        <v>2291</v>
      </c>
      <c r="BG92" t="s">
        <v>1639</v>
      </c>
      <c r="BH92" t="s">
        <v>1640</v>
      </c>
      <c r="BJ92" s="3" t="str">
        <f>HYPERLINK("https://www.tiktok.com/@decodeia/video/7462792557794184470?_r=1&amp;_t=8sScHc9t6NK","https://www.tiktok.com/@decodeia/video/7462792557794184470?_r=1&amp;_t=8sScHc9t6NK")</f>
        <v>https://www.tiktok.com/@decodeia/video/7462792557794184470?_r=1&amp;_t=8sScHc9t6NK</v>
      </c>
    </row>
    <row r="93" ht="25.5" customHeight="1" spans="1:62">
      <c r="A93" t="s">
        <v>2293</v>
      </c>
      <c r="B93" t="s">
        <v>1625</v>
      </c>
      <c r="F93" s="2"/>
      <c r="I93" t="s">
        <v>2294</v>
      </c>
      <c r="J93" t="s">
        <v>1644</v>
      </c>
      <c r="K93" s="3" t="str">
        <f>HYPERLINK("https://vt.tiktok.com/ZSMLRcfqK/","https://vt.tiktok.com/ZSMLRcfqK/")</f>
        <v>https://vt.tiktok.com/ZSMLRcfqK/</v>
      </c>
      <c r="L93" t="s">
        <v>1630</v>
      </c>
      <c r="N93" s="3" t="str">
        <f>HYPERLINK("https://app.hypeauditor.com/my-network/influencer/1198550/analytics/tiktok/tarekadel.tech","https://app.hypeauditor.com/my-network/influencer/1198550/analytics/tiktok/tarekadel.tech")</f>
        <v>https://app.hypeauditor.com/my-network/influencer/1198550/analytics/tiktok/tarekadel.tech</v>
      </c>
      <c r="O93" s="3"/>
      <c r="P93" t="s">
        <v>56</v>
      </c>
      <c r="S93" t="s">
        <v>54</v>
      </c>
      <c r="W93" t="s">
        <v>55</v>
      </c>
      <c r="Y93" t="s">
        <v>54</v>
      </c>
      <c r="AA93" t="s">
        <v>55</v>
      </c>
      <c r="AE93" t="s">
        <v>55</v>
      </c>
      <c r="AG93" t="s">
        <v>54</v>
      </c>
      <c r="AI93" t="s">
        <v>55</v>
      </c>
      <c r="AK93" t="s">
        <v>55</v>
      </c>
      <c r="AM93" t="s">
        <v>55</v>
      </c>
      <c r="AO93" t="s">
        <v>55</v>
      </c>
      <c r="AQ93" t="s">
        <v>54</v>
      </c>
      <c r="AT93" t="s">
        <v>54</v>
      </c>
      <c r="AU93">
        <v>300</v>
      </c>
      <c r="AW93" t="s">
        <v>54</v>
      </c>
      <c r="BD93" t="s">
        <v>1638</v>
      </c>
      <c r="BG93" t="s">
        <v>1639</v>
      </c>
      <c r="BH93" t="s">
        <v>1640</v>
      </c>
      <c r="BI93" t="s">
        <v>2293</v>
      </c>
      <c r="BJ93" s="3" t="str">
        <f>HYPERLINK("https://vt.tiktok.com/ZSMLRcfqK/","https://vt.tiktok.com/ZSMLRcfqK/")</f>
        <v>https://vt.tiktok.com/ZSMLRcfqK/</v>
      </c>
    </row>
    <row r="94" ht="25.5" customHeight="1" spans="1:62">
      <c r="A94" t="s">
        <v>1984</v>
      </c>
      <c r="B94" t="s">
        <v>1625</v>
      </c>
      <c r="C94" t="s">
        <v>2295</v>
      </c>
      <c r="F94" s="2"/>
      <c r="J94" t="s">
        <v>1644</v>
      </c>
      <c r="K94" s="3" t="str">
        <f>HYPERLINK("https://www.instagram.com/p/DFdRTt7q1lV/","https://www.instagram.com/p/DFdRTt7q1lV/")</f>
        <v>https://www.instagram.com/p/DFdRTt7q1lV/</v>
      </c>
      <c r="L94" t="s">
        <v>1630</v>
      </c>
      <c r="N94" s="3"/>
      <c r="O94" s="3" t="str">
        <f>HYPERLINK("https://www.instagram.com/incroillable/","https://www.instagram.com/incroillable/")</f>
        <v>https://www.instagram.com/incroillable/</v>
      </c>
      <c r="P94" t="s">
        <v>65</v>
      </c>
      <c r="Q94" t="s">
        <v>116</v>
      </c>
      <c r="R94" t="s">
        <v>1652</v>
      </c>
      <c r="S94" t="s">
        <v>54</v>
      </c>
      <c r="T94">
        <v>42000</v>
      </c>
      <c r="U94" t="s">
        <v>55</v>
      </c>
      <c r="W94" t="s">
        <v>55</v>
      </c>
      <c r="Y94" t="s">
        <v>54</v>
      </c>
      <c r="AA94" t="s">
        <v>55</v>
      </c>
      <c r="AE94" t="s">
        <v>55</v>
      </c>
      <c r="AG94" t="s">
        <v>54</v>
      </c>
      <c r="AI94" t="s">
        <v>55</v>
      </c>
      <c r="AK94" t="s">
        <v>55</v>
      </c>
      <c r="AM94" t="s">
        <v>55</v>
      </c>
      <c r="AO94" t="s">
        <v>55</v>
      </c>
      <c r="AQ94" t="s">
        <v>54</v>
      </c>
      <c r="AR94">
        <v>44000</v>
      </c>
      <c r="AS94">
        <v>0.047</v>
      </c>
      <c r="AT94" t="s">
        <v>2296</v>
      </c>
      <c r="AU94">
        <v>300</v>
      </c>
      <c r="AW94" t="s">
        <v>2297</v>
      </c>
      <c r="AX94" t="s">
        <v>2298</v>
      </c>
      <c r="AY94" t="s">
        <v>2299</v>
      </c>
      <c r="AZ94" t="s">
        <v>2300</v>
      </c>
      <c r="BA94" t="s">
        <v>2301</v>
      </c>
      <c r="BD94" t="s">
        <v>1638</v>
      </c>
      <c r="BE94" t="s">
        <v>2300</v>
      </c>
      <c r="BG94" t="s">
        <v>1639</v>
      </c>
      <c r="BH94" t="s">
        <v>1640</v>
      </c>
      <c r="BJ94" s="3" t="str">
        <f>HYPERLINK("https://www.instagram.com/p/DFdRTt7q1lV/","https://www.instagram.com/p/DFdRTt7q1lV/")</f>
        <v>https://www.instagram.com/p/DFdRTt7q1lV/</v>
      </c>
    </row>
    <row r="95" ht="25.5" customHeight="1" spans="1:62">
      <c r="A95" t="s">
        <v>2302</v>
      </c>
      <c r="B95" t="s">
        <v>1701</v>
      </c>
      <c r="C95" t="s">
        <v>2048</v>
      </c>
      <c r="D95" t="s">
        <v>1627</v>
      </c>
      <c r="F95" s="2">
        <v>45664</v>
      </c>
      <c r="H95" t="s">
        <v>1723</v>
      </c>
      <c r="J95" t="s">
        <v>1644</v>
      </c>
      <c r="K95" s="3" t="str">
        <f>HYPERLINK("https://www.instagram.com/p/DEj45EtTpFe/?img_index=1","https://www.instagram.com/p/DEj45EtTpFe/?img_index=1")</f>
        <v>https://www.instagram.com/p/DEj45EtTpFe/?img_index=1</v>
      </c>
      <c r="L95" t="s">
        <v>1630</v>
      </c>
      <c r="N95" s="3" t="str">
        <f>HYPERLINK("https://app.hypeauditor.com/my-network/influencer/7516627/analytics/instagram/codingkite_","https://app.hypeauditor.com/my-network/influencer/7516627/analytics/instagram/codingkite_")</f>
        <v>https://app.hypeauditor.com/my-network/influencer/7516627/analytics/instagram/codingkite_</v>
      </c>
      <c r="O95" s="3" t="str">
        <f>HYPERLINK("https://www.instagram.com/codingkite_/","https://www.instagram.com/codingkite_/")</f>
        <v>https://www.instagram.com/codingkite_/</v>
      </c>
      <c r="P95" t="s">
        <v>65</v>
      </c>
      <c r="Q95" t="s">
        <v>66</v>
      </c>
      <c r="R95" t="s">
        <v>1631</v>
      </c>
      <c r="S95" t="s">
        <v>54</v>
      </c>
      <c r="T95">
        <v>128300</v>
      </c>
      <c r="U95" t="s">
        <v>1439</v>
      </c>
      <c r="W95" t="s">
        <v>55</v>
      </c>
      <c r="Y95" t="s">
        <v>54</v>
      </c>
      <c r="AA95" t="s">
        <v>55</v>
      </c>
      <c r="AE95" t="s">
        <v>55</v>
      </c>
      <c r="AG95" t="s">
        <v>54</v>
      </c>
      <c r="AI95" t="s">
        <v>55</v>
      </c>
      <c r="AK95" t="s">
        <v>55</v>
      </c>
      <c r="AM95" t="s">
        <v>55</v>
      </c>
      <c r="AO95" t="s">
        <v>55</v>
      </c>
      <c r="AQ95" t="s">
        <v>54</v>
      </c>
      <c r="AR95">
        <v>30000</v>
      </c>
      <c r="AS95">
        <v>0.02</v>
      </c>
      <c r="AT95" t="s">
        <v>2303</v>
      </c>
      <c r="AU95">
        <v>299</v>
      </c>
      <c r="AW95" t="s">
        <v>2304</v>
      </c>
      <c r="AX95" t="s">
        <v>1442</v>
      </c>
      <c r="AY95" t="s">
        <v>1443</v>
      </c>
      <c r="AZ95" t="s">
        <v>2305</v>
      </c>
      <c r="BA95" t="s">
        <v>2306</v>
      </c>
      <c r="BD95" t="s">
        <v>1638</v>
      </c>
      <c r="BE95" t="s">
        <v>2305</v>
      </c>
      <c r="BG95" t="s">
        <v>1639</v>
      </c>
      <c r="BH95" t="s">
        <v>1640</v>
      </c>
      <c r="BJ95" s="3" t="str">
        <f>HYPERLINK("https://www.instagram.com/p/DEj45EtTpFe/?img_index=1","https://www.instagram.com/p/DEj45EtTpFe/?img_index=1")</f>
        <v>https://www.instagram.com/p/DEj45EtTpFe/?img_index=1</v>
      </c>
    </row>
    <row r="96" ht="25.5" customHeight="1" spans="1:62">
      <c r="A96" t="s">
        <v>2307</v>
      </c>
      <c r="B96" t="s">
        <v>1625</v>
      </c>
      <c r="C96" t="s">
        <v>2308</v>
      </c>
      <c r="F96" s="2"/>
      <c r="H96" t="s">
        <v>1930</v>
      </c>
      <c r="J96" t="s">
        <v>2309</v>
      </c>
      <c r="K96" s="3" t="str">
        <f>HYPERLINK("https://x.com/heyrobinai/status/1876565625788932210","https://x.com/heyrobinai/status/1876565625788932210")</f>
        <v>https://x.com/heyrobinai/status/1876565625788932210</v>
      </c>
      <c r="L96" t="s">
        <v>1630</v>
      </c>
      <c r="N96" s="3"/>
      <c r="O96" s="3"/>
      <c r="P96" t="s">
        <v>1816</v>
      </c>
      <c r="Q96" t="s">
        <v>1817</v>
      </c>
      <c r="R96" t="s">
        <v>1631</v>
      </c>
      <c r="S96" t="s">
        <v>54</v>
      </c>
      <c r="W96" t="s">
        <v>55</v>
      </c>
      <c r="Y96" t="s">
        <v>54</v>
      </c>
      <c r="AA96" t="s">
        <v>55</v>
      </c>
      <c r="AE96" t="s">
        <v>55</v>
      </c>
      <c r="AG96" t="s">
        <v>54</v>
      </c>
      <c r="AI96" t="s">
        <v>55</v>
      </c>
      <c r="AK96" t="s">
        <v>55</v>
      </c>
      <c r="AM96" t="s">
        <v>55</v>
      </c>
      <c r="AO96" t="s">
        <v>55</v>
      </c>
      <c r="AQ96" t="s">
        <v>54</v>
      </c>
      <c r="AT96" t="s">
        <v>54</v>
      </c>
      <c r="AU96">
        <v>299</v>
      </c>
      <c r="AW96" t="s">
        <v>54</v>
      </c>
      <c r="BD96" t="s">
        <v>1638</v>
      </c>
      <c r="BG96" t="s">
        <v>1639</v>
      </c>
      <c r="BH96" t="s">
        <v>1640</v>
      </c>
      <c r="BJ96" s="3" t="str">
        <f>HYPERLINK("https://x.com/heyrobinai/status/1876565625788932210","https://x.com/heyrobinai/status/1876565625788932210")</f>
        <v>https://x.com/heyrobinai/status/1876565625788932210</v>
      </c>
    </row>
    <row r="97" ht="25.5" customHeight="1" spans="1:62">
      <c r="A97" t="s">
        <v>2310</v>
      </c>
      <c r="B97" t="s">
        <v>1625</v>
      </c>
      <c r="C97" t="s">
        <v>1688</v>
      </c>
      <c r="D97" t="s">
        <v>1627</v>
      </c>
      <c r="F97" s="2"/>
      <c r="H97" t="s">
        <v>1643</v>
      </c>
      <c r="I97" t="s">
        <v>2311</v>
      </c>
      <c r="J97" t="s">
        <v>317</v>
      </c>
      <c r="K97" s="3" t="str">
        <f>HYPERLINK("https://www.instagram.com/p/DE4I6R7zs67/?img_index=1","https://www.instagram.com/p/DE4I6R7zs67/?img_index=1")</f>
        <v>https://www.instagram.com/p/DE4I6R7zs67/?img_index=1</v>
      </c>
      <c r="L97" t="s">
        <v>1630</v>
      </c>
      <c r="N97" s="3" t="str">
        <f>HYPERLINK("https://app.hypeauditor.com/my-network/influencer/595770/analytics/instagram/thejeremymura","https://app.hypeauditor.com/my-network/influencer/595770/analytics/instagram/thejeremymura")</f>
        <v>https://app.hypeauditor.com/my-network/influencer/595770/analytics/instagram/thejeremymura</v>
      </c>
      <c r="O97" s="3" t="str">
        <f>HYPERLINK("https://www.instagram.com/thejeremymura/","https://www.instagram.com/thejeremymura/")</f>
        <v>https://www.instagram.com/thejeremymura/</v>
      </c>
      <c r="P97" t="s">
        <v>65</v>
      </c>
      <c r="Q97" t="s">
        <v>66</v>
      </c>
      <c r="R97" t="s">
        <v>1631</v>
      </c>
      <c r="S97" t="s">
        <v>54</v>
      </c>
      <c r="T97">
        <v>102000</v>
      </c>
      <c r="U97" t="s">
        <v>2312</v>
      </c>
      <c r="W97" t="s">
        <v>55</v>
      </c>
      <c r="Y97" t="s">
        <v>54</v>
      </c>
      <c r="AA97" t="s">
        <v>55</v>
      </c>
      <c r="AE97" t="s">
        <v>55</v>
      </c>
      <c r="AG97" t="s">
        <v>54</v>
      </c>
      <c r="AI97" t="s">
        <v>55</v>
      </c>
      <c r="AK97" t="s">
        <v>55</v>
      </c>
      <c r="AM97" t="s">
        <v>55</v>
      </c>
      <c r="AO97" t="s">
        <v>55</v>
      </c>
      <c r="AQ97" t="s">
        <v>54</v>
      </c>
      <c r="AR97">
        <v>49700</v>
      </c>
      <c r="AS97">
        <v>0.021</v>
      </c>
      <c r="AT97" t="s">
        <v>2313</v>
      </c>
      <c r="AU97">
        <v>297</v>
      </c>
      <c r="AW97" t="s">
        <v>2314</v>
      </c>
      <c r="AX97" t="s">
        <v>2315</v>
      </c>
      <c r="AY97" t="s">
        <v>2316</v>
      </c>
      <c r="AZ97" t="s">
        <v>2317</v>
      </c>
      <c r="BA97" t="s">
        <v>2318</v>
      </c>
      <c r="BD97" t="s">
        <v>1638</v>
      </c>
      <c r="BE97" t="s">
        <v>2317</v>
      </c>
      <c r="BG97" t="s">
        <v>1639</v>
      </c>
      <c r="BH97" t="s">
        <v>1640</v>
      </c>
      <c r="BJ97" s="3" t="str">
        <f>HYPERLINK("https://www.instagram.com/p/DE4I6R7zs67/?img_index=1","https://www.instagram.com/p/DE4I6R7zs67/?img_index=1")</f>
        <v>https://www.instagram.com/p/DE4I6R7zs67/?img_index=1</v>
      </c>
    </row>
    <row r="98" ht="25.5" customHeight="1" spans="1:62">
      <c r="A98" t="s">
        <v>237</v>
      </c>
      <c r="B98" t="s">
        <v>1701</v>
      </c>
      <c r="C98" t="s">
        <v>2319</v>
      </c>
      <c r="D98" t="s">
        <v>1627</v>
      </c>
      <c r="F98" s="2"/>
      <c r="H98" t="s">
        <v>1770</v>
      </c>
      <c r="I98" t="s">
        <v>245</v>
      </c>
      <c r="J98" t="s">
        <v>1725</v>
      </c>
      <c r="K98" s="3" t="str">
        <f>HYPERLINK("https://www.tiktok.com/@ubaldo.info/video/7460881768887946518","https://www.tiktok.com/@ubaldo.info/video/7460881768887946518")</f>
        <v>https://www.tiktok.com/@ubaldo.info/video/7460881768887946518</v>
      </c>
      <c r="L98" t="s">
        <v>1630</v>
      </c>
      <c r="N98" s="3" t="str">
        <f>HYPERLINK("https://app.hypeauditor.com/my-network/influencer/12473619/analytics/tiktok/ubaldo.info","https://app.hypeauditor.com/my-network/influencer/12473619/analytics/tiktok/ubaldo.info")</f>
        <v>https://app.hypeauditor.com/my-network/influencer/12473619/analytics/tiktok/ubaldo.info</v>
      </c>
      <c r="O98" s="3" t="str">
        <f>HYPERLINK("https://www.tiktok.com/@ubaldo.info","https://www.tiktok.com/@ubaldo.info")</f>
        <v>https://www.tiktok.com/@ubaldo.info</v>
      </c>
      <c r="P98" t="s">
        <v>56</v>
      </c>
      <c r="Q98" t="s">
        <v>57</v>
      </c>
      <c r="R98" t="s">
        <v>1703</v>
      </c>
      <c r="S98" t="s">
        <v>54</v>
      </c>
      <c r="T98">
        <v>126300</v>
      </c>
      <c r="U98" t="s">
        <v>238</v>
      </c>
      <c r="W98" t="s">
        <v>55</v>
      </c>
      <c r="Y98" t="s">
        <v>54</v>
      </c>
      <c r="AA98" t="s">
        <v>55</v>
      </c>
      <c r="AE98" t="s">
        <v>55</v>
      </c>
      <c r="AG98" t="s">
        <v>54</v>
      </c>
      <c r="AI98" t="s">
        <v>55</v>
      </c>
      <c r="AK98" t="s">
        <v>55</v>
      </c>
      <c r="AM98" t="s">
        <v>55</v>
      </c>
      <c r="AO98" t="s">
        <v>55</v>
      </c>
      <c r="AQ98" t="s">
        <v>54</v>
      </c>
      <c r="AR98">
        <v>31600</v>
      </c>
      <c r="AS98">
        <v>0.053</v>
      </c>
      <c r="AT98" t="s">
        <v>2320</v>
      </c>
      <c r="AU98">
        <v>270</v>
      </c>
      <c r="AW98" t="s">
        <v>2321</v>
      </c>
      <c r="AX98" t="s">
        <v>2322</v>
      </c>
      <c r="AY98" t="s">
        <v>2323</v>
      </c>
      <c r="AZ98" t="s">
        <v>2324</v>
      </c>
      <c r="BA98" t="s">
        <v>2325</v>
      </c>
      <c r="BD98" t="s">
        <v>1638</v>
      </c>
      <c r="BE98" t="s">
        <v>2324</v>
      </c>
      <c r="BG98" t="s">
        <v>1639</v>
      </c>
      <c r="BH98" t="s">
        <v>1640</v>
      </c>
      <c r="BJ98" s="3" t="str">
        <f>HYPERLINK("https://www.tiktok.com/@ubaldo.info/video/7460881768887946518","https://www.tiktok.com/@ubaldo.info/video/7460881768887946518")</f>
        <v>https://www.tiktok.com/@ubaldo.info/video/7460881768887946518</v>
      </c>
    </row>
    <row r="99" ht="25.5" customHeight="1" spans="1:62">
      <c r="A99" t="s">
        <v>2326</v>
      </c>
      <c r="B99" t="s">
        <v>1625</v>
      </c>
      <c r="C99" t="s">
        <v>2327</v>
      </c>
      <c r="D99" t="s">
        <v>1627</v>
      </c>
      <c r="F99" s="2"/>
      <c r="H99" t="s">
        <v>1930</v>
      </c>
      <c r="J99" t="s">
        <v>1644</v>
      </c>
      <c r="K99" s="3" t="str">
        <f>HYPERLINK("https://www.instagram.com/p/DEpre6StZ-Y/?img_index=1","https://www.instagram.com/p/DEpre6StZ-Y/?img_index=1")</f>
        <v>https://www.instagram.com/p/DEpre6StZ-Y/?img_index=1</v>
      </c>
      <c r="L99" t="s">
        <v>1630</v>
      </c>
      <c r="M99" t="s">
        <v>2009</v>
      </c>
      <c r="N99" s="3" t="str">
        <f>HYPERLINK("https://app.hypeauditor.com/my-network/influencer/31671531/analytics/instagram/theaifield","https://app.hypeauditor.com/my-network/influencer/31671531/analytics/instagram/theaifield")</f>
        <v>https://app.hypeauditor.com/my-network/influencer/31671531/analytics/instagram/theaifield</v>
      </c>
      <c r="O99" s="3" t="str">
        <f>HYPERLINK("https://www.instagram.com/theaifield/","https://www.instagram.com/theaifield/")</f>
        <v>https://www.instagram.com/theaifield/</v>
      </c>
      <c r="P99" t="s">
        <v>65</v>
      </c>
      <c r="Q99" t="s">
        <v>66</v>
      </c>
      <c r="R99" t="s">
        <v>1631</v>
      </c>
      <c r="S99" t="s">
        <v>54</v>
      </c>
      <c r="T99">
        <v>79300</v>
      </c>
      <c r="U99" t="s">
        <v>55</v>
      </c>
      <c r="W99" t="s">
        <v>55</v>
      </c>
      <c r="Y99" t="s">
        <v>54</v>
      </c>
      <c r="AA99" t="s">
        <v>55</v>
      </c>
      <c r="AE99" t="s">
        <v>55</v>
      </c>
      <c r="AG99" t="s">
        <v>54</v>
      </c>
      <c r="AI99" t="s">
        <v>55</v>
      </c>
      <c r="AK99" t="s">
        <v>55</v>
      </c>
      <c r="AM99" t="s">
        <v>55</v>
      </c>
      <c r="AO99" t="s">
        <v>55</v>
      </c>
      <c r="AQ99" t="s">
        <v>54</v>
      </c>
      <c r="AR99">
        <v>20500</v>
      </c>
      <c r="AS99">
        <v>0.0309</v>
      </c>
      <c r="AT99" t="s">
        <v>2328</v>
      </c>
      <c r="AU99">
        <v>250</v>
      </c>
      <c r="AW99" t="s">
        <v>2329</v>
      </c>
      <c r="AX99" t="s">
        <v>1509</v>
      </c>
      <c r="AY99" t="s">
        <v>1510</v>
      </c>
      <c r="AZ99" t="s">
        <v>2330</v>
      </c>
      <c r="BA99" t="s">
        <v>2331</v>
      </c>
      <c r="BD99" t="s">
        <v>1638</v>
      </c>
      <c r="BE99" t="s">
        <v>2330</v>
      </c>
      <c r="BG99" t="s">
        <v>1639</v>
      </c>
      <c r="BH99" t="s">
        <v>1640</v>
      </c>
      <c r="BJ99" s="3" t="str">
        <f>HYPERLINK("https://www.instagram.com/p/DEpre6StZ-Y/?img_index=1","https://www.instagram.com/p/DEpre6StZ-Y/?img_index=1")</f>
        <v>https://www.instagram.com/p/DEpre6StZ-Y/?img_index=1</v>
      </c>
    </row>
    <row r="100" ht="25.5" customHeight="1" spans="1:62">
      <c r="A100" t="s">
        <v>2332</v>
      </c>
      <c r="B100" t="s">
        <v>1701</v>
      </c>
      <c r="C100" t="s">
        <v>2333</v>
      </c>
      <c r="D100" t="s">
        <v>1769</v>
      </c>
      <c r="F100" s="2">
        <v>45679</v>
      </c>
      <c r="H100" t="s">
        <v>1663</v>
      </c>
      <c r="I100" t="s">
        <v>2334</v>
      </c>
      <c r="J100" t="s">
        <v>1644</v>
      </c>
      <c r="K100" s="3" t="str">
        <f>HYPERLINK("https://www.instagram.com/reel/DE7nIPeu-iO/","https://www.instagram.com/reel/DE7nIPeu-iO/")</f>
        <v>https://www.instagram.com/reel/DE7nIPeu-iO/</v>
      </c>
      <c r="L100" t="s">
        <v>1630</v>
      </c>
      <c r="N100" s="3" t="str">
        <f>HYPERLINK("https://app.hypeauditor.com/my-network/influencer/30095670/analytics/instagram/ailice.un","https://app.hypeauditor.com/my-network/influencer/30095670/analytics/instagram/ailice.un")</f>
        <v>https://app.hypeauditor.com/my-network/influencer/30095670/analytics/instagram/ailice.un</v>
      </c>
      <c r="O100" s="3" t="str">
        <f>HYPERLINK("https://www.instagram.com/ailice.un/reels/","https://www.instagram.com/ailice.un/reels/")</f>
        <v>https://www.instagram.com/ailice.un/reels/</v>
      </c>
      <c r="P100" t="s">
        <v>65</v>
      </c>
      <c r="Q100" t="s">
        <v>116</v>
      </c>
      <c r="R100" t="s">
        <v>1631</v>
      </c>
      <c r="S100" t="s">
        <v>54</v>
      </c>
      <c r="T100">
        <v>113700</v>
      </c>
      <c r="U100" t="s">
        <v>597</v>
      </c>
      <c r="W100" t="s">
        <v>55</v>
      </c>
      <c r="Y100" t="s">
        <v>54</v>
      </c>
      <c r="AA100" t="s">
        <v>55</v>
      </c>
      <c r="AE100" t="s">
        <v>55</v>
      </c>
      <c r="AG100" t="s">
        <v>54</v>
      </c>
      <c r="AI100" t="s">
        <v>55</v>
      </c>
      <c r="AK100" t="s">
        <v>55</v>
      </c>
      <c r="AM100" t="s">
        <v>55</v>
      </c>
      <c r="AO100" t="s">
        <v>55</v>
      </c>
      <c r="AQ100" t="s">
        <v>54</v>
      </c>
      <c r="AR100">
        <v>50000</v>
      </c>
      <c r="AS100">
        <v>0.0544</v>
      </c>
      <c r="AT100" t="s">
        <v>598</v>
      </c>
      <c r="AU100">
        <v>250</v>
      </c>
      <c r="AW100" t="s">
        <v>599</v>
      </c>
      <c r="AX100" t="s">
        <v>600</v>
      </c>
      <c r="AY100" t="s">
        <v>601</v>
      </c>
      <c r="AZ100" t="s">
        <v>602</v>
      </c>
      <c r="BA100" t="s">
        <v>603</v>
      </c>
      <c r="BD100" t="s">
        <v>1638</v>
      </c>
      <c r="BE100" t="s">
        <v>602</v>
      </c>
      <c r="BG100" t="s">
        <v>1639</v>
      </c>
      <c r="BH100" t="s">
        <v>1640</v>
      </c>
      <c r="BJ100" s="3" t="str">
        <f>HYPERLINK("https://www.instagram.com/reel/DE7nIPeu-iO/","https://www.instagram.com/reel/DE7nIPeu-iO/")</f>
        <v>https://www.instagram.com/reel/DE7nIPeu-iO/</v>
      </c>
    </row>
    <row r="101" ht="25.5" customHeight="1" spans="1:62">
      <c r="A101" t="s">
        <v>2335</v>
      </c>
      <c r="B101" t="s">
        <v>1625</v>
      </c>
      <c r="C101" t="s">
        <v>2336</v>
      </c>
      <c r="D101" t="s">
        <v>1627</v>
      </c>
      <c r="F101" s="2"/>
      <c r="H101" t="s">
        <v>1806</v>
      </c>
      <c r="I101" t="s">
        <v>2337</v>
      </c>
      <c r="J101" t="s">
        <v>1644</v>
      </c>
      <c r="K101" s="3" t="str">
        <f>HYPERLINK("https://www.tiktok.com/@byerikk033/video/7460961447095405857?_r=1&amp;_t=ZG-8tDXXXvlZK4","https://www.tiktok.com/@byerikk033/video/7460961447095405857?_r=1&amp;_t=ZG-8tDXXXvlZK4")</f>
        <v>https://www.tiktok.com/@byerikk033/video/7460961447095405857?_r=1&amp;_t=ZG-8tDXXXvlZK4</v>
      </c>
      <c r="L101" t="s">
        <v>1630</v>
      </c>
      <c r="N101" s="3" t="str">
        <f>HYPERLINK("https://app.hypeauditor.com/my-network/influencer/32320666/analytics/tiktok/byerikk033","https://app.hypeauditor.com/my-network/influencer/32320666/analytics/tiktok/byerikk033")</f>
        <v>https://app.hypeauditor.com/my-network/influencer/32320666/analytics/tiktok/byerikk033</v>
      </c>
      <c r="O101" s="3" t="str">
        <f>HYPERLINK("https://www.tiktok.com/@byerikk033","https://www.tiktok.com/@byerikk033")</f>
        <v>https://www.tiktok.com/@byerikk033</v>
      </c>
      <c r="P101" t="s">
        <v>56</v>
      </c>
      <c r="Q101" t="s">
        <v>57</v>
      </c>
      <c r="R101" t="s">
        <v>1652</v>
      </c>
      <c r="S101" t="s">
        <v>54</v>
      </c>
      <c r="T101">
        <v>192100</v>
      </c>
      <c r="U101" t="s">
        <v>2338</v>
      </c>
      <c r="W101" t="s">
        <v>55</v>
      </c>
      <c r="Y101" t="s">
        <v>54</v>
      </c>
      <c r="AA101" t="s">
        <v>55</v>
      </c>
      <c r="AE101" t="s">
        <v>55</v>
      </c>
      <c r="AG101" t="s">
        <v>54</v>
      </c>
      <c r="AI101" t="s">
        <v>55</v>
      </c>
      <c r="AK101" t="s">
        <v>55</v>
      </c>
      <c r="AM101" t="s">
        <v>55</v>
      </c>
      <c r="AO101" t="s">
        <v>55</v>
      </c>
      <c r="AQ101" t="s">
        <v>54</v>
      </c>
      <c r="AR101">
        <v>600000</v>
      </c>
      <c r="AS101">
        <v>0.0313</v>
      </c>
      <c r="AT101" t="s">
        <v>2339</v>
      </c>
      <c r="AU101">
        <v>250</v>
      </c>
      <c r="AW101" t="s">
        <v>2340</v>
      </c>
      <c r="AX101" t="s">
        <v>2179</v>
      </c>
      <c r="AY101" t="s">
        <v>2341</v>
      </c>
      <c r="AZ101" t="s">
        <v>2342</v>
      </c>
      <c r="BA101" t="s">
        <v>2343</v>
      </c>
      <c r="BD101" t="s">
        <v>1638</v>
      </c>
      <c r="BE101" t="s">
        <v>2342</v>
      </c>
      <c r="BG101" t="s">
        <v>1639</v>
      </c>
      <c r="BH101" t="s">
        <v>1640</v>
      </c>
      <c r="BJ101" s="3" t="str">
        <f>HYPERLINK("https://www.tiktok.com/@byerikk033/video/7460961447095405857?_r=1&amp;_t=ZG-8tDXXXvlZK4","https://www.tiktok.com/@byerikk033/video/7460961447095405857?_r=1&amp;_t=ZG-8tDXXXvlZK4")</f>
        <v>https://www.tiktok.com/@byerikk033/video/7460961447095405857?_r=1&amp;_t=ZG-8tDXXXvlZK4</v>
      </c>
    </row>
    <row r="102" ht="25.5" customHeight="1" spans="1:62">
      <c r="A102" t="s">
        <v>2181</v>
      </c>
      <c r="B102" t="s">
        <v>1701</v>
      </c>
      <c r="C102" t="s">
        <v>1688</v>
      </c>
      <c r="D102" t="s">
        <v>1627</v>
      </c>
      <c r="F102" s="2">
        <v>45670</v>
      </c>
      <c r="H102" t="s">
        <v>2344</v>
      </c>
      <c r="I102" t="s">
        <v>2345</v>
      </c>
      <c r="J102" t="s">
        <v>1644</v>
      </c>
      <c r="K102" s="3" t="str">
        <f>HYPERLINK("https://www.instagram.com/reel/DExebtVI_RN/?igsh=MTlieG1jaTJndWVpNQ==","https://www.instagram.com/reel/DExebtVI_RN/?igsh=MTlieG1jaTJndWVpNQ==")</f>
        <v>https://www.instagram.com/reel/DExebtVI_RN/?igsh=MTlieG1jaTJndWVpNQ==</v>
      </c>
      <c r="L102" t="s">
        <v>1630</v>
      </c>
      <c r="N102" s="3" t="str">
        <f>HYPERLINK("https://app.hypeauditor.com/my-network/influencer/96686/analytics/instagram/nicolasllombardo","https://app.hypeauditor.com/my-network/influencer/96686/analytics/instagram/nicolasllombardo")</f>
        <v>https://app.hypeauditor.com/my-network/influencer/96686/analytics/instagram/nicolasllombardo</v>
      </c>
      <c r="O102" s="3" t="str">
        <f>HYPERLINK("https://www.instagram.com/nicolasllombardo/reels/","https://www.instagram.com/nicolasllombardo/reels/")</f>
        <v>https://www.instagram.com/nicolasllombardo/reels/</v>
      </c>
      <c r="P102" t="s">
        <v>65</v>
      </c>
      <c r="Q102" t="s">
        <v>116</v>
      </c>
      <c r="R102" t="s">
        <v>1703</v>
      </c>
      <c r="S102" t="s">
        <v>54</v>
      </c>
      <c r="T102">
        <v>111300</v>
      </c>
      <c r="U102" t="s">
        <v>175</v>
      </c>
      <c r="W102" t="s">
        <v>55</v>
      </c>
      <c r="X102" t="s">
        <v>166</v>
      </c>
      <c r="Y102" t="s">
        <v>59</v>
      </c>
      <c r="AA102" t="s">
        <v>55</v>
      </c>
      <c r="AE102" t="s">
        <v>55</v>
      </c>
      <c r="AG102" t="s">
        <v>54</v>
      </c>
      <c r="AI102" t="s">
        <v>55</v>
      </c>
      <c r="AK102" t="s">
        <v>55</v>
      </c>
      <c r="AM102" t="s">
        <v>55</v>
      </c>
      <c r="AO102" t="s">
        <v>55</v>
      </c>
      <c r="AQ102" t="s">
        <v>54</v>
      </c>
      <c r="AR102">
        <v>80000</v>
      </c>
      <c r="AS102">
        <v>0.015</v>
      </c>
      <c r="AT102" t="s">
        <v>2346</v>
      </c>
      <c r="AU102">
        <v>250</v>
      </c>
      <c r="AW102" t="s">
        <v>2347</v>
      </c>
      <c r="AX102" t="s">
        <v>178</v>
      </c>
      <c r="AY102" t="s">
        <v>179</v>
      </c>
      <c r="AZ102" t="s">
        <v>2161</v>
      </c>
      <c r="BA102" t="s">
        <v>2348</v>
      </c>
      <c r="BD102" t="s">
        <v>1638</v>
      </c>
      <c r="BE102" t="s">
        <v>2161</v>
      </c>
      <c r="BG102" t="s">
        <v>1639</v>
      </c>
      <c r="BH102" t="s">
        <v>1640</v>
      </c>
      <c r="BJ102" s="3" t="str">
        <f>HYPERLINK("https://www.instagram.com/reel/DExebtVI_RN/?igsh=MTlieG1jaTJndWVpNQ==","https://www.instagram.com/reel/DExebtVI_RN/?igsh=MTlieG1jaTJndWVpNQ==")</f>
        <v>https://www.instagram.com/reel/DExebtVI_RN/?igsh=MTlieG1jaTJndWVpNQ==</v>
      </c>
    </row>
    <row r="103" ht="25.5" customHeight="1" spans="1:62">
      <c r="A103" t="s">
        <v>728</v>
      </c>
      <c r="B103" t="s">
        <v>1701</v>
      </c>
      <c r="C103" t="s">
        <v>2349</v>
      </c>
      <c r="F103" s="2"/>
      <c r="H103" t="s">
        <v>1900</v>
      </c>
      <c r="I103" t="s">
        <v>1901</v>
      </c>
      <c r="J103" t="s">
        <v>53</v>
      </c>
      <c r="K103" s="3"/>
      <c r="L103" t="s">
        <v>1645</v>
      </c>
      <c r="N103" s="3" t="str">
        <f>HYPERLINK("https://app.hypeauditor.com/my-network/influencer/32110820/analytics/tiktok/carlo_weaver","https://app.hypeauditor.com/my-network/influencer/32110820/analytics/tiktok/carlo_weaver")</f>
        <v>https://app.hypeauditor.com/my-network/influencer/32110820/analytics/tiktok/carlo_weaver</v>
      </c>
      <c r="O103" s="3" t="str">
        <f>HYPERLINK("https://www.tiktok.com/@carlo_weaver","https://www.tiktok.com/@carlo_weaver")</f>
        <v>https://www.tiktok.com/@carlo_weaver</v>
      </c>
      <c r="P103" t="s">
        <v>56</v>
      </c>
      <c r="Q103" t="s">
        <v>57</v>
      </c>
      <c r="R103" t="s">
        <v>1887</v>
      </c>
      <c r="S103" t="s">
        <v>54</v>
      </c>
      <c r="T103">
        <v>19200</v>
      </c>
      <c r="U103" t="s">
        <v>55</v>
      </c>
      <c r="W103" t="s">
        <v>55</v>
      </c>
      <c r="Y103" t="s">
        <v>54</v>
      </c>
      <c r="AA103" t="s">
        <v>55</v>
      </c>
      <c r="AE103" t="s">
        <v>55</v>
      </c>
      <c r="AG103" t="s">
        <v>54</v>
      </c>
      <c r="AI103" t="s">
        <v>55</v>
      </c>
      <c r="AK103" t="s">
        <v>55</v>
      </c>
      <c r="AM103" t="s">
        <v>55</v>
      </c>
      <c r="AO103" t="s">
        <v>55</v>
      </c>
      <c r="AQ103" t="s">
        <v>54</v>
      </c>
      <c r="AR103">
        <v>12500</v>
      </c>
      <c r="AS103">
        <v>0.0583</v>
      </c>
      <c r="AT103" t="s">
        <v>729</v>
      </c>
      <c r="AU103">
        <v>250</v>
      </c>
      <c r="AW103" t="s">
        <v>730</v>
      </c>
      <c r="AX103" t="s">
        <v>731</v>
      </c>
      <c r="AY103" t="s">
        <v>55</v>
      </c>
      <c r="AZ103" t="s">
        <v>732</v>
      </c>
      <c r="BA103" t="s">
        <v>55</v>
      </c>
      <c r="BD103" t="s">
        <v>1638</v>
      </c>
      <c r="BE103" t="s">
        <v>732</v>
      </c>
      <c r="BG103" t="s">
        <v>1639</v>
      </c>
      <c r="BH103" t="s">
        <v>1640</v>
      </c>
      <c r="BJ103" s="3"/>
    </row>
    <row r="104" ht="25.5" customHeight="1" spans="1:62">
      <c r="A104" t="s">
        <v>2350</v>
      </c>
      <c r="B104" t="s">
        <v>1625</v>
      </c>
      <c r="C104" t="s">
        <v>2351</v>
      </c>
      <c r="D104" t="s">
        <v>1627</v>
      </c>
      <c r="F104" s="2"/>
      <c r="H104" t="s">
        <v>1663</v>
      </c>
      <c r="I104" t="s">
        <v>2352</v>
      </c>
      <c r="J104" t="s">
        <v>1644</v>
      </c>
      <c r="K104" s="3" t="str">
        <f>HYPERLINK("https://vm.tiktok.com/ZNeK2snny/","https://vm.tiktok.com/ZNeK2snny/")</f>
        <v>https://vm.tiktok.com/ZNeK2snny/</v>
      </c>
      <c r="L104" t="s">
        <v>1630</v>
      </c>
      <c r="N104" s="3" t="str">
        <f>HYPERLINK("https://app.hypeauditor.com/my-network/influencer/30825118/analytics/tiktok/alexciriaco_","https://app.hypeauditor.com/my-network/influencer/30825118/analytics/tiktok/alexciriaco_")</f>
        <v>https://app.hypeauditor.com/my-network/influencer/30825118/analytics/tiktok/alexciriaco_</v>
      </c>
      <c r="O104" s="3" t="str">
        <f>HYPERLINK("https://www.tiktok.com/@alexciriaco_","https://www.tiktok.com/@alexciriaco_")</f>
        <v>https://www.tiktok.com/@alexciriaco_</v>
      </c>
      <c r="P104" t="s">
        <v>56</v>
      </c>
      <c r="Q104" t="s">
        <v>57</v>
      </c>
      <c r="R104" t="s">
        <v>1703</v>
      </c>
      <c r="S104" t="s">
        <v>54</v>
      </c>
      <c r="T104">
        <v>83300</v>
      </c>
      <c r="U104" t="s">
        <v>55</v>
      </c>
      <c r="W104" t="s">
        <v>55</v>
      </c>
      <c r="Y104" t="s">
        <v>54</v>
      </c>
      <c r="AA104" t="s">
        <v>55</v>
      </c>
      <c r="AE104" t="s">
        <v>55</v>
      </c>
      <c r="AG104" t="s">
        <v>54</v>
      </c>
      <c r="AI104" t="s">
        <v>55</v>
      </c>
      <c r="AK104" t="s">
        <v>55</v>
      </c>
      <c r="AM104" t="s">
        <v>55</v>
      </c>
      <c r="AO104" t="s">
        <v>55</v>
      </c>
      <c r="AQ104" t="s">
        <v>54</v>
      </c>
      <c r="AR104">
        <v>30500</v>
      </c>
      <c r="AS104">
        <v>0.06</v>
      </c>
      <c r="AT104" t="s">
        <v>2353</v>
      </c>
      <c r="AU104">
        <v>250</v>
      </c>
      <c r="AW104" t="s">
        <v>2354</v>
      </c>
      <c r="AX104" t="s">
        <v>657</v>
      </c>
      <c r="AY104" t="s">
        <v>658</v>
      </c>
      <c r="AZ104" t="s">
        <v>2355</v>
      </c>
      <c r="BA104" t="s">
        <v>2356</v>
      </c>
      <c r="BD104" t="s">
        <v>1638</v>
      </c>
      <c r="BE104" t="s">
        <v>2355</v>
      </c>
      <c r="BG104" t="s">
        <v>1639</v>
      </c>
      <c r="BH104" t="s">
        <v>1640</v>
      </c>
      <c r="BJ104" s="3" t="str">
        <f>HYPERLINK("https://vm.tiktok.com/ZNeK2snny/","https://vm.tiktok.com/ZNeK2snny/")</f>
        <v>https://vm.tiktok.com/ZNeK2snny/</v>
      </c>
    </row>
    <row r="105" ht="25.5" customHeight="1" spans="1:62">
      <c r="A105" t="s">
        <v>2357</v>
      </c>
      <c r="B105" t="s">
        <v>1701</v>
      </c>
      <c r="C105" t="s">
        <v>2358</v>
      </c>
      <c r="D105" t="s">
        <v>1627</v>
      </c>
      <c r="F105" s="2">
        <v>45672</v>
      </c>
      <c r="H105" t="s">
        <v>1663</v>
      </c>
      <c r="I105" t="s">
        <v>2359</v>
      </c>
      <c r="J105" t="s">
        <v>1644</v>
      </c>
      <c r="K105" s="3" t="str">
        <f>HYPERLINK("https://www.instagram.com/p/DE508hjRWd_/","https://www.instagram.com/p/DE508hjRWd_/")</f>
        <v>https://www.instagram.com/p/DE508hjRWd_/</v>
      </c>
      <c r="L105" t="s">
        <v>1630</v>
      </c>
      <c r="N105" s="3" t="str">
        <f>HYPERLINK("https://app.hypeauditor.com/my-network/influencer/9125414/analytics/instagram/brandycreativa","https://app.hypeauditor.com/my-network/influencer/9125414/analytics/instagram/brandycreativa")</f>
        <v>https://app.hypeauditor.com/my-network/influencer/9125414/analytics/instagram/brandycreativa</v>
      </c>
      <c r="O105" s="3" t="str">
        <f>HYPERLINK("https://www.instagram.com/reel/CxgzkLdp7kB/","https://www.instagram.com/reel/CxgzkLdp7kB/")</f>
        <v>https://www.instagram.com/reel/CxgzkLdp7kB/</v>
      </c>
      <c r="P105" t="s">
        <v>65</v>
      </c>
      <c r="Q105" t="s">
        <v>116</v>
      </c>
      <c r="R105" t="s">
        <v>1652</v>
      </c>
      <c r="S105" t="s">
        <v>54</v>
      </c>
      <c r="T105">
        <v>55100</v>
      </c>
      <c r="U105" t="s">
        <v>55</v>
      </c>
      <c r="W105" t="s">
        <v>55</v>
      </c>
      <c r="Y105" t="s">
        <v>54</v>
      </c>
      <c r="AA105" t="s">
        <v>55</v>
      </c>
      <c r="AE105" t="s">
        <v>55</v>
      </c>
      <c r="AG105" t="s">
        <v>54</v>
      </c>
      <c r="AI105" t="s">
        <v>55</v>
      </c>
      <c r="AK105" t="s">
        <v>55</v>
      </c>
      <c r="AM105" t="s">
        <v>55</v>
      </c>
      <c r="AO105" t="s">
        <v>55</v>
      </c>
      <c r="AQ105" t="s">
        <v>54</v>
      </c>
      <c r="AR105">
        <v>28000</v>
      </c>
      <c r="AS105">
        <v>0.045</v>
      </c>
      <c r="AT105" t="s">
        <v>2360</v>
      </c>
      <c r="AU105">
        <v>250</v>
      </c>
      <c r="AW105" t="s">
        <v>2361</v>
      </c>
      <c r="AX105" t="s">
        <v>2362</v>
      </c>
      <c r="AY105" t="s">
        <v>2363</v>
      </c>
      <c r="AZ105" t="s">
        <v>843</v>
      </c>
      <c r="BA105" t="s">
        <v>2364</v>
      </c>
      <c r="BD105" t="s">
        <v>1638</v>
      </c>
      <c r="BE105" t="s">
        <v>843</v>
      </c>
      <c r="BG105" t="s">
        <v>1639</v>
      </c>
      <c r="BH105" t="s">
        <v>1640</v>
      </c>
      <c r="BJ105" s="3" t="str">
        <f>HYPERLINK("https://www.instagram.com/p/DE508hjRWd_/","https://www.instagram.com/p/DE508hjRWd_/")</f>
        <v>https://www.instagram.com/p/DE508hjRWd_/</v>
      </c>
    </row>
    <row r="106" ht="25.5" customHeight="1" spans="1:62">
      <c r="A106" t="s">
        <v>2365</v>
      </c>
      <c r="B106" t="s">
        <v>1625</v>
      </c>
      <c r="C106" t="s">
        <v>2366</v>
      </c>
      <c r="D106" t="s">
        <v>1627</v>
      </c>
      <c r="F106" s="2"/>
      <c r="H106" t="s">
        <v>2281</v>
      </c>
      <c r="I106" t="s">
        <v>2367</v>
      </c>
      <c r="J106" t="s">
        <v>1629</v>
      </c>
      <c r="K106" s="3"/>
      <c r="L106" t="s">
        <v>2081</v>
      </c>
      <c r="N106" s="3" t="str">
        <f>HYPERLINK("https://app.hypeauditor.com/my-network/influencer/27723140/analytics/youtube/UC3iyLcDyYxk2nN7M5DsYaYQ","https://app.hypeauditor.com/my-network/influencer/27723140/analytics/youtube/UC3iyLcDyYxk2nN7M5DsYaYQ")</f>
        <v>https://app.hypeauditor.com/my-network/influencer/27723140/analytics/youtube/UC3iyLcDyYxk2nN7M5DsYaYQ</v>
      </c>
      <c r="O106" s="3"/>
      <c r="P106" t="s">
        <v>269</v>
      </c>
      <c r="Q106" t="s">
        <v>423</v>
      </c>
      <c r="S106" t="s">
        <v>54</v>
      </c>
      <c r="T106">
        <v>74300</v>
      </c>
      <c r="U106" t="s">
        <v>55</v>
      </c>
      <c r="W106" t="s">
        <v>55</v>
      </c>
      <c r="Y106" t="s">
        <v>54</v>
      </c>
      <c r="AA106" t="s">
        <v>55</v>
      </c>
      <c r="AE106" t="s">
        <v>55</v>
      </c>
      <c r="AG106" t="s">
        <v>54</v>
      </c>
      <c r="AI106" t="s">
        <v>55</v>
      </c>
      <c r="AK106" t="s">
        <v>55</v>
      </c>
      <c r="AM106" t="s">
        <v>55</v>
      </c>
      <c r="AO106" t="s">
        <v>55</v>
      </c>
      <c r="AQ106" t="s">
        <v>54</v>
      </c>
      <c r="AR106">
        <v>35100</v>
      </c>
      <c r="AS106">
        <v>0.045</v>
      </c>
      <c r="AT106" t="s">
        <v>2368</v>
      </c>
      <c r="AU106">
        <v>250</v>
      </c>
      <c r="AW106" t="s">
        <v>2369</v>
      </c>
      <c r="AX106" t="s">
        <v>743</v>
      </c>
      <c r="AY106" t="s">
        <v>2370</v>
      </c>
      <c r="AZ106" t="s">
        <v>2371</v>
      </c>
      <c r="BA106" t="s">
        <v>2372</v>
      </c>
      <c r="BD106" t="s">
        <v>1830</v>
      </c>
      <c r="BE106" t="s">
        <v>2371</v>
      </c>
      <c r="BG106" t="s">
        <v>1639</v>
      </c>
      <c r="BH106" t="s">
        <v>1640</v>
      </c>
      <c r="BJ106" s="3"/>
    </row>
    <row r="107" ht="25.5" customHeight="1" spans="1:62">
      <c r="A107" t="s">
        <v>2373</v>
      </c>
      <c r="B107" t="s">
        <v>1625</v>
      </c>
      <c r="C107" t="s">
        <v>2374</v>
      </c>
      <c r="F107" s="2"/>
      <c r="I107" t="s">
        <v>2375</v>
      </c>
      <c r="K107" s="3"/>
      <c r="L107" t="s">
        <v>1645</v>
      </c>
      <c r="N107" s="3" t="str">
        <f>HYPERLINK("https://app.hypeauditor.com/my-network/influencer/463165/analytics/instagram/3d.designer_","https://app.hypeauditor.com/my-network/influencer/463165/analytics/instagram/3d.designer_")</f>
        <v>https://app.hypeauditor.com/my-network/influencer/463165/analytics/instagram/3d.designer_</v>
      </c>
      <c r="O107" s="3"/>
      <c r="P107" t="s">
        <v>65</v>
      </c>
      <c r="Q107" t="s">
        <v>66</v>
      </c>
      <c r="S107" t="s">
        <v>54</v>
      </c>
      <c r="W107" t="s">
        <v>55</v>
      </c>
      <c r="Y107" t="s">
        <v>54</v>
      </c>
      <c r="AA107" t="s">
        <v>55</v>
      </c>
      <c r="AE107" t="s">
        <v>55</v>
      </c>
      <c r="AG107" t="s">
        <v>54</v>
      </c>
      <c r="AI107" t="s">
        <v>55</v>
      </c>
      <c r="AK107" t="s">
        <v>55</v>
      </c>
      <c r="AM107" t="s">
        <v>55</v>
      </c>
      <c r="AO107" t="s">
        <v>55</v>
      </c>
      <c r="AQ107" t="s">
        <v>54</v>
      </c>
      <c r="AT107" t="s">
        <v>54</v>
      </c>
      <c r="AU107">
        <v>250</v>
      </c>
      <c r="AW107" t="s">
        <v>54</v>
      </c>
      <c r="BD107" t="s">
        <v>1830</v>
      </c>
      <c r="BG107" t="s">
        <v>1639</v>
      </c>
      <c r="BH107" t="s">
        <v>1640</v>
      </c>
      <c r="BJ107" s="3"/>
    </row>
    <row r="108" ht="25.5" customHeight="1" spans="1:62">
      <c r="A108" t="s">
        <v>2373</v>
      </c>
      <c r="B108" t="s">
        <v>1625</v>
      </c>
      <c r="F108" s="2"/>
      <c r="K108" s="3"/>
      <c r="L108" t="s">
        <v>1645</v>
      </c>
      <c r="N108" s="3"/>
      <c r="O108" s="3"/>
      <c r="P108" t="s">
        <v>65</v>
      </c>
      <c r="Q108" t="s">
        <v>116</v>
      </c>
      <c r="S108" t="s">
        <v>54</v>
      </c>
      <c r="W108" t="s">
        <v>55</v>
      </c>
      <c r="Y108" t="s">
        <v>54</v>
      </c>
      <c r="AA108" t="s">
        <v>55</v>
      </c>
      <c r="AE108" t="s">
        <v>55</v>
      </c>
      <c r="AG108" t="s">
        <v>54</v>
      </c>
      <c r="AI108" t="s">
        <v>55</v>
      </c>
      <c r="AK108" t="s">
        <v>55</v>
      </c>
      <c r="AM108" t="s">
        <v>55</v>
      </c>
      <c r="AO108" t="s">
        <v>55</v>
      </c>
      <c r="AQ108" t="s">
        <v>54</v>
      </c>
      <c r="AT108" t="s">
        <v>54</v>
      </c>
      <c r="AU108">
        <v>250</v>
      </c>
      <c r="AW108" t="s">
        <v>54</v>
      </c>
      <c r="BD108" t="s">
        <v>1830</v>
      </c>
      <c r="BG108" t="s">
        <v>1639</v>
      </c>
      <c r="BH108" t="s">
        <v>1640</v>
      </c>
      <c r="BI108" t="s">
        <v>2373</v>
      </c>
      <c r="BJ108" s="3"/>
    </row>
    <row r="109" ht="25.5" customHeight="1" spans="1:62">
      <c r="A109" t="s">
        <v>2376</v>
      </c>
      <c r="B109" t="s">
        <v>1625</v>
      </c>
      <c r="C109" t="s">
        <v>2377</v>
      </c>
      <c r="F109" s="2"/>
      <c r="H109" t="s">
        <v>1663</v>
      </c>
      <c r="J109" t="s">
        <v>1644</v>
      </c>
      <c r="K109" s="3"/>
      <c r="L109" t="s">
        <v>1645</v>
      </c>
      <c r="N109" s="3" t="str">
        <f>HYPERLINK("https://app.hypeauditor.com/my-network/influencer/7458736/analytics/instagram/c1evergirl","https://app.hypeauditor.com/my-network/influencer/7458736/analytics/instagram/c1evergirl")</f>
        <v>https://app.hypeauditor.com/my-network/influencer/7458736/analytics/instagram/c1evergirl</v>
      </c>
      <c r="O109" s="3"/>
      <c r="P109" t="s">
        <v>65</v>
      </c>
      <c r="S109" t="s">
        <v>54</v>
      </c>
      <c r="W109" t="s">
        <v>55</v>
      </c>
      <c r="Y109" t="s">
        <v>54</v>
      </c>
      <c r="AA109" t="s">
        <v>55</v>
      </c>
      <c r="AE109" t="s">
        <v>55</v>
      </c>
      <c r="AG109" t="s">
        <v>54</v>
      </c>
      <c r="AI109" t="s">
        <v>55</v>
      </c>
      <c r="AK109" t="s">
        <v>55</v>
      </c>
      <c r="AM109" t="s">
        <v>55</v>
      </c>
      <c r="AO109" t="s">
        <v>55</v>
      </c>
      <c r="AQ109" t="s">
        <v>54</v>
      </c>
      <c r="AT109" t="s">
        <v>54</v>
      </c>
      <c r="AU109">
        <v>250</v>
      </c>
      <c r="AW109" t="s">
        <v>54</v>
      </c>
      <c r="BD109" t="s">
        <v>1625</v>
      </c>
      <c r="BG109" t="s">
        <v>1639</v>
      </c>
      <c r="BH109" t="s">
        <v>1640</v>
      </c>
      <c r="BJ109" s="3"/>
    </row>
    <row r="110" ht="25.5" customHeight="1" spans="1:62">
      <c r="A110" t="s">
        <v>2378</v>
      </c>
      <c r="B110" t="s">
        <v>1625</v>
      </c>
      <c r="C110" t="s">
        <v>2153</v>
      </c>
      <c r="F110" s="2"/>
      <c r="H110" t="s">
        <v>1663</v>
      </c>
      <c r="J110" t="s">
        <v>2379</v>
      </c>
      <c r="K110" s="3" t="str">
        <f>HYPERLINK("https://x.com/iamcoriarnold/status/1876609858507526201","https://x.com/iamcoriarnold/status/1876609858507526201")</f>
        <v>https://x.com/iamcoriarnold/status/1876609858507526201</v>
      </c>
      <c r="L110" t="s">
        <v>1630</v>
      </c>
      <c r="N110" s="3" t="str">
        <f>HYPERLINK("https://app.hypeauditor.com/my-network/influencer/32163358/analytics/twitter/iamcoriarnold","https://app.hypeauditor.com/my-network/influencer/32163358/analytics/twitter/iamcoriarnold")</f>
        <v>https://app.hypeauditor.com/my-network/influencer/32163358/analytics/twitter/iamcoriarnold</v>
      </c>
      <c r="O110" s="3" t="str">
        <f>HYPERLINK("https://x.com/iamcoriarnold","https://x.com/iamcoriarnold")</f>
        <v>https://x.com/iamcoriarnold</v>
      </c>
      <c r="P110" t="s">
        <v>1816</v>
      </c>
      <c r="Q110" t="s">
        <v>1817</v>
      </c>
      <c r="R110" t="s">
        <v>1631</v>
      </c>
      <c r="S110" t="s">
        <v>54</v>
      </c>
      <c r="T110">
        <v>211000</v>
      </c>
      <c r="U110" t="s">
        <v>2380</v>
      </c>
      <c r="W110" t="s">
        <v>55</v>
      </c>
      <c r="Y110" t="s">
        <v>54</v>
      </c>
      <c r="AA110" t="s">
        <v>55</v>
      </c>
      <c r="AE110" t="s">
        <v>55</v>
      </c>
      <c r="AG110" t="s">
        <v>54</v>
      </c>
      <c r="AI110" t="s">
        <v>55</v>
      </c>
      <c r="AK110" t="s">
        <v>55</v>
      </c>
      <c r="AM110" t="s">
        <v>55</v>
      </c>
      <c r="AO110" t="s">
        <v>55</v>
      </c>
      <c r="AQ110" t="s">
        <v>54</v>
      </c>
      <c r="AR110">
        <v>30000</v>
      </c>
      <c r="AS110">
        <v>0.06</v>
      </c>
      <c r="AT110" t="s">
        <v>2381</v>
      </c>
      <c r="AU110">
        <v>250</v>
      </c>
      <c r="AW110" t="s">
        <v>2382</v>
      </c>
      <c r="AX110" t="s">
        <v>1774</v>
      </c>
      <c r="AY110" t="s">
        <v>1775</v>
      </c>
      <c r="AZ110" t="s">
        <v>2383</v>
      </c>
      <c r="BA110" t="s">
        <v>2384</v>
      </c>
      <c r="BD110" t="s">
        <v>1638</v>
      </c>
      <c r="BE110" t="s">
        <v>2383</v>
      </c>
      <c r="BG110" t="s">
        <v>1639</v>
      </c>
      <c r="BH110" t="s">
        <v>1640</v>
      </c>
      <c r="BJ110" s="3" t="str">
        <f>HYPERLINK("https://x.com/iamcoriarnold/status/1876609858507526201","https://x.com/iamcoriarnold/status/1876609858507526201")</f>
        <v>https://x.com/iamcoriarnold/status/1876609858507526201</v>
      </c>
    </row>
    <row r="111" ht="25.5" customHeight="1" spans="1:62">
      <c r="A111" t="s">
        <v>2385</v>
      </c>
      <c r="B111" t="s">
        <v>1625</v>
      </c>
      <c r="C111" t="s">
        <v>2386</v>
      </c>
      <c r="F111" s="2"/>
      <c r="H111" t="s">
        <v>2124</v>
      </c>
      <c r="K111" s="3"/>
      <c r="L111" t="s">
        <v>1645</v>
      </c>
      <c r="N111" s="3" t="str">
        <f>HYPERLINK("https://app.hypeauditor.com/my-network/influencer/12205025/analytics/youtube/UCn8IDQAma_e9ma_7gw2D_ow","https://app.hypeauditor.com/my-network/influencer/12205025/analytics/youtube/UCn8IDQAma_e9ma_7gw2D_ow")</f>
        <v>https://app.hypeauditor.com/my-network/influencer/12205025/analytics/youtube/UCn8IDQAma_e9ma_7gw2D_ow</v>
      </c>
      <c r="O111" s="3" t="str">
        <f>HYPERLINK("https://www.youtube.com/channel/UCn8IDQAma_e9ma_7gw2D_ow","https://www.youtube.com/channel/UCn8IDQAma_e9ma_7gw2D_ow")</f>
        <v>https://www.youtube.com/channel/UCn8IDQAma_e9ma_7gw2D_ow</v>
      </c>
      <c r="P111" t="s">
        <v>269</v>
      </c>
      <c r="Q111" t="s">
        <v>423</v>
      </c>
      <c r="R111" t="s">
        <v>1631</v>
      </c>
      <c r="S111" t="s">
        <v>54</v>
      </c>
      <c r="T111">
        <v>34100</v>
      </c>
      <c r="U111" t="s">
        <v>55</v>
      </c>
      <c r="W111" t="s">
        <v>55</v>
      </c>
      <c r="Y111" t="s">
        <v>54</v>
      </c>
      <c r="AA111" t="s">
        <v>55</v>
      </c>
      <c r="AE111" t="s">
        <v>55</v>
      </c>
      <c r="AG111" t="s">
        <v>54</v>
      </c>
      <c r="AI111" t="s">
        <v>55</v>
      </c>
      <c r="AK111" t="s">
        <v>55</v>
      </c>
      <c r="AM111" t="s">
        <v>55</v>
      </c>
      <c r="AO111" t="s">
        <v>55</v>
      </c>
      <c r="AQ111" t="s">
        <v>54</v>
      </c>
      <c r="AR111">
        <v>32200</v>
      </c>
      <c r="AS111">
        <v>0.03</v>
      </c>
      <c r="AT111" t="s">
        <v>2387</v>
      </c>
      <c r="AU111">
        <v>250</v>
      </c>
      <c r="AW111" t="s">
        <v>2388</v>
      </c>
      <c r="AX111" t="s">
        <v>2389</v>
      </c>
      <c r="AY111" t="s">
        <v>2390</v>
      </c>
      <c r="AZ111" t="s">
        <v>2391</v>
      </c>
      <c r="BA111" t="s">
        <v>55</v>
      </c>
      <c r="BD111" t="s">
        <v>1625</v>
      </c>
      <c r="BE111" t="s">
        <v>2391</v>
      </c>
      <c r="BG111" t="s">
        <v>1639</v>
      </c>
      <c r="BH111" t="s">
        <v>1640</v>
      </c>
      <c r="BJ111" s="3"/>
    </row>
    <row r="112" ht="25.5" customHeight="1" spans="1:62">
      <c r="A112" t="s">
        <v>2392</v>
      </c>
      <c r="B112" t="s">
        <v>1625</v>
      </c>
      <c r="C112" t="s">
        <v>2393</v>
      </c>
      <c r="F112" s="2"/>
      <c r="I112" t="s">
        <v>2193</v>
      </c>
      <c r="J112" t="s">
        <v>1629</v>
      </c>
      <c r="K112" s="3" t="str">
        <f>HYPERLINK("https://www.tiktok.com/t/ZP8YDRQmd/","https://www.tiktok.com/t/ZP8YDRQmd/")</f>
        <v>https://www.tiktok.com/t/ZP8YDRQmd/</v>
      </c>
      <c r="L112" t="s">
        <v>1630</v>
      </c>
      <c r="N112" s="3"/>
      <c r="O112" s="3" t="str">
        <f>HYPERLINK("https://www.tiktok.com/@anthonyhanaee","https://www.tiktok.com/@anthonyhanaee")</f>
        <v>https://www.tiktok.com/@anthonyhanaee</v>
      </c>
      <c r="P112" t="s">
        <v>56</v>
      </c>
      <c r="Q112" t="s">
        <v>57</v>
      </c>
      <c r="R112" t="s">
        <v>1631</v>
      </c>
      <c r="S112" t="s">
        <v>54</v>
      </c>
      <c r="W112" t="s">
        <v>55</v>
      </c>
      <c r="Y112" t="s">
        <v>54</v>
      </c>
      <c r="AA112" t="s">
        <v>55</v>
      </c>
      <c r="AE112" t="s">
        <v>55</v>
      </c>
      <c r="AG112" t="s">
        <v>54</v>
      </c>
      <c r="AI112" t="s">
        <v>55</v>
      </c>
      <c r="AK112" t="s">
        <v>55</v>
      </c>
      <c r="AM112" t="s">
        <v>55</v>
      </c>
      <c r="AO112" t="s">
        <v>55</v>
      </c>
      <c r="AQ112" t="s">
        <v>54</v>
      </c>
      <c r="AR112">
        <v>26800</v>
      </c>
      <c r="AS112">
        <v>0.066</v>
      </c>
      <c r="AT112" t="s">
        <v>2394</v>
      </c>
      <c r="AU112">
        <v>250</v>
      </c>
      <c r="AW112" t="s">
        <v>2395</v>
      </c>
      <c r="AX112" t="s">
        <v>2396</v>
      </c>
      <c r="AY112" t="s">
        <v>2397</v>
      </c>
      <c r="AZ112" t="s">
        <v>2398</v>
      </c>
      <c r="BA112" t="s">
        <v>2399</v>
      </c>
      <c r="BD112" t="s">
        <v>1638</v>
      </c>
      <c r="BE112" t="s">
        <v>2398</v>
      </c>
      <c r="BG112" t="s">
        <v>1639</v>
      </c>
      <c r="BH112" t="s">
        <v>1640</v>
      </c>
      <c r="BJ112" s="3" t="str">
        <f>HYPERLINK("https://www.tiktok.com/t/ZP8YDRQmd/","https://www.tiktok.com/t/ZP8YDRQmd/")</f>
        <v>https://www.tiktok.com/t/ZP8YDRQmd/</v>
      </c>
    </row>
    <row r="113" ht="25.5" customHeight="1" spans="1:62">
      <c r="A113" t="s">
        <v>2400</v>
      </c>
      <c r="B113" t="s">
        <v>1625</v>
      </c>
      <c r="C113" t="s">
        <v>2401</v>
      </c>
      <c r="D113" t="s">
        <v>1627</v>
      </c>
      <c r="F113" s="2"/>
      <c r="I113" t="s">
        <v>2402</v>
      </c>
      <c r="J113" t="s">
        <v>1644</v>
      </c>
      <c r="K113" s="3" t="str">
        <f>HYPERLINK("https://www.tiktok.com/@santitechoficial/video/7462009823375166726","https://www.tiktok.com/@santitechoficial/video/7462009823375166726")</f>
        <v>https://www.tiktok.com/@santitechoficial/video/7462009823375166726</v>
      </c>
      <c r="L113" t="s">
        <v>1630</v>
      </c>
      <c r="N113" s="3" t="str">
        <f>HYPERLINK("https://app.hypeauditor.com/my-network/influencer/32482350/analytics/tiktok/santitechoficial","https://app.hypeauditor.com/my-network/influencer/32482350/analytics/tiktok/santitechoficial")</f>
        <v>https://app.hypeauditor.com/my-network/influencer/32482350/analytics/tiktok/santitechoficial</v>
      </c>
      <c r="O113" s="3" t="str">
        <f>HYPERLINK("https://www.tiktok.com/@santitechoficial","https://www.tiktok.com/@santitechoficial")</f>
        <v>https://www.tiktok.com/@santitechoficial</v>
      </c>
      <c r="P113" t="s">
        <v>56</v>
      </c>
      <c r="Q113" t="s">
        <v>57</v>
      </c>
      <c r="R113" t="s">
        <v>1753</v>
      </c>
      <c r="S113" t="s">
        <v>54</v>
      </c>
      <c r="T113">
        <v>161100</v>
      </c>
      <c r="U113" t="s">
        <v>2403</v>
      </c>
      <c r="W113" t="s">
        <v>55</v>
      </c>
      <c r="Y113" t="s">
        <v>54</v>
      </c>
      <c r="AA113" t="s">
        <v>55</v>
      </c>
      <c r="AE113" t="s">
        <v>55</v>
      </c>
      <c r="AG113" t="s">
        <v>54</v>
      </c>
      <c r="AI113" t="s">
        <v>55</v>
      </c>
      <c r="AK113" t="s">
        <v>55</v>
      </c>
      <c r="AM113" t="s">
        <v>55</v>
      </c>
      <c r="AO113" t="s">
        <v>55</v>
      </c>
      <c r="AQ113" t="s">
        <v>54</v>
      </c>
      <c r="AR113">
        <v>35000</v>
      </c>
      <c r="AS113">
        <v>0.046</v>
      </c>
      <c r="AT113" t="s">
        <v>2404</v>
      </c>
      <c r="AU113">
        <v>250</v>
      </c>
      <c r="AW113" t="s">
        <v>2405</v>
      </c>
      <c r="AX113" t="s">
        <v>2061</v>
      </c>
      <c r="AY113" t="s">
        <v>1671</v>
      </c>
      <c r="AZ113" t="s">
        <v>2053</v>
      </c>
      <c r="BA113" t="s">
        <v>2406</v>
      </c>
      <c r="BD113" t="s">
        <v>1638</v>
      </c>
      <c r="BE113" t="s">
        <v>2053</v>
      </c>
      <c r="BG113" t="s">
        <v>1639</v>
      </c>
      <c r="BH113" t="s">
        <v>1640</v>
      </c>
      <c r="BJ113" s="3" t="str">
        <f>HYPERLINK("https://www.tiktok.com/@santitechoficial/video/7462009823375166726","https://www.tiktok.com/@santitechoficial/video/7462009823375166726")</f>
        <v>https://www.tiktok.com/@santitechoficial/video/7462009823375166726</v>
      </c>
    </row>
    <row r="114" ht="25.5" customHeight="1" spans="1:62">
      <c r="A114" t="s">
        <v>2407</v>
      </c>
      <c r="B114" t="s">
        <v>1625</v>
      </c>
      <c r="C114" t="s">
        <v>2408</v>
      </c>
      <c r="D114" t="s">
        <v>1627</v>
      </c>
      <c r="F114" s="2"/>
      <c r="J114" t="s">
        <v>773</v>
      </c>
      <c r="K114" s="3" t="str">
        <f>HYPERLINK("https://www.tiktok.com/@userrk38wl7v9z/video/7466563693749243141","https://www.tiktok.com/@userrk38wl7v9z/video/7466563693749243141")</f>
        <v>https://www.tiktok.com/@userrk38wl7v9z/video/7466563693749243141</v>
      </c>
      <c r="L114" t="s">
        <v>1630</v>
      </c>
      <c r="N114" s="3" t="str">
        <f>HYPERLINK("https://app.hypeauditor.com/my-network/influencer/12527798/analytics/tiktok/criptofc","https://app.hypeauditor.com/my-network/influencer/12527798/analytics/tiktok/criptofc")</f>
        <v>https://app.hypeauditor.com/my-network/influencer/12527798/analytics/tiktok/criptofc</v>
      </c>
      <c r="O114" s="3" t="str">
        <f>HYPERLINK("https://www.tiktok.com/@criptofc","https://www.tiktok.com/@criptofc")</f>
        <v>https://www.tiktok.com/@criptofc</v>
      </c>
      <c r="P114" t="s">
        <v>56</v>
      </c>
      <c r="Q114" t="s">
        <v>57</v>
      </c>
      <c r="R114" t="s">
        <v>1652</v>
      </c>
      <c r="S114" t="s">
        <v>54</v>
      </c>
      <c r="T114">
        <v>191100</v>
      </c>
      <c r="U114" t="s">
        <v>2409</v>
      </c>
      <c r="W114" t="s">
        <v>55</v>
      </c>
      <c r="Y114" t="s">
        <v>54</v>
      </c>
      <c r="AA114" t="s">
        <v>55</v>
      </c>
      <c r="AE114" t="s">
        <v>55</v>
      </c>
      <c r="AG114" t="s">
        <v>54</v>
      </c>
      <c r="AI114" t="s">
        <v>55</v>
      </c>
      <c r="AK114" t="s">
        <v>55</v>
      </c>
      <c r="AM114" t="s">
        <v>55</v>
      </c>
      <c r="AO114" t="s">
        <v>55</v>
      </c>
      <c r="AQ114" t="s">
        <v>54</v>
      </c>
      <c r="AR114">
        <v>15000</v>
      </c>
      <c r="AS114">
        <v>0.099</v>
      </c>
      <c r="AT114" t="s">
        <v>2410</v>
      </c>
      <c r="AU114">
        <v>250</v>
      </c>
      <c r="AW114" t="s">
        <v>2411</v>
      </c>
      <c r="AX114" t="s">
        <v>2074</v>
      </c>
      <c r="AY114" t="s">
        <v>2075</v>
      </c>
      <c r="AZ114" t="s">
        <v>1252</v>
      </c>
      <c r="BA114" t="s">
        <v>2412</v>
      </c>
      <c r="BD114" t="s">
        <v>1638</v>
      </c>
      <c r="BE114" t="s">
        <v>1252</v>
      </c>
      <c r="BG114" t="s">
        <v>1639</v>
      </c>
      <c r="BH114" t="s">
        <v>1640</v>
      </c>
      <c r="BJ114" s="3" t="str">
        <f>HYPERLINK("https://www.tiktok.com/@userrk38wl7v9z/video/7466563693749243141","https://www.tiktok.com/@userrk38wl7v9z/video/7466563693749243141")</f>
        <v>https://www.tiktok.com/@userrk38wl7v9z/video/7466563693749243141</v>
      </c>
    </row>
    <row r="115" ht="25.5" customHeight="1" spans="1:62">
      <c r="A115" t="s">
        <v>2332</v>
      </c>
      <c r="B115" t="s">
        <v>1625</v>
      </c>
      <c r="C115" t="s">
        <v>2333</v>
      </c>
      <c r="D115" t="s">
        <v>1769</v>
      </c>
      <c r="F115" s="2"/>
      <c r="I115" t="s">
        <v>2334</v>
      </c>
      <c r="J115" t="s">
        <v>1644</v>
      </c>
      <c r="K115" s="3" t="str">
        <f>HYPERLINK("https://www.tiktok.com/@ailiceun/video/7462261985250446635","https://www.tiktok.com/@ailiceun/video/7462261985250446635")</f>
        <v>https://www.tiktok.com/@ailiceun/video/7462261985250446635</v>
      </c>
      <c r="L115" t="s">
        <v>1630</v>
      </c>
      <c r="N115" s="3" t="str">
        <f>HYPERLINK("https://app.hypeauditor.com/my-network/influencer/30146721/analytics/tiktok/ailiceun","https://app.hypeauditor.com/my-network/influencer/30146721/analytics/tiktok/ailiceun")</f>
        <v>https://app.hypeauditor.com/my-network/influencer/30146721/analytics/tiktok/ailiceun</v>
      </c>
      <c r="O115" s="3" t="str">
        <f>HYPERLINK("https://www.tiktok.com/@ailiceun","https://www.tiktok.com/@ailiceun")</f>
        <v>https://www.tiktok.com/@ailiceun</v>
      </c>
      <c r="P115" t="s">
        <v>56</v>
      </c>
      <c r="Q115" t="s">
        <v>57</v>
      </c>
      <c r="R115" t="s">
        <v>1631</v>
      </c>
      <c r="S115" t="s">
        <v>54</v>
      </c>
      <c r="T115">
        <v>137500</v>
      </c>
      <c r="U115" t="s">
        <v>590</v>
      </c>
      <c r="W115" t="s">
        <v>55</v>
      </c>
      <c r="Y115" t="s">
        <v>54</v>
      </c>
      <c r="AA115" t="s">
        <v>55</v>
      </c>
      <c r="AE115" t="s">
        <v>55</v>
      </c>
      <c r="AG115" t="s">
        <v>54</v>
      </c>
      <c r="AI115" t="s">
        <v>55</v>
      </c>
      <c r="AK115" t="s">
        <v>55</v>
      </c>
      <c r="AM115" t="s">
        <v>55</v>
      </c>
      <c r="AO115" t="s">
        <v>55</v>
      </c>
      <c r="AQ115" t="s">
        <v>54</v>
      </c>
      <c r="AR115">
        <v>23300</v>
      </c>
      <c r="AS115">
        <v>0.1391</v>
      </c>
      <c r="AT115" t="s">
        <v>591</v>
      </c>
      <c r="AU115">
        <v>250</v>
      </c>
      <c r="AW115" t="s">
        <v>592</v>
      </c>
      <c r="AX115" t="s">
        <v>593</v>
      </c>
      <c r="AY115" t="s">
        <v>594</v>
      </c>
      <c r="AZ115" t="s">
        <v>173</v>
      </c>
      <c r="BA115" t="s">
        <v>595</v>
      </c>
      <c r="BD115" t="s">
        <v>1638</v>
      </c>
      <c r="BE115" t="s">
        <v>173</v>
      </c>
      <c r="BG115" t="s">
        <v>1639</v>
      </c>
      <c r="BH115" t="s">
        <v>1640</v>
      </c>
      <c r="BI115" t="s">
        <v>2332</v>
      </c>
      <c r="BJ115" s="3" t="str">
        <f>HYPERLINK("https://www.tiktok.com/@ailiceun/video/7462261985250446635","https://www.tiktok.com/@ailiceun/video/7462261985250446635")</f>
        <v>https://www.tiktok.com/@ailiceun/video/7462261985250446635</v>
      </c>
    </row>
    <row r="116" ht="25.5" customHeight="1" spans="1:62">
      <c r="A116" t="s">
        <v>2413</v>
      </c>
      <c r="B116" t="s">
        <v>1701</v>
      </c>
      <c r="C116" t="s">
        <v>2414</v>
      </c>
      <c r="D116" t="s">
        <v>1627</v>
      </c>
      <c r="F116" s="2"/>
      <c r="H116" t="s">
        <v>1663</v>
      </c>
      <c r="I116" t="s">
        <v>128</v>
      </c>
      <c r="J116" t="s">
        <v>1644</v>
      </c>
      <c r="K116" s="3" t="str">
        <f>HYPERLINK("https://www.instagram.com/p/DEsCV74CFGH/?igsh=YTFyaHk4enN3dGVm","https://www.instagram.com/p/DEsCV74CFGH/?igsh=YTFyaHk4enN3dGVm")</f>
        <v>https://www.instagram.com/p/DEsCV74CFGH/?igsh=YTFyaHk4enN3dGVm</v>
      </c>
      <c r="L116" t="s">
        <v>1630</v>
      </c>
      <c r="N116" s="3" t="str">
        <f>HYPERLINK("https://app.hypeauditor.com/my-network/influencer/1673801/analytics/instagram/culturaimprenditoriale","https://app.hypeauditor.com/my-network/influencer/1673801/analytics/instagram/culturaimprenditoriale")</f>
        <v>https://app.hypeauditor.com/my-network/influencer/1673801/analytics/instagram/culturaimprenditoriale</v>
      </c>
      <c r="O116" s="3" t="str">
        <f>HYPERLINK("https://www.instagram.com/culturaimprenditoriale/","https://www.instagram.com/culturaimprenditoriale/")</f>
        <v>https://www.instagram.com/culturaimprenditoriale/</v>
      </c>
      <c r="P116" t="s">
        <v>65</v>
      </c>
      <c r="Q116" t="s">
        <v>66</v>
      </c>
      <c r="R116" t="s">
        <v>1631</v>
      </c>
      <c r="S116" t="s">
        <v>54</v>
      </c>
      <c r="T116">
        <v>474100</v>
      </c>
      <c r="U116" t="s">
        <v>123</v>
      </c>
      <c r="W116" t="s">
        <v>55</v>
      </c>
      <c r="Y116" t="s">
        <v>54</v>
      </c>
      <c r="AA116" t="s">
        <v>55</v>
      </c>
      <c r="AE116" t="s">
        <v>55</v>
      </c>
      <c r="AG116" t="s">
        <v>54</v>
      </c>
      <c r="AI116" t="s">
        <v>55</v>
      </c>
      <c r="AK116" t="s">
        <v>55</v>
      </c>
      <c r="AM116" t="s">
        <v>55</v>
      </c>
      <c r="AO116" t="s">
        <v>55</v>
      </c>
      <c r="AQ116" t="s">
        <v>54</v>
      </c>
      <c r="AS116">
        <v>0.0132</v>
      </c>
      <c r="AT116" t="s">
        <v>124</v>
      </c>
      <c r="AU116">
        <v>240</v>
      </c>
      <c r="AW116" t="s">
        <v>125</v>
      </c>
      <c r="AZ116" t="s">
        <v>126</v>
      </c>
      <c r="BA116" t="s">
        <v>127</v>
      </c>
      <c r="BD116" t="s">
        <v>1638</v>
      </c>
      <c r="BE116" t="s">
        <v>126</v>
      </c>
      <c r="BG116" t="s">
        <v>1639</v>
      </c>
      <c r="BH116" t="s">
        <v>1640</v>
      </c>
      <c r="BJ116" s="3" t="str">
        <f>HYPERLINK("https://www.instagram.com/p/DEsCV74CFGH/?igsh=YTFyaHk4enN3dGVm","https://www.instagram.com/p/DEsCV74CFGH/?igsh=YTFyaHk4enN3dGVm")</f>
        <v>https://www.instagram.com/p/DEsCV74CFGH/?igsh=YTFyaHk4enN3dGVm</v>
      </c>
    </row>
    <row r="117" ht="25.5" customHeight="1" spans="1:62">
      <c r="A117" t="s">
        <v>2415</v>
      </c>
      <c r="B117" t="s">
        <v>1701</v>
      </c>
      <c r="C117" t="s">
        <v>1688</v>
      </c>
      <c r="D117" t="s">
        <v>1627</v>
      </c>
      <c r="F117" s="2"/>
      <c r="H117" t="s">
        <v>1723</v>
      </c>
      <c r="I117" t="s">
        <v>2416</v>
      </c>
      <c r="J117" t="s">
        <v>1644</v>
      </c>
      <c r="K117" s="3" t="str">
        <f>HYPERLINK("https://www.instagram.com/reel/DExCCq_o7NU/?igsh=c2ppZHY4cmloN3g5","https://www.instagram.com/reel/DExCCq_o7NU/?igsh=c2ppZHY4cmloN3g5")</f>
        <v>https://www.instagram.com/reel/DExCCq_o7NU/?igsh=c2ppZHY4cmloN3g5</v>
      </c>
      <c r="L117" t="s">
        <v>1630</v>
      </c>
      <c r="N117" s="3" t="str">
        <f>HYPERLINK("https://app.hypeauditor.com/my-network/influencer/32744889/analytics/instagram/namikazetech","https://app.hypeauditor.com/my-network/influencer/32744889/analytics/instagram/namikazetech")</f>
        <v>https://app.hypeauditor.com/my-network/influencer/32744889/analytics/instagram/namikazetech</v>
      </c>
      <c r="O117" s="3" t="str">
        <f>HYPERLINK("https://www.instagram.com/namikazetech/reels/","https://www.instagram.com/namikazetech/reels/")</f>
        <v>https://www.instagram.com/namikazetech/reels/</v>
      </c>
      <c r="P117" t="s">
        <v>65</v>
      </c>
      <c r="Q117" t="s">
        <v>116</v>
      </c>
      <c r="R117" t="s">
        <v>1779</v>
      </c>
      <c r="S117" t="s">
        <v>54</v>
      </c>
      <c r="T117">
        <v>90900</v>
      </c>
      <c r="U117" t="s">
        <v>55</v>
      </c>
      <c r="W117" t="s">
        <v>55</v>
      </c>
      <c r="Y117" t="s">
        <v>54</v>
      </c>
      <c r="AA117" t="s">
        <v>55</v>
      </c>
      <c r="AE117" t="s">
        <v>55</v>
      </c>
      <c r="AG117" t="s">
        <v>54</v>
      </c>
      <c r="AI117" t="s">
        <v>55</v>
      </c>
      <c r="AK117" t="s">
        <v>55</v>
      </c>
      <c r="AM117" t="s">
        <v>55</v>
      </c>
      <c r="AO117" t="s">
        <v>55</v>
      </c>
      <c r="AQ117" t="s">
        <v>54</v>
      </c>
      <c r="AR117">
        <v>25000</v>
      </c>
      <c r="AS117">
        <v>0.0053</v>
      </c>
      <c r="AT117" t="s">
        <v>667</v>
      </c>
      <c r="AU117">
        <v>230</v>
      </c>
      <c r="AW117" t="s">
        <v>668</v>
      </c>
      <c r="AX117" t="s">
        <v>669</v>
      </c>
      <c r="AY117" t="s">
        <v>670</v>
      </c>
      <c r="AZ117" t="s">
        <v>671</v>
      </c>
      <c r="BA117" t="s">
        <v>55</v>
      </c>
      <c r="BD117" t="s">
        <v>1638</v>
      </c>
      <c r="BE117" t="s">
        <v>671</v>
      </c>
      <c r="BG117" t="s">
        <v>1639</v>
      </c>
      <c r="BH117" t="s">
        <v>1640</v>
      </c>
      <c r="BJ117" s="3" t="str">
        <f>HYPERLINK("https://www.instagram.com/reel/DExCCq_o7NU/?igsh=c2ppZHY4cmloN3g5","https://www.instagram.com/reel/DExCCq_o7NU/?igsh=c2ppZHY4cmloN3g5")</f>
        <v>https://www.instagram.com/reel/DExCCq_o7NU/?igsh=c2ppZHY4cmloN3g5</v>
      </c>
    </row>
    <row r="118" ht="25.5" customHeight="1" spans="1:62">
      <c r="A118" t="s">
        <v>2417</v>
      </c>
      <c r="B118" t="s">
        <v>1625</v>
      </c>
      <c r="C118" t="s">
        <v>2153</v>
      </c>
      <c r="F118" s="2"/>
      <c r="J118" t="s">
        <v>1644</v>
      </c>
      <c r="K118" s="3" t="str">
        <f>HYPERLINK("https://x.com/Ubermenscchh/status/1876568357274841307","https://x.com/Ubermenscchh/status/1876568357274841307")</f>
        <v>https://x.com/Ubermenscchh/status/1876568357274841307</v>
      </c>
      <c r="L118" t="s">
        <v>1630</v>
      </c>
      <c r="N118" s="3"/>
      <c r="O118" s="3" t="str">
        <f>HYPERLINK("https://x.com/Ubermenscchh","https://x.com/Ubermenscchh")</f>
        <v>https://x.com/Ubermenscchh</v>
      </c>
      <c r="P118" t="s">
        <v>1816</v>
      </c>
      <c r="Q118" t="s">
        <v>1817</v>
      </c>
      <c r="R118" t="s">
        <v>1631</v>
      </c>
      <c r="S118" t="s">
        <v>54</v>
      </c>
      <c r="T118">
        <v>35900</v>
      </c>
      <c r="U118" t="s">
        <v>55</v>
      </c>
      <c r="W118" t="s">
        <v>55</v>
      </c>
      <c r="Y118" t="s">
        <v>54</v>
      </c>
      <c r="AA118" t="s">
        <v>55</v>
      </c>
      <c r="AE118" t="s">
        <v>55</v>
      </c>
      <c r="AG118" t="s">
        <v>54</v>
      </c>
      <c r="AI118" t="s">
        <v>55</v>
      </c>
      <c r="AK118" t="s">
        <v>55</v>
      </c>
      <c r="AM118" t="s">
        <v>55</v>
      </c>
      <c r="AO118" t="s">
        <v>55</v>
      </c>
      <c r="AQ118" t="s">
        <v>54</v>
      </c>
      <c r="AR118">
        <v>50000</v>
      </c>
      <c r="AS118">
        <v>0.04</v>
      </c>
      <c r="AT118" t="s">
        <v>2269</v>
      </c>
      <c r="AU118">
        <v>230</v>
      </c>
      <c r="AW118" t="s">
        <v>2270</v>
      </c>
      <c r="AX118" t="s">
        <v>2418</v>
      </c>
      <c r="AY118" t="s">
        <v>2419</v>
      </c>
      <c r="AZ118" t="s">
        <v>2420</v>
      </c>
      <c r="BA118" t="s">
        <v>2421</v>
      </c>
      <c r="BD118" t="s">
        <v>1638</v>
      </c>
      <c r="BE118" t="s">
        <v>2420</v>
      </c>
      <c r="BG118" t="s">
        <v>1639</v>
      </c>
      <c r="BH118" t="s">
        <v>1640</v>
      </c>
      <c r="BJ118" s="3" t="str">
        <f>HYPERLINK("https://x.com/Ubermenscchh/status/1876568357274841307","https://x.com/Ubermenscchh/status/1876568357274841307")</f>
        <v>https://x.com/Ubermenscchh/status/1876568357274841307</v>
      </c>
    </row>
    <row r="119" ht="25.5" customHeight="1" spans="1:62">
      <c r="A119" t="s">
        <v>2422</v>
      </c>
      <c r="B119" t="s">
        <v>1625</v>
      </c>
      <c r="C119" t="s">
        <v>2423</v>
      </c>
      <c r="D119" t="s">
        <v>1627</v>
      </c>
      <c r="F119" s="2">
        <v>45682</v>
      </c>
      <c r="H119" t="s">
        <v>1806</v>
      </c>
      <c r="I119" t="s">
        <v>2424</v>
      </c>
      <c r="J119" t="s">
        <v>1629</v>
      </c>
      <c r="K119" s="3" t="str">
        <f>HYPERLINK("https://vm.tiktok.com/ZGdAt7vto/","https://vm.tiktok.com/ZGdAt7vto/")</f>
        <v>https://vm.tiktok.com/ZGdAt7vto/</v>
      </c>
      <c r="L119" t="s">
        <v>1630</v>
      </c>
      <c r="N119" s="3" t="str">
        <f>HYPERLINK("https://app.hypeauditor.com/my-network/influencer/15209134/analytics/tiktok/lucastechq","https://app.hypeauditor.com/my-network/influencer/15209134/analytics/tiktok/lucastechq")</f>
        <v>https://app.hypeauditor.com/my-network/influencer/15209134/analytics/tiktok/lucastechq</v>
      </c>
      <c r="O119" s="3"/>
      <c r="P119" t="s">
        <v>56</v>
      </c>
      <c r="Q119" t="s">
        <v>57</v>
      </c>
      <c r="R119" t="s">
        <v>1887</v>
      </c>
      <c r="S119" t="s">
        <v>54</v>
      </c>
      <c r="T119">
        <v>324200</v>
      </c>
      <c r="U119" t="s">
        <v>2425</v>
      </c>
      <c r="W119" t="s">
        <v>55</v>
      </c>
      <c r="Y119" t="s">
        <v>54</v>
      </c>
      <c r="AA119" t="s">
        <v>55</v>
      </c>
      <c r="AE119" t="s">
        <v>55</v>
      </c>
      <c r="AG119" t="s">
        <v>54</v>
      </c>
      <c r="AI119" t="s">
        <v>55</v>
      </c>
      <c r="AK119" t="s">
        <v>55</v>
      </c>
      <c r="AM119" t="s">
        <v>55</v>
      </c>
      <c r="AO119" t="s">
        <v>55</v>
      </c>
      <c r="AQ119" t="s">
        <v>54</v>
      </c>
      <c r="AR119">
        <v>150000</v>
      </c>
      <c r="AS119">
        <v>0.034</v>
      </c>
      <c r="AT119" t="s">
        <v>954</v>
      </c>
      <c r="AU119">
        <v>220</v>
      </c>
      <c r="AW119" t="s">
        <v>955</v>
      </c>
      <c r="AX119" t="s">
        <v>1332</v>
      </c>
      <c r="AY119" t="s">
        <v>2133</v>
      </c>
      <c r="AZ119" t="s">
        <v>1747</v>
      </c>
      <c r="BA119" t="s">
        <v>2426</v>
      </c>
      <c r="BD119" t="s">
        <v>1638</v>
      </c>
      <c r="BE119" t="s">
        <v>1747</v>
      </c>
      <c r="BG119" t="s">
        <v>1639</v>
      </c>
      <c r="BH119" t="s">
        <v>1640</v>
      </c>
      <c r="BJ119" s="3" t="str">
        <f>HYPERLINK("https://vm.tiktok.com/ZGdAt7vto/","https://vm.tiktok.com/ZGdAt7vto/")</f>
        <v>https://vm.tiktok.com/ZGdAt7vto/</v>
      </c>
    </row>
    <row r="120" ht="25.5" customHeight="1" spans="1:62">
      <c r="A120" t="s">
        <v>80</v>
      </c>
      <c r="B120" t="s">
        <v>1701</v>
      </c>
      <c r="C120" t="s">
        <v>2427</v>
      </c>
      <c r="D120" t="s">
        <v>1627</v>
      </c>
      <c r="F120" s="2"/>
      <c r="H120" t="s">
        <v>1996</v>
      </c>
      <c r="J120" t="s">
        <v>1725</v>
      </c>
      <c r="K120" s="3"/>
      <c r="L120" t="s">
        <v>1630</v>
      </c>
      <c r="N120" s="3"/>
      <c r="O120" s="3"/>
      <c r="P120" t="s">
        <v>65</v>
      </c>
      <c r="Q120" t="s">
        <v>66</v>
      </c>
      <c r="R120" t="s">
        <v>1631</v>
      </c>
      <c r="S120" t="s">
        <v>54</v>
      </c>
      <c r="T120">
        <v>160000</v>
      </c>
      <c r="U120" t="s">
        <v>2428</v>
      </c>
      <c r="W120" t="s">
        <v>55</v>
      </c>
      <c r="Y120" t="s">
        <v>54</v>
      </c>
      <c r="AA120" t="s">
        <v>55</v>
      </c>
      <c r="AE120" t="s">
        <v>55</v>
      </c>
      <c r="AG120" t="s">
        <v>54</v>
      </c>
      <c r="AI120" t="s">
        <v>55</v>
      </c>
      <c r="AK120" t="s">
        <v>55</v>
      </c>
      <c r="AM120" t="s">
        <v>55</v>
      </c>
      <c r="AO120" t="s">
        <v>55</v>
      </c>
      <c r="AQ120" t="s">
        <v>54</v>
      </c>
      <c r="AR120">
        <v>10000</v>
      </c>
      <c r="AS120">
        <v>0.032</v>
      </c>
      <c r="AT120" t="s">
        <v>2429</v>
      </c>
      <c r="AU120">
        <v>206</v>
      </c>
      <c r="AW120" t="s">
        <v>2430</v>
      </c>
      <c r="AX120" t="s">
        <v>2431</v>
      </c>
      <c r="AY120" t="s">
        <v>55</v>
      </c>
      <c r="AZ120" t="s">
        <v>2432</v>
      </c>
      <c r="BA120" t="s">
        <v>2433</v>
      </c>
      <c r="BD120" t="s">
        <v>1830</v>
      </c>
      <c r="BE120" t="s">
        <v>2432</v>
      </c>
      <c r="BG120" t="s">
        <v>1639</v>
      </c>
      <c r="BH120" t="s">
        <v>1640</v>
      </c>
      <c r="BJ120" s="3"/>
    </row>
    <row r="121" ht="25.5" customHeight="1" spans="1:62">
      <c r="A121" t="s">
        <v>2434</v>
      </c>
      <c r="B121" t="s">
        <v>1625</v>
      </c>
      <c r="C121" t="s">
        <v>2435</v>
      </c>
      <c r="F121" s="2"/>
      <c r="H121" t="s">
        <v>2436</v>
      </c>
      <c r="J121" t="s">
        <v>1644</v>
      </c>
      <c r="K121" s="3"/>
      <c r="L121" t="s">
        <v>1645</v>
      </c>
      <c r="N121" s="3" t="str">
        <f>HYPERLINK("https://app.hypeauditor.com/my-network/influencer/32231942/analytics/tiktok/ericanthonytv","https://app.hypeauditor.com/my-network/influencer/32231942/analytics/tiktok/ericanthonytv")</f>
        <v>https://app.hypeauditor.com/my-network/influencer/32231942/analytics/tiktok/ericanthonytv</v>
      </c>
      <c r="O121" s="3" t="str">
        <f>HYPERLINK("https://www.tiktok.com/@ericanthonytv","https://www.tiktok.com/@ericanthonytv")</f>
        <v>https://www.tiktok.com/@ericanthonytv</v>
      </c>
      <c r="P121" t="s">
        <v>56</v>
      </c>
      <c r="Q121" t="s">
        <v>57</v>
      </c>
      <c r="R121" t="s">
        <v>1631</v>
      </c>
      <c r="S121" t="s">
        <v>54</v>
      </c>
      <c r="W121" t="s">
        <v>55</v>
      </c>
      <c r="Y121" t="s">
        <v>54</v>
      </c>
      <c r="AA121" t="s">
        <v>55</v>
      </c>
      <c r="AE121" t="s">
        <v>55</v>
      </c>
      <c r="AG121" t="s">
        <v>54</v>
      </c>
      <c r="AI121" t="s">
        <v>55</v>
      </c>
      <c r="AK121" t="s">
        <v>55</v>
      </c>
      <c r="AM121" t="s">
        <v>55</v>
      </c>
      <c r="AO121" t="s">
        <v>55</v>
      </c>
      <c r="AQ121" t="s">
        <v>54</v>
      </c>
      <c r="AR121">
        <v>81800</v>
      </c>
      <c r="AS121">
        <v>0.1351</v>
      </c>
      <c r="AT121" t="s">
        <v>2437</v>
      </c>
      <c r="AU121">
        <v>200</v>
      </c>
      <c r="AW121" t="s">
        <v>2438</v>
      </c>
      <c r="AX121" t="s">
        <v>1082</v>
      </c>
      <c r="AY121" t="s">
        <v>2439</v>
      </c>
      <c r="AZ121" t="s">
        <v>2440</v>
      </c>
      <c r="BA121" t="s">
        <v>2441</v>
      </c>
      <c r="BD121" t="s">
        <v>1638</v>
      </c>
      <c r="BE121" t="s">
        <v>2440</v>
      </c>
      <c r="BG121" t="s">
        <v>1639</v>
      </c>
      <c r="BH121" t="s">
        <v>1640</v>
      </c>
      <c r="BJ121" s="3"/>
    </row>
    <row r="122" ht="25.5" customHeight="1" spans="1:62">
      <c r="A122" t="s">
        <v>2040</v>
      </c>
      <c r="B122" t="s">
        <v>1625</v>
      </c>
      <c r="F122" s="2"/>
      <c r="H122" t="s">
        <v>1806</v>
      </c>
      <c r="J122" t="s">
        <v>1629</v>
      </c>
      <c r="K122" s="3" t="str">
        <f>HYPERLINK("https://www.instagram.com/reel/DE8c8WqPVKA/","https://www.instagram.com/reel/DE8c8WqPVKA/")</f>
        <v>https://www.instagram.com/reel/DE8c8WqPVKA/</v>
      </c>
      <c r="L122" t="s">
        <v>1630</v>
      </c>
      <c r="N122" s="3" t="str">
        <f>HYPERLINK("https://app.hypeauditor.com/my-network/influencer/31336889/analytics/instagram/soyedu.tec","https://app.hypeauditor.com/my-network/influencer/31336889/analytics/instagram/soyedu.tec")</f>
        <v>https://app.hypeauditor.com/my-network/influencer/31336889/analytics/instagram/soyedu.tec</v>
      </c>
      <c r="O122" s="3"/>
      <c r="P122" t="s">
        <v>65</v>
      </c>
      <c r="Q122" t="s">
        <v>116</v>
      </c>
      <c r="R122" t="s">
        <v>97</v>
      </c>
      <c r="S122" t="s">
        <v>54</v>
      </c>
      <c r="W122" t="s">
        <v>55</v>
      </c>
      <c r="Y122" t="s">
        <v>54</v>
      </c>
      <c r="AA122" t="s">
        <v>55</v>
      </c>
      <c r="AE122" t="s">
        <v>55</v>
      </c>
      <c r="AG122" t="s">
        <v>54</v>
      </c>
      <c r="AI122" t="s">
        <v>55</v>
      </c>
      <c r="AK122" t="s">
        <v>55</v>
      </c>
      <c r="AM122" t="s">
        <v>55</v>
      </c>
      <c r="AO122" t="s">
        <v>55</v>
      </c>
      <c r="AQ122" t="s">
        <v>54</v>
      </c>
      <c r="AT122" t="s">
        <v>54</v>
      </c>
      <c r="AU122">
        <v>200</v>
      </c>
      <c r="AW122" t="s">
        <v>54</v>
      </c>
      <c r="BD122" t="s">
        <v>1638</v>
      </c>
      <c r="BG122" t="s">
        <v>1639</v>
      </c>
      <c r="BH122" t="s">
        <v>1640</v>
      </c>
      <c r="BI122" t="s">
        <v>2040</v>
      </c>
      <c r="BJ122" s="3" t="str">
        <f>HYPERLINK("https://www.instagram.com/reel/DE8c8WqPVKA/","https://www.instagram.com/reel/DE8c8WqPVKA/")</f>
        <v>https://www.instagram.com/reel/DE8c8WqPVKA/</v>
      </c>
    </row>
    <row r="123" ht="25.5" customHeight="1" spans="1:62">
      <c r="A123" t="s">
        <v>644</v>
      </c>
      <c r="B123" t="s">
        <v>1701</v>
      </c>
      <c r="C123" t="s">
        <v>2442</v>
      </c>
      <c r="D123" t="s">
        <v>1627</v>
      </c>
      <c r="F123" s="2"/>
      <c r="H123" t="s">
        <v>2443</v>
      </c>
      <c r="I123" t="s">
        <v>2444</v>
      </c>
      <c r="J123" t="s">
        <v>1644</v>
      </c>
      <c r="K123" s="3" t="str">
        <f>HYPERLINK("https://www.tiktok.com/@sheffield.g/video/7463193065180761377","https://www.tiktok.com/@sheffield.g/video/7463193065180761377")</f>
        <v>https://www.tiktok.com/@sheffield.g/video/7463193065180761377</v>
      </c>
      <c r="L123" t="s">
        <v>1630</v>
      </c>
      <c r="N123" s="3" t="str">
        <f>HYPERLINK("https://app.hypeauditor.com/my-network/influencer/30115626/analytics/tiktok/sheffield.g","https://app.hypeauditor.com/my-network/influencer/30115626/analytics/tiktok/sheffield.g")</f>
        <v>https://app.hypeauditor.com/my-network/influencer/30115626/analytics/tiktok/sheffield.g</v>
      </c>
      <c r="O123" s="3" t="str">
        <f>HYPERLINK("https://www.tiktok.com/@sheffield.g","https://www.tiktok.com/@sheffield.g")</f>
        <v>https://www.tiktok.com/@sheffield.g</v>
      </c>
      <c r="P123" t="s">
        <v>56</v>
      </c>
      <c r="Q123" t="s">
        <v>57</v>
      </c>
      <c r="R123" t="s">
        <v>1887</v>
      </c>
      <c r="S123" t="s">
        <v>54</v>
      </c>
      <c r="T123">
        <v>75500</v>
      </c>
      <c r="U123" t="s">
        <v>55</v>
      </c>
      <c r="W123" t="s">
        <v>55</v>
      </c>
      <c r="Y123" t="s">
        <v>54</v>
      </c>
      <c r="AA123" t="s">
        <v>55</v>
      </c>
      <c r="AE123" t="s">
        <v>55</v>
      </c>
      <c r="AG123" t="s">
        <v>54</v>
      </c>
      <c r="AI123" t="s">
        <v>55</v>
      </c>
      <c r="AK123" t="s">
        <v>55</v>
      </c>
      <c r="AM123" t="s">
        <v>55</v>
      </c>
      <c r="AO123" t="s">
        <v>55</v>
      </c>
      <c r="AQ123" t="s">
        <v>54</v>
      </c>
      <c r="AR123">
        <v>55700</v>
      </c>
      <c r="AS123">
        <v>0.1693</v>
      </c>
      <c r="AT123" t="s">
        <v>645</v>
      </c>
      <c r="AU123">
        <v>200</v>
      </c>
      <c r="AW123" t="s">
        <v>646</v>
      </c>
      <c r="AX123" t="s">
        <v>647</v>
      </c>
      <c r="AY123" t="s">
        <v>648</v>
      </c>
      <c r="AZ123" t="s">
        <v>649</v>
      </c>
      <c r="BA123" t="s">
        <v>650</v>
      </c>
      <c r="BD123" t="s">
        <v>1638</v>
      </c>
      <c r="BE123" t="s">
        <v>649</v>
      </c>
      <c r="BG123" t="s">
        <v>1639</v>
      </c>
      <c r="BH123" t="s">
        <v>1640</v>
      </c>
      <c r="BJ123" s="3" t="str">
        <f>HYPERLINK("https://www.tiktok.com/@sheffield.g/video/7463193065180761377","https://www.tiktok.com/@sheffield.g/video/7463193065180761377")</f>
        <v>https://www.tiktok.com/@sheffield.g/video/7463193065180761377</v>
      </c>
    </row>
    <row r="124" ht="25.5" customHeight="1" spans="1:62">
      <c r="A124" t="s">
        <v>2445</v>
      </c>
      <c r="B124" t="s">
        <v>1701</v>
      </c>
      <c r="C124" t="s">
        <v>2446</v>
      </c>
      <c r="D124" t="s">
        <v>1627</v>
      </c>
      <c r="F124" s="2">
        <v>45666</v>
      </c>
      <c r="H124" t="s">
        <v>1663</v>
      </c>
      <c r="I124" t="s">
        <v>2447</v>
      </c>
      <c r="J124" t="s">
        <v>1725</v>
      </c>
      <c r="K124" s="3" t="str">
        <f>HYPERLINK("https://vm.tiktok.com/ZGdBXejpE/","https://vm.tiktok.com/ZGdBXejpE/")</f>
        <v>https://vm.tiktok.com/ZGdBXejpE/</v>
      </c>
      <c r="L124" t="s">
        <v>1630</v>
      </c>
      <c r="N124" s="3" t="str">
        <f>HYPERLINK("https://app.hypeauditor.com/my-network/influencer/8997226/analytics/tiktok/san.shapes","https://app.hypeauditor.com/my-network/influencer/8997226/analytics/tiktok/san.shapes")</f>
        <v>https://app.hypeauditor.com/my-network/influencer/8997226/analytics/tiktok/san.shapes</v>
      </c>
      <c r="O124" s="3" t="str">
        <f>HYPERLINK("https://www.tiktok.com/@san.shapes","https://www.tiktok.com/@san.shapes")</f>
        <v>https://www.tiktok.com/@san.shapes</v>
      </c>
      <c r="P124" t="s">
        <v>56</v>
      </c>
      <c r="Q124" t="s">
        <v>57</v>
      </c>
      <c r="R124" t="s">
        <v>97</v>
      </c>
      <c r="S124" t="s">
        <v>54</v>
      </c>
      <c r="T124">
        <v>353300</v>
      </c>
      <c r="U124" t="s">
        <v>632</v>
      </c>
      <c r="W124" t="s">
        <v>55</v>
      </c>
      <c r="Y124" t="s">
        <v>54</v>
      </c>
      <c r="AA124" t="s">
        <v>55</v>
      </c>
      <c r="AE124" t="s">
        <v>55</v>
      </c>
      <c r="AG124" t="s">
        <v>54</v>
      </c>
      <c r="AI124" t="s">
        <v>55</v>
      </c>
      <c r="AK124" t="s">
        <v>55</v>
      </c>
      <c r="AM124" t="s">
        <v>55</v>
      </c>
      <c r="AO124" t="s">
        <v>55</v>
      </c>
      <c r="AQ124" t="s">
        <v>54</v>
      </c>
      <c r="AR124">
        <v>15000</v>
      </c>
      <c r="AS124">
        <v>0.078</v>
      </c>
      <c r="AT124" t="s">
        <v>2448</v>
      </c>
      <c r="AU124">
        <v>200</v>
      </c>
      <c r="AW124" t="s">
        <v>2449</v>
      </c>
      <c r="AX124" t="s">
        <v>635</v>
      </c>
      <c r="AY124" t="s">
        <v>636</v>
      </c>
      <c r="AZ124" t="s">
        <v>2450</v>
      </c>
      <c r="BA124" t="s">
        <v>2451</v>
      </c>
      <c r="BD124" t="s">
        <v>1638</v>
      </c>
      <c r="BE124" t="s">
        <v>2450</v>
      </c>
      <c r="BG124" t="s">
        <v>1639</v>
      </c>
      <c r="BH124" t="s">
        <v>1640</v>
      </c>
      <c r="BJ124" s="3" t="str">
        <f>HYPERLINK("https://vm.tiktok.com/ZGdBXejpE/","https://vm.tiktok.com/ZGdBXejpE/")</f>
        <v>https://vm.tiktok.com/ZGdBXejpE/</v>
      </c>
    </row>
    <row r="125" ht="25.5" customHeight="1" spans="1:62">
      <c r="A125" t="s">
        <v>2261</v>
      </c>
      <c r="B125" t="s">
        <v>1701</v>
      </c>
      <c r="C125" t="s">
        <v>1650</v>
      </c>
      <c r="D125" t="s">
        <v>1769</v>
      </c>
      <c r="F125" s="2">
        <v>45690</v>
      </c>
      <c r="H125" t="s">
        <v>2106</v>
      </c>
      <c r="I125" t="s">
        <v>2262</v>
      </c>
      <c r="J125" t="s">
        <v>1725</v>
      </c>
      <c r="K125" s="3" t="str">
        <f>HYPERLINK("https://www.instagram.com/reel/DFdQtnDIUUv/?igsh=MWY2d2N2dmZyYTRvZg%3D%3D","https://www.instagram.com/reel/DFdQtnDIUUv/?igsh=MWY2d2N2dmZyYTRvZg%3D%3D")</f>
        <v>https://www.instagram.com/reel/DFdQtnDIUUv/?igsh=MWY2d2N2dmZyYTRvZg%3D%3D</v>
      </c>
      <c r="L125" t="s">
        <v>1630</v>
      </c>
      <c r="N125" s="3" t="str">
        <f>HYPERLINK("https://app.hypeauditor.com/my-network/influencer/3955010/analytics/instagram/toquederetoque","https://app.hypeauditor.com/my-network/influencer/3955010/analytics/instagram/toquederetoque")</f>
        <v>https://app.hypeauditor.com/my-network/influencer/3955010/analytics/instagram/toquederetoque</v>
      </c>
      <c r="O125" s="3" t="str">
        <f>HYPERLINK("https://www.instagram.com/toquederetoque/reels/","https://www.instagram.com/toquederetoque/reels/")</f>
        <v>https://www.instagram.com/toquederetoque/reels/</v>
      </c>
      <c r="P125" t="s">
        <v>65</v>
      </c>
      <c r="Q125" t="s">
        <v>116</v>
      </c>
      <c r="R125" t="s">
        <v>1652</v>
      </c>
      <c r="S125" t="s">
        <v>54</v>
      </c>
      <c r="T125">
        <v>1000000</v>
      </c>
      <c r="U125" t="s">
        <v>966</v>
      </c>
      <c r="W125" t="s">
        <v>55</v>
      </c>
      <c r="Y125" t="s">
        <v>54</v>
      </c>
      <c r="AA125" t="s">
        <v>55</v>
      </c>
      <c r="AE125" t="s">
        <v>55</v>
      </c>
      <c r="AG125" t="s">
        <v>54</v>
      </c>
      <c r="AI125" t="s">
        <v>55</v>
      </c>
      <c r="AK125" t="s">
        <v>55</v>
      </c>
      <c r="AM125" t="s">
        <v>55</v>
      </c>
      <c r="AO125" t="s">
        <v>55</v>
      </c>
      <c r="AQ125" t="s">
        <v>54</v>
      </c>
      <c r="AR125">
        <v>100000</v>
      </c>
      <c r="AS125">
        <v>0.0014</v>
      </c>
      <c r="AT125" t="s">
        <v>2452</v>
      </c>
      <c r="AU125">
        <v>200</v>
      </c>
      <c r="AW125" t="s">
        <v>2453</v>
      </c>
      <c r="AX125" t="s">
        <v>967</v>
      </c>
      <c r="AY125" t="s">
        <v>968</v>
      </c>
      <c r="AZ125" t="s">
        <v>2454</v>
      </c>
      <c r="BA125" t="s">
        <v>2455</v>
      </c>
      <c r="BD125" t="s">
        <v>1956</v>
      </c>
      <c r="BE125" t="s">
        <v>2454</v>
      </c>
      <c r="BG125" t="s">
        <v>1639</v>
      </c>
      <c r="BH125" t="s">
        <v>1640</v>
      </c>
      <c r="BJ125" s="3" t="str">
        <f>HYPERLINK("https://www.instagram.com/reel/DFdQtnDIUUv/?igsh=MWY2d2N2dmZyYTRvZg%3D%3D","https://www.instagram.com/reel/DFdQtnDIUUv/?igsh=MWY2d2N2dmZyYTRvZg%3D%3D")</f>
        <v>https://www.instagram.com/reel/DFdQtnDIUUv/?igsh=MWY2d2N2dmZyYTRvZg%3D%3D</v>
      </c>
    </row>
    <row r="126" ht="25.5" customHeight="1" spans="1:62">
      <c r="A126" t="s">
        <v>2456</v>
      </c>
      <c r="B126" t="s">
        <v>1625</v>
      </c>
      <c r="C126" t="s">
        <v>2457</v>
      </c>
      <c r="D126" t="s">
        <v>1627</v>
      </c>
      <c r="F126" s="2">
        <v>45664</v>
      </c>
      <c r="H126" t="s">
        <v>1663</v>
      </c>
      <c r="I126" t="s">
        <v>2458</v>
      </c>
      <c r="J126" t="s">
        <v>1644</v>
      </c>
      <c r="K126" s="3" t="str">
        <f>HYPERLINK("https://www.tiktok.com/@mixilgamer6/video/7457261021250587926?_r=1&amp;_t=ZN-8ssLAgPBuY2","https://www.tiktok.com/@mixilgamer6/video/7457261021250587926?_r=1&amp;_t=ZN-8ssLAgPBuY2")</f>
        <v>https://www.tiktok.com/@mixilgamer6/video/7457261021250587926?_r=1&amp;_t=ZN-8ssLAgPBuY2</v>
      </c>
      <c r="L126" t="s">
        <v>1630</v>
      </c>
      <c r="N126" s="3" t="str">
        <f>HYPERLINK("https://app.hypeauditor.com/my-network/influencer/30072593/analytics/tiktok/mixilgamer6","https://app.hypeauditor.com/my-network/influencer/30072593/analytics/tiktok/mixilgamer6")</f>
        <v>https://app.hypeauditor.com/my-network/influencer/30072593/analytics/tiktok/mixilgamer6</v>
      </c>
      <c r="O126" s="3" t="str">
        <f>HYPERLINK("https://www.tiktok.com/@mixilgamer6","https://www.tiktok.com/@mixilgamer6")</f>
        <v>https://www.tiktok.com/@mixilgamer6</v>
      </c>
      <c r="P126" t="s">
        <v>56</v>
      </c>
      <c r="Q126" t="s">
        <v>57</v>
      </c>
      <c r="R126" t="s">
        <v>1652</v>
      </c>
      <c r="S126" t="s">
        <v>54</v>
      </c>
      <c r="T126">
        <v>233700</v>
      </c>
      <c r="U126" t="s">
        <v>2459</v>
      </c>
      <c r="W126" t="s">
        <v>55</v>
      </c>
      <c r="Y126" t="s">
        <v>54</v>
      </c>
      <c r="AA126" t="s">
        <v>55</v>
      </c>
      <c r="AE126" t="s">
        <v>55</v>
      </c>
      <c r="AG126" t="s">
        <v>54</v>
      </c>
      <c r="AI126" t="s">
        <v>55</v>
      </c>
      <c r="AK126" t="s">
        <v>55</v>
      </c>
      <c r="AM126" t="s">
        <v>55</v>
      </c>
      <c r="AO126" t="s">
        <v>55</v>
      </c>
      <c r="AQ126" t="s">
        <v>54</v>
      </c>
      <c r="AR126">
        <v>50000</v>
      </c>
      <c r="AS126">
        <v>0.0273</v>
      </c>
      <c r="AT126" t="s">
        <v>2460</v>
      </c>
      <c r="AU126">
        <v>200</v>
      </c>
      <c r="AW126" t="s">
        <v>2461</v>
      </c>
      <c r="AX126" t="s">
        <v>2462</v>
      </c>
      <c r="AY126" t="s">
        <v>2463</v>
      </c>
      <c r="AZ126" t="s">
        <v>2464</v>
      </c>
      <c r="BA126" t="s">
        <v>2465</v>
      </c>
      <c r="BD126" t="s">
        <v>1638</v>
      </c>
      <c r="BE126" t="s">
        <v>2464</v>
      </c>
      <c r="BG126" t="s">
        <v>1639</v>
      </c>
      <c r="BH126" t="s">
        <v>1640</v>
      </c>
      <c r="BJ126" s="3" t="str">
        <f>HYPERLINK("https://www.tiktok.com/@mixilgamer6/video/7457261021250587926?_r=1&amp;_t=ZN-8ssLAgPBuY2","https://www.tiktok.com/@mixilgamer6/video/7457261021250587926?_r=1&amp;_t=ZN-8ssLAgPBuY2")</f>
        <v>https://www.tiktok.com/@mixilgamer6/video/7457261021250587926?_r=1&amp;_t=ZN-8ssLAgPBuY2</v>
      </c>
    </row>
    <row r="127" ht="25.5" customHeight="1" spans="1:62">
      <c r="A127" t="s">
        <v>2466</v>
      </c>
      <c r="B127" t="s">
        <v>1625</v>
      </c>
      <c r="C127" t="s">
        <v>2096</v>
      </c>
      <c r="F127" s="2"/>
      <c r="H127" t="s">
        <v>1663</v>
      </c>
      <c r="J127" t="s">
        <v>1816</v>
      </c>
      <c r="K127" s="3" t="str">
        <f>HYPERLINK("https://x.com/ihteshamit/status/1876563678432293039","https://x.com/ihteshamit/status/1876563678432293039")</f>
        <v>https://x.com/ihteshamit/status/1876563678432293039</v>
      </c>
      <c r="L127" t="s">
        <v>1630</v>
      </c>
      <c r="N127" s="3"/>
      <c r="O127" s="3" t="str">
        <f>HYPERLINK("https://x.com/ihteshamit","https://x.com/ihteshamit")</f>
        <v>https://x.com/ihteshamit</v>
      </c>
      <c r="P127" t="s">
        <v>1816</v>
      </c>
      <c r="Q127" t="s">
        <v>1817</v>
      </c>
      <c r="R127" t="s">
        <v>1631</v>
      </c>
      <c r="S127" t="s">
        <v>54</v>
      </c>
      <c r="T127">
        <v>154900</v>
      </c>
      <c r="U127" t="s">
        <v>2467</v>
      </c>
      <c r="W127" t="s">
        <v>55</v>
      </c>
      <c r="Y127" t="s">
        <v>54</v>
      </c>
      <c r="AA127" t="s">
        <v>55</v>
      </c>
      <c r="AE127" t="s">
        <v>55</v>
      </c>
      <c r="AG127" t="s">
        <v>54</v>
      </c>
      <c r="AI127" t="s">
        <v>55</v>
      </c>
      <c r="AK127" t="s">
        <v>55</v>
      </c>
      <c r="AM127" t="s">
        <v>55</v>
      </c>
      <c r="AO127" t="s">
        <v>55</v>
      </c>
      <c r="AQ127" t="s">
        <v>54</v>
      </c>
      <c r="AR127">
        <v>30000</v>
      </c>
      <c r="AS127">
        <v>0.04</v>
      </c>
      <c r="AT127" t="s">
        <v>2468</v>
      </c>
      <c r="AU127">
        <v>200</v>
      </c>
      <c r="AW127" t="s">
        <v>2469</v>
      </c>
      <c r="AX127" t="s">
        <v>1684</v>
      </c>
      <c r="AY127" t="s">
        <v>1307</v>
      </c>
      <c r="AZ127" t="s">
        <v>2102</v>
      </c>
      <c r="BA127" t="s">
        <v>2241</v>
      </c>
      <c r="BD127" t="s">
        <v>1638</v>
      </c>
      <c r="BE127" t="s">
        <v>2102</v>
      </c>
      <c r="BG127" t="s">
        <v>1639</v>
      </c>
      <c r="BH127" t="s">
        <v>1640</v>
      </c>
      <c r="BJ127" s="3" t="str">
        <f>HYPERLINK("https://x.com/ihteshamit/status/1876563678432293039","https://x.com/ihteshamit/status/1876563678432293039")</f>
        <v>https://x.com/ihteshamit/status/1876563678432293039</v>
      </c>
    </row>
    <row r="128" ht="25.5" customHeight="1" spans="1:62">
      <c r="A128" t="s">
        <v>2470</v>
      </c>
      <c r="B128" t="s">
        <v>1625</v>
      </c>
      <c r="C128" t="s">
        <v>2153</v>
      </c>
      <c r="F128" s="2"/>
      <c r="H128" t="s">
        <v>1663</v>
      </c>
      <c r="J128" t="s">
        <v>1816</v>
      </c>
      <c r="K128" s="3" t="str">
        <f>HYPERLINK("https://x.com/codedailyML/status/1876552233120317490","https://x.com/codedailyML/status/1876552233120317490")</f>
        <v>https://x.com/codedailyML/status/1876552233120317490</v>
      </c>
      <c r="L128" t="s">
        <v>1630</v>
      </c>
      <c r="N128" s="3"/>
      <c r="O128" s="3" t="str">
        <f>HYPERLINK("https://x.com/codedailyML","https://x.com/codedailyML")</f>
        <v>https://x.com/codedailyML</v>
      </c>
      <c r="P128" t="s">
        <v>1816</v>
      </c>
      <c r="Q128" t="s">
        <v>1817</v>
      </c>
      <c r="R128" t="s">
        <v>1631</v>
      </c>
      <c r="S128" t="s">
        <v>54</v>
      </c>
      <c r="T128">
        <v>31600</v>
      </c>
      <c r="U128" t="s">
        <v>55</v>
      </c>
      <c r="W128" t="s">
        <v>55</v>
      </c>
      <c r="Y128" t="s">
        <v>54</v>
      </c>
      <c r="AA128" t="s">
        <v>55</v>
      </c>
      <c r="AE128" t="s">
        <v>55</v>
      </c>
      <c r="AG128" t="s">
        <v>54</v>
      </c>
      <c r="AI128" t="s">
        <v>55</v>
      </c>
      <c r="AK128" t="s">
        <v>55</v>
      </c>
      <c r="AM128" t="s">
        <v>55</v>
      </c>
      <c r="AO128" t="s">
        <v>55</v>
      </c>
      <c r="AQ128" t="s">
        <v>54</v>
      </c>
      <c r="AR128">
        <v>20000</v>
      </c>
      <c r="AS128">
        <v>0.06</v>
      </c>
      <c r="AT128" t="s">
        <v>2468</v>
      </c>
      <c r="AU128">
        <v>200</v>
      </c>
      <c r="AW128" t="s">
        <v>2469</v>
      </c>
      <c r="AX128" t="s">
        <v>139</v>
      </c>
      <c r="AY128" t="s">
        <v>140</v>
      </c>
      <c r="AZ128" t="s">
        <v>2102</v>
      </c>
      <c r="BA128" t="s">
        <v>2241</v>
      </c>
      <c r="BD128" t="s">
        <v>1638</v>
      </c>
      <c r="BE128" t="s">
        <v>2102</v>
      </c>
      <c r="BG128" t="s">
        <v>1639</v>
      </c>
      <c r="BH128" t="s">
        <v>1640</v>
      </c>
      <c r="BJ128" s="3" t="str">
        <f>HYPERLINK("https://x.com/codedailyML/status/1876552233120317490","https://x.com/codedailyML/status/1876552233120317490")</f>
        <v>https://x.com/codedailyML/status/1876552233120317490</v>
      </c>
    </row>
    <row r="129" ht="25.5" customHeight="1" spans="1:62">
      <c r="A129" t="s">
        <v>2471</v>
      </c>
      <c r="B129" t="s">
        <v>1625</v>
      </c>
      <c r="C129" t="s">
        <v>2472</v>
      </c>
      <c r="F129" s="2"/>
      <c r="H129" t="s">
        <v>2473</v>
      </c>
      <c r="I129" t="s">
        <v>2474</v>
      </c>
      <c r="J129" t="s">
        <v>1629</v>
      </c>
      <c r="K129" s="3"/>
      <c r="L129" t="s">
        <v>2081</v>
      </c>
      <c r="N129" s="3" t="str">
        <f>HYPERLINK("https://app.hypeauditor.com/my-network/influencer/26762177/analytics/tiktok/ichi_og","https://app.hypeauditor.com/my-network/influencer/26762177/analytics/tiktok/ichi_og")</f>
        <v>https://app.hypeauditor.com/my-network/influencer/26762177/analytics/tiktok/ichi_og</v>
      </c>
      <c r="O129" s="3"/>
      <c r="P129" t="s">
        <v>56</v>
      </c>
      <c r="Q129" t="s">
        <v>57</v>
      </c>
      <c r="S129" t="s">
        <v>54</v>
      </c>
      <c r="W129" t="s">
        <v>55</v>
      </c>
      <c r="Y129" t="s">
        <v>54</v>
      </c>
      <c r="AA129" t="s">
        <v>55</v>
      </c>
      <c r="AE129" t="s">
        <v>55</v>
      </c>
      <c r="AG129" t="s">
        <v>54</v>
      </c>
      <c r="AI129" t="s">
        <v>55</v>
      </c>
      <c r="AK129" t="s">
        <v>55</v>
      </c>
      <c r="AM129" t="s">
        <v>55</v>
      </c>
      <c r="AO129" t="s">
        <v>55</v>
      </c>
      <c r="AQ129" t="s">
        <v>54</v>
      </c>
      <c r="AT129" t="s">
        <v>54</v>
      </c>
      <c r="AU129">
        <v>200</v>
      </c>
      <c r="AW129" t="s">
        <v>54</v>
      </c>
      <c r="BD129" t="s">
        <v>1625</v>
      </c>
      <c r="BG129" t="s">
        <v>1639</v>
      </c>
      <c r="BH129" t="s">
        <v>1640</v>
      </c>
      <c r="BJ129" s="3"/>
    </row>
    <row r="130" ht="25.5" customHeight="1" spans="1:62">
      <c r="A130" t="s">
        <v>2475</v>
      </c>
      <c r="B130" t="s">
        <v>1625</v>
      </c>
      <c r="C130" t="s">
        <v>2476</v>
      </c>
      <c r="F130" s="2"/>
      <c r="H130" t="s">
        <v>1663</v>
      </c>
      <c r="J130" t="s">
        <v>1816</v>
      </c>
      <c r="K130" s="3" t="str">
        <f>HYPERLINK("https://x.com/Ben_escrito/status/1876670583229890921","https://x.com/Ben_escrito/status/1876670583229890921")</f>
        <v>https://x.com/Ben_escrito/status/1876670583229890921</v>
      </c>
      <c r="L130" t="s">
        <v>1630</v>
      </c>
      <c r="N130" s="3"/>
      <c r="O130" s="3" t="str">
        <f>HYPERLINK("https://x.com/Ben_escrito","https://x.com/Ben_escrito")</f>
        <v>https://x.com/Ben_escrito</v>
      </c>
      <c r="P130" t="s">
        <v>1816</v>
      </c>
      <c r="Q130" t="s">
        <v>1817</v>
      </c>
      <c r="R130" t="s">
        <v>1652</v>
      </c>
      <c r="S130" t="s">
        <v>54</v>
      </c>
      <c r="T130">
        <v>109400</v>
      </c>
      <c r="U130" t="s">
        <v>2477</v>
      </c>
      <c r="W130" t="s">
        <v>55</v>
      </c>
      <c r="Y130" t="s">
        <v>54</v>
      </c>
      <c r="AA130" t="s">
        <v>55</v>
      </c>
      <c r="AE130" t="s">
        <v>55</v>
      </c>
      <c r="AG130" t="s">
        <v>54</v>
      </c>
      <c r="AI130" t="s">
        <v>55</v>
      </c>
      <c r="AK130" t="s">
        <v>55</v>
      </c>
      <c r="AM130" t="s">
        <v>55</v>
      </c>
      <c r="AO130" t="s">
        <v>55</v>
      </c>
      <c r="AQ130" t="s">
        <v>54</v>
      </c>
      <c r="AR130">
        <v>39000</v>
      </c>
      <c r="AS130">
        <v>0.03</v>
      </c>
      <c r="AT130" t="s">
        <v>2448</v>
      </c>
      <c r="AU130">
        <v>200</v>
      </c>
      <c r="AW130" t="s">
        <v>2449</v>
      </c>
      <c r="AX130" t="s">
        <v>2478</v>
      </c>
      <c r="AY130" t="s">
        <v>2479</v>
      </c>
      <c r="AZ130" t="s">
        <v>2450</v>
      </c>
      <c r="BA130" t="s">
        <v>2451</v>
      </c>
      <c r="BD130" t="s">
        <v>1638</v>
      </c>
      <c r="BE130" t="s">
        <v>2450</v>
      </c>
      <c r="BG130" t="s">
        <v>1639</v>
      </c>
      <c r="BH130" t="s">
        <v>1640</v>
      </c>
      <c r="BJ130" s="3" t="str">
        <f>HYPERLINK("https://x.com/Ben_escrito/status/1876670583229890921","https://x.com/Ben_escrito/status/1876670583229890921")</f>
        <v>https://x.com/Ben_escrito/status/1876670583229890921</v>
      </c>
    </row>
    <row r="131" ht="25.5" customHeight="1" spans="1:62">
      <c r="A131" t="s">
        <v>2480</v>
      </c>
      <c r="B131" t="s">
        <v>1638</v>
      </c>
      <c r="C131" t="s">
        <v>2481</v>
      </c>
      <c r="F131" s="2"/>
      <c r="H131" t="s">
        <v>2482</v>
      </c>
      <c r="J131" t="s">
        <v>1644</v>
      </c>
      <c r="K131" s="3" t="str">
        <f>HYPERLINK("https://x.com/AiContentRebel/status/1876609758314254577","https://x.com/AiContentRebel/status/1876609758314254577")</f>
        <v>https://x.com/AiContentRebel/status/1876609758314254577</v>
      </c>
      <c r="L131" t="s">
        <v>1630</v>
      </c>
      <c r="N131" s="3"/>
      <c r="O131" s="3" t="str">
        <f>HYPERLINK("https://x.com/AiContentRebel","https://x.com/AiContentRebel")</f>
        <v>https://x.com/AiContentRebel</v>
      </c>
      <c r="P131" t="s">
        <v>1816</v>
      </c>
      <c r="Q131" t="s">
        <v>2483</v>
      </c>
      <c r="R131" t="s">
        <v>1887</v>
      </c>
      <c r="S131" t="s">
        <v>54</v>
      </c>
      <c r="T131">
        <v>2586</v>
      </c>
      <c r="U131" t="s">
        <v>55</v>
      </c>
      <c r="W131" t="s">
        <v>55</v>
      </c>
      <c r="Y131" t="s">
        <v>54</v>
      </c>
      <c r="AA131" t="s">
        <v>55</v>
      </c>
      <c r="AE131" t="s">
        <v>55</v>
      </c>
      <c r="AG131" t="s">
        <v>54</v>
      </c>
      <c r="AI131" t="s">
        <v>55</v>
      </c>
      <c r="AK131" t="s">
        <v>55</v>
      </c>
      <c r="AM131" t="s">
        <v>55</v>
      </c>
      <c r="AO131" t="s">
        <v>55</v>
      </c>
      <c r="AQ131" t="s">
        <v>54</v>
      </c>
      <c r="AR131">
        <v>100000</v>
      </c>
      <c r="AS131">
        <v>0.0189</v>
      </c>
      <c r="AT131" t="s">
        <v>2484</v>
      </c>
      <c r="AU131">
        <v>200</v>
      </c>
      <c r="AW131" t="s">
        <v>2485</v>
      </c>
      <c r="AX131" t="s">
        <v>967</v>
      </c>
      <c r="AY131" t="s">
        <v>968</v>
      </c>
      <c r="AZ131" t="s">
        <v>2486</v>
      </c>
      <c r="BA131" t="s">
        <v>2487</v>
      </c>
      <c r="BD131" t="s">
        <v>1638</v>
      </c>
      <c r="BE131" t="s">
        <v>2486</v>
      </c>
      <c r="BG131" t="s">
        <v>1639</v>
      </c>
      <c r="BH131" t="s">
        <v>1640</v>
      </c>
      <c r="BI131" t="s">
        <v>2116</v>
      </c>
      <c r="BJ131" s="3" t="str">
        <f>HYPERLINK("https://x.com/AiContentRebel/status/1876609758314254577","https://x.com/AiContentRebel/status/1876609758314254577")</f>
        <v>https://x.com/AiContentRebel/status/1876609758314254577</v>
      </c>
    </row>
    <row r="132" ht="25.5" customHeight="1" spans="1:62">
      <c r="A132" t="s">
        <v>1349</v>
      </c>
      <c r="B132" t="s">
        <v>1701</v>
      </c>
      <c r="C132" t="s">
        <v>1688</v>
      </c>
      <c r="D132" t="s">
        <v>1627</v>
      </c>
      <c r="F132" s="2"/>
      <c r="J132" t="s">
        <v>1725</v>
      </c>
      <c r="K132" s="3" t="str">
        <f>HYPERLINK("https://vm.tiktok.com/ZNeKkL1YQ/","https://vm.tiktok.com/ZNeKkL1YQ/")</f>
        <v>https://vm.tiktok.com/ZNeKkL1YQ/</v>
      </c>
      <c r="L132" t="s">
        <v>1630</v>
      </c>
      <c r="N132" s="3" t="str">
        <f>HYPERLINK("https://app.hypeauditor.com/my-network/influencer/23414356/analytics/tiktok/infodigitaefr","https://app.hypeauditor.com/my-network/influencer/23414356/analytics/tiktok/infodigitaefr")</f>
        <v>https://app.hypeauditor.com/my-network/influencer/23414356/analytics/tiktok/infodigitaefr</v>
      </c>
      <c r="O132" s="3" t="str">
        <f>HYPERLINK("https://www.tiktok.com/@infodigitaefr","https://www.tiktok.com/@infodigitaefr")</f>
        <v>https://www.tiktok.com/@infodigitaefr</v>
      </c>
      <c r="P132" t="s">
        <v>56</v>
      </c>
      <c r="Q132" t="s">
        <v>57</v>
      </c>
      <c r="R132" t="s">
        <v>1779</v>
      </c>
      <c r="S132" t="s">
        <v>54</v>
      </c>
      <c r="T132">
        <v>73600</v>
      </c>
      <c r="U132" t="s">
        <v>55</v>
      </c>
      <c r="W132" t="s">
        <v>55</v>
      </c>
      <c r="Y132" t="s">
        <v>54</v>
      </c>
      <c r="AA132" t="s">
        <v>55</v>
      </c>
      <c r="AE132" t="s">
        <v>55</v>
      </c>
      <c r="AG132" t="s">
        <v>54</v>
      </c>
      <c r="AI132" t="s">
        <v>55</v>
      </c>
      <c r="AK132" t="s">
        <v>55</v>
      </c>
      <c r="AM132" t="s">
        <v>55</v>
      </c>
      <c r="AO132" t="s">
        <v>55</v>
      </c>
      <c r="AQ132" t="s">
        <v>54</v>
      </c>
      <c r="AR132">
        <v>28400</v>
      </c>
      <c r="AS132">
        <v>0.0427</v>
      </c>
      <c r="AT132" t="s">
        <v>2488</v>
      </c>
      <c r="AU132">
        <v>200</v>
      </c>
      <c r="AW132" t="s">
        <v>2489</v>
      </c>
      <c r="AX132" t="s">
        <v>1352</v>
      </c>
      <c r="AY132" t="s">
        <v>1353</v>
      </c>
      <c r="AZ132" t="s">
        <v>2490</v>
      </c>
      <c r="BA132" t="s">
        <v>2491</v>
      </c>
      <c r="BD132" t="s">
        <v>1638</v>
      </c>
      <c r="BE132" t="s">
        <v>2490</v>
      </c>
      <c r="BG132" t="s">
        <v>1639</v>
      </c>
      <c r="BH132" t="s">
        <v>1640</v>
      </c>
      <c r="BJ132" s="3" t="str">
        <f>HYPERLINK("https://vm.tiktok.com/ZNeKkL1YQ/","https://vm.tiktok.com/ZNeKkL1YQ/")</f>
        <v>https://vm.tiktok.com/ZNeKkL1YQ/</v>
      </c>
    </row>
    <row r="133" ht="25.5" customHeight="1" spans="1:62">
      <c r="A133" t="s">
        <v>2492</v>
      </c>
      <c r="B133" t="s">
        <v>1625</v>
      </c>
      <c r="C133" t="s">
        <v>2408</v>
      </c>
      <c r="F133" s="2">
        <v>45679</v>
      </c>
      <c r="H133" t="s">
        <v>1663</v>
      </c>
      <c r="I133" t="s">
        <v>2493</v>
      </c>
      <c r="J133" t="s">
        <v>1644</v>
      </c>
      <c r="K133" s="3" t="str">
        <f>HYPERLINK("https://www.instagram.com/p/DFfhTlnT9h5/?igsh=MnMwb3AzdDZueGV1","https://www.instagram.com/p/DFfhTlnT9h5/?igsh=MnMwb3AzdDZueGV1")</f>
        <v>https://www.instagram.com/p/DFfhTlnT9h5/?igsh=MnMwb3AzdDZueGV1</v>
      </c>
      <c r="L133" t="s">
        <v>1630</v>
      </c>
      <c r="N133" s="3" t="str">
        <f>HYPERLINK("https://app.hypeauditor.com/my-network/influencer/19866380/analytics/instagram/factpoint","https://app.hypeauditor.com/my-network/influencer/19866380/analytics/instagram/factpoint")</f>
        <v>https://app.hypeauditor.com/my-network/influencer/19866380/analytics/instagram/factpoint</v>
      </c>
      <c r="O133" s="3" t="str">
        <f>HYPERLINK("https://www.instagram.com/factpoint/","https://www.instagram.com/factpoint/")</f>
        <v>https://www.instagram.com/factpoint/</v>
      </c>
      <c r="P133" t="s">
        <v>65</v>
      </c>
      <c r="Q133" t="s">
        <v>66</v>
      </c>
      <c r="R133" t="s">
        <v>1631</v>
      </c>
      <c r="S133" t="s">
        <v>54</v>
      </c>
      <c r="T133">
        <v>269000</v>
      </c>
      <c r="U133" t="s">
        <v>2494</v>
      </c>
      <c r="W133" t="s">
        <v>55</v>
      </c>
      <c r="Y133" t="s">
        <v>54</v>
      </c>
      <c r="AA133" t="s">
        <v>55</v>
      </c>
      <c r="AE133" t="s">
        <v>55</v>
      </c>
      <c r="AG133" t="s">
        <v>54</v>
      </c>
      <c r="AI133" t="s">
        <v>55</v>
      </c>
      <c r="AK133" t="s">
        <v>55</v>
      </c>
      <c r="AM133" t="s">
        <v>55</v>
      </c>
      <c r="AO133" t="s">
        <v>55</v>
      </c>
      <c r="AQ133" t="s">
        <v>54</v>
      </c>
      <c r="AR133">
        <v>15000</v>
      </c>
      <c r="AS133">
        <v>0.029</v>
      </c>
      <c r="AT133" t="s">
        <v>2495</v>
      </c>
      <c r="AU133">
        <v>200</v>
      </c>
      <c r="AW133" t="s">
        <v>2496</v>
      </c>
      <c r="AX133" t="s">
        <v>635</v>
      </c>
      <c r="AY133" t="s">
        <v>636</v>
      </c>
      <c r="AZ133" t="s">
        <v>2497</v>
      </c>
      <c r="BA133" t="s">
        <v>2498</v>
      </c>
      <c r="BD133" t="s">
        <v>1638</v>
      </c>
      <c r="BE133" t="s">
        <v>2497</v>
      </c>
      <c r="BG133" t="s">
        <v>1639</v>
      </c>
      <c r="BH133" t="s">
        <v>1640</v>
      </c>
      <c r="BJ133" s="3" t="str">
        <f>HYPERLINK("https://www.instagram.com/p/DFfhTlnT9h5/?igsh=MnMwb3AzdDZueGV1","https://www.instagram.com/p/DFfhTlnT9h5/?igsh=MnMwb3AzdDZueGV1")</f>
        <v>https://www.instagram.com/p/DFfhTlnT9h5/?igsh=MnMwb3AzdDZueGV1</v>
      </c>
    </row>
    <row r="134" ht="25.5" customHeight="1" spans="1:62">
      <c r="A134" t="s">
        <v>2499</v>
      </c>
      <c r="B134" t="s">
        <v>1625</v>
      </c>
      <c r="C134" t="s">
        <v>2500</v>
      </c>
      <c r="D134" t="s">
        <v>1627</v>
      </c>
      <c r="F134" s="2"/>
      <c r="H134" t="s">
        <v>1806</v>
      </c>
      <c r="I134" t="s">
        <v>2501</v>
      </c>
      <c r="J134" t="s">
        <v>1644</v>
      </c>
      <c r="K134" s="3" t="str">
        <f>HYPERLINK("https://www.tiktok.com/@elrobertoppen/video/7460711636127599878","https://www.tiktok.com/@elrobertoppen/video/7460711636127599878")</f>
        <v>https://www.tiktok.com/@elrobertoppen/video/7460711636127599878</v>
      </c>
      <c r="L134" t="s">
        <v>1630</v>
      </c>
      <c r="N134" s="3" t="str">
        <f>HYPERLINK("https://app.hypeauditor.com/my-network/influencer/21110443/analytics/tiktok/elrobertoppen","https://app.hypeauditor.com/my-network/influencer/21110443/analytics/tiktok/elrobertoppen")</f>
        <v>https://app.hypeauditor.com/my-network/influencer/21110443/analytics/tiktok/elrobertoppen</v>
      </c>
      <c r="O134" s="3" t="str">
        <f>HYPERLINK("https://www.tiktok.com/@elrobertoppen","https://www.tiktok.com/@elrobertoppen")</f>
        <v>https://www.tiktok.com/@elrobertoppen</v>
      </c>
      <c r="P134" t="s">
        <v>56</v>
      </c>
      <c r="Q134" t="s">
        <v>57</v>
      </c>
      <c r="R134" t="s">
        <v>1652</v>
      </c>
      <c r="S134" t="s">
        <v>54</v>
      </c>
      <c r="T134">
        <v>736500</v>
      </c>
      <c r="U134" t="s">
        <v>2502</v>
      </c>
      <c r="W134" t="s">
        <v>55</v>
      </c>
      <c r="Y134" t="s">
        <v>54</v>
      </c>
      <c r="AA134" t="s">
        <v>55</v>
      </c>
      <c r="AE134" t="s">
        <v>55</v>
      </c>
      <c r="AG134" t="s">
        <v>54</v>
      </c>
      <c r="AI134" t="s">
        <v>55</v>
      </c>
      <c r="AK134" t="s">
        <v>55</v>
      </c>
      <c r="AM134" t="s">
        <v>55</v>
      </c>
      <c r="AO134" t="s">
        <v>55</v>
      </c>
      <c r="AQ134" t="s">
        <v>54</v>
      </c>
      <c r="AR134">
        <v>35000</v>
      </c>
      <c r="AS134">
        <v>0.04</v>
      </c>
      <c r="AT134" t="s">
        <v>2452</v>
      </c>
      <c r="AU134">
        <v>200</v>
      </c>
      <c r="AW134" t="s">
        <v>2453</v>
      </c>
      <c r="AX134" t="s">
        <v>857</v>
      </c>
      <c r="AY134" t="s">
        <v>858</v>
      </c>
      <c r="AZ134" t="s">
        <v>2454</v>
      </c>
      <c r="BA134" t="s">
        <v>2455</v>
      </c>
      <c r="BD134" t="s">
        <v>1638</v>
      </c>
      <c r="BE134" t="s">
        <v>2454</v>
      </c>
      <c r="BG134" t="s">
        <v>1639</v>
      </c>
      <c r="BH134" t="s">
        <v>1640</v>
      </c>
      <c r="BJ134" s="3" t="str">
        <f>HYPERLINK("https://www.tiktok.com/@elrobertoppen/video/7460711636127599878","https://www.tiktok.com/@elrobertoppen/video/7460711636127599878")</f>
        <v>https://www.tiktok.com/@elrobertoppen/video/7460711636127599878</v>
      </c>
    </row>
    <row r="135" ht="25.5" customHeight="1" spans="1:62">
      <c r="A135" t="s">
        <v>1505</v>
      </c>
      <c r="B135" t="s">
        <v>1701</v>
      </c>
      <c r="C135" t="s">
        <v>2351</v>
      </c>
      <c r="D135" t="s">
        <v>1627</v>
      </c>
      <c r="F135" s="2"/>
      <c r="H135" t="s">
        <v>1723</v>
      </c>
      <c r="J135" t="s">
        <v>1725</v>
      </c>
      <c r="K135" s="3" t="str">
        <f>HYPERLINK("https://www.tiktok.com/@techtrickzz/video/7460112645157293320","https://www.tiktok.com/@techtrickzz/video/7460112645157293320")</f>
        <v>https://www.tiktok.com/@techtrickzz/video/7460112645157293320</v>
      </c>
      <c r="L135" t="s">
        <v>1630</v>
      </c>
      <c r="N135" s="3" t="str">
        <f>HYPERLINK("https://app.hypeauditor.com/my-network/influencer/33235136/analytics/tiktok/techtrickzz","https://app.hypeauditor.com/my-network/influencer/33235136/analytics/tiktok/techtrickzz")</f>
        <v>https://app.hypeauditor.com/my-network/influencer/33235136/analytics/tiktok/techtrickzz</v>
      </c>
      <c r="O135" s="3" t="str">
        <f>HYPERLINK("https://www.tiktok.com/@techtrickzz","https://www.tiktok.com/@techtrickzz")</f>
        <v>https://www.tiktok.com/@techtrickzz</v>
      </c>
      <c r="P135" t="s">
        <v>56</v>
      </c>
      <c r="Q135" t="s">
        <v>57</v>
      </c>
      <c r="R135" t="s">
        <v>97</v>
      </c>
      <c r="S135" t="s">
        <v>54</v>
      </c>
      <c r="T135">
        <v>311100</v>
      </c>
      <c r="U135" t="s">
        <v>1506</v>
      </c>
      <c r="W135" t="s">
        <v>55</v>
      </c>
      <c r="Y135" t="s">
        <v>54</v>
      </c>
      <c r="AA135" t="s">
        <v>55</v>
      </c>
      <c r="AE135" t="s">
        <v>55</v>
      </c>
      <c r="AG135" t="s">
        <v>54</v>
      </c>
      <c r="AI135" t="s">
        <v>55</v>
      </c>
      <c r="AK135" t="s">
        <v>55</v>
      </c>
      <c r="AM135" t="s">
        <v>55</v>
      </c>
      <c r="AO135" t="s">
        <v>55</v>
      </c>
      <c r="AQ135" t="s">
        <v>54</v>
      </c>
      <c r="AR135">
        <v>36400</v>
      </c>
      <c r="AS135">
        <v>0.0377</v>
      </c>
      <c r="AT135" t="s">
        <v>2503</v>
      </c>
      <c r="AU135">
        <v>200</v>
      </c>
      <c r="AW135" t="s">
        <v>2504</v>
      </c>
      <c r="AX135" t="s">
        <v>1403</v>
      </c>
      <c r="AY135" t="s">
        <v>2505</v>
      </c>
      <c r="AZ135" t="s">
        <v>1803</v>
      </c>
      <c r="BA135" t="s">
        <v>2506</v>
      </c>
      <c r="BD135" t="s">
        <v>1638</v>
      </c>
      <c r="BE135" t="s">
        <v>1803</v>
      </c>
      <c r="BG135" t="s">
        <v>1639</v>
      </c>
      <c r="BH135" t="s">
        <v>1640</v>
      </c>
      <c r="BJ135" s="3" t="str">
        <f>HYPERLINK("https://www.tiktok.com/@techtrickzz/video/7460112645157293320","https://www.tiktok.com/@techtrickzz/video/7460112645157293320")</f>
        <v>https://www.tiktok.com/@techtrickzz/video/7460112645157293320</v>
      </c>
    </row>
    <row r="136" ht="25.5" customHeight="1" spans="1:62">
      <c r="A136" t="s">
        <v>2507</v>
      </c>
      <c r="B136" t="s">
        <v>1625</v>
      </c>
      <c r="C136" t="s">
        <v>2508</v>
      </c>
      <c r="D136" t="s">
        <v>1627</v>
      </c>
      <c r="F136" s="2"/>
      <c r="H136" t="s">
        <v>1798</v>
      </c>
      <c r="I136" t="s">
        <v>2509</v>
      </c>
      <c r="J136" t="s">
        <v>1644</v>
      </c>
      <c r="K136" s="3" t="str">
        <f>HYPERLINK("https://www.tiktok.com/@prada5x/video/7458324949300776198","https://www.tiktok.com/@prada5x/video/7458324949300776198")</f>
        <v>https://www.tiktok.com/@prada5x/video/7458324949300776198</v>
      </c>
      <c r="L136" t="s">
        <v>1630</v>
      </c>
      <c r="N136" s="3" t="str">
        <f>HYPERLINK("https://app.hypeauditor.com/my-network/influencer/32674041/analytics/tiktok/prada5x","https://app.hypeauditor.com/my-network/influencer/32674041/analytics/tiktok/prada5x")</f>
        <v>https://app.hypeauditor.com/my-network/influencer/32674041/analytics/tiktok/prada5x</v>
      </c>
      <c r="O136" s="3" t="str">
        <f>HYPERLINK("https://www.tiktok.com/@prada5x","https://www.tiktok.com/@prada5x")</f>
        <v>https://www.tiktok.com/@prada5x</v>
      </c>
      <c r="P136" t="s">
        <v>56</v>
      </c>
      <c r="Q136" t="s">
        <v>57</v>
      </c>
      <c r="R136" t="s">
        <v>2510</v>
      </c>
      <c r="S136" t="s">
        <v>54</v>
      </c>
      <c r="T136">
        <v>28800</v>
      </c>
      <c r="U136" t="s">
        <v>55</v>
      </c>
      <c r="W136" t="s">
        <v>55</v>
      </c>
      <c r="Y136" t="s">
        <v>54</v>
      </c>
      <c r="AA136" t="s">
        <v>55</v>
      </c>
      <c r="AE136" t="s">
        <v>55</v>
      </c>
      <c r="AG136" t="s">
        <v>54</v>
      </c>
      <c r="AI136" t="s">
        <v>55</v>
      </c>
      <c r="AK136" t="s">
        <v>55</v>
      </c>
      <c r="AM136" t="s">
        <v>55</v>
      </c>
      <c r="AO136" t="s">
        <v>55</v>
      </c>
      <c r="AQ136" t="s">
        <v>54</v>
      </c>
      <c r="AR136">
        <v>40000</v>
      </c>
      <c r="AS136">
        <v>0.0489</v>
      </c>
      <c r="AT136" t="s">
        <v>2511</v>
      </c>
      <c r="AU136">
        <v>200</v>
      </c>
      <c r="AW136" t="s">
        <v>2512</v>
      </c>
      <c r="AX136" t="s">
        <v>600</v>
      </c>
      <c r="AY136" t="s">
        <v>601</v>
      </c>
      <c r="AZ136" t="s">
        <v>2330</v>
      </c>
      <c r="BA136" t="s">
        <v>2513</v>
      </c>
      <c r="BD136" t="s">
        <v>1638</v>
      </c>
      <c r="BE136" t="s">
        <v>2330</v>
      </c>
      <c r="BG136" t="s">
        <v>1639</v>
      </c>
      <c r="BH136" t="s">
        <v>1640</v>
      </c>
      <c r="BJ136" s="3" t="str">
        <f>HYPERLINK("https://www.tiktok.com/@prada5x/video/7458324949300776198","https://www.tiktok.com/@prada5x/video/7458324949300776198")</f>
        <v>https://www.tiktok.com/@prada5x/video/7458324949300776198</v>
      </c>
    </row>
    <row r="137" ht="25.5" customHeight="1" spans="1:62">
      <c r="A137" t="s">
        <v>2514</v>
      </c>
      <c r="B137" t="s">
        <v>1625</v>
      </c>
      <c r="C137" t="s">
        <v>2515</v>
      </c>
      <c r="F137" s="2"/>
      <c r="H137" t="s">
        <v>2516</v>
      </c>
      <c r="J137" t="s">
        <v>317</v>
      </c>
      <c r="K137" s="3"/>
      <c r="L137" t="s">
        <v>1645</v>
      </c>
      <c r="N137" s="3" t="str">
        <f>HYPERLINK("https://app.hypeauditor.com/my-network/influencer/1334387/analytics/instagram/justannalisa","https://app.hypeauditor.com/my-network/influencer/1334387/analytics/instagram/justannalisa")</f>
        <v>https://app.hypeauditor.com/my-network/influencer/1334387/analytics/instagram/justannalisa</v>
      </c>
      <c r="O137" s="3"/>
      <c r="P137" t="s">
        <v>65</v>
      </c>
      <c r="Q137" t="s">
        <v>116</v>
      </c>
      <c r="S137" t="s">
        <v>54</v>
      </c>
      <c r="W137" t="s">
        <v>55</v>
      </c>
      <c r="Y137" t="s">
        <v>54</v>
      </c>
      <c r="AA137" t="s">
        <v>55</v>
      </c>
      <c r="AE137" t="s">
        <v>55</v>
      </c>
      <c r="AG137" t="s">
        <v>54</v>
      </c>
      <c r="AI137" t="s">
        <v>55</v>
      </c>
      <c r="AK137" t="s">
        <v>55</v>
      </c>
      <c r="AM137" t="s">
        <v>55</v>
      </c>
      <c r="AO137" t="s">
        <v>55</v>
      </c>
      <c r="AQ137" t="s">
        <v>54</v>
      </c>
      <c r="AT137" t="s">
        <v>54</v>
      </c>
      <c r="AU137">
        <v>200</v>
      </c>
      <c r="AW137" t="s">
        <v>54</v>
      </c>
      <c r="BD137" t="s">
        <v>1625</v>
      </c>
      <c r="BG137" t="s">
        <v>1639</v>
      </c>
      <c r="BH137" t="s">
        <v>1640</v>
      </c>
      <c r="BJ137" s="3"/>
    </row>
    <row r="138" ht="25.5" customHeight="1" spans="1:62">
      <c r="A138" t="s">
        <v>2517</v>
      </c>
      <c r="B138" t="s">
        <v>1625</v>
      </c>
      <c r="F138" s="2"/>
      <c r="H138" t="s">
        <v>1663</v>
      </c>
      <c r="J138" t="s">
        <v>2379</v>
      </c>
      <c r="K138" s="3" t="str">
        <f>HYPERLINK("https://x.com/MindWisdomMoney/status/1876596283609149812","https://x.com/MindWisdomMoney/status/1876596283609149812")</f>
        <v>https://x.com/MindWisdomMoney/status/1876596283609149812</v>
      </c>
      <c r="L138" t="s">
        <v>1630</v>
      </c>
      <c r="N138" s="3"/>
      <c r="O138" s="3" t="str">
        <f>HYPERLINK("https://x.com/MindWisdomMoney","https://x.com/MindWisdomMoney")</f>
        <v>https://x.com/MindWisdomMoney</v>
      </c>
      <c r="P138" t="s">
        <v>1816</v>
      </c>
      <c r="Q138" t="s">
        <v>1817</v>
      </c>
      <c r="R138" t="s">
        <v>1631</v>
      </c>
      <c r="S138" t="s">
        <v>54</v>
      </c>
      <c r="T138">
        <v>364700</v>
      </c>
      <c r="U138" t="s">
        <v>2518</v>
      </c>
      <c r="W138" t="s">
        <v>55</v>
      </c>
      <c r="Y138" t="s">
        <v>54</v>
      </c>
      <c r="AA138" t="s">
        <v>55</v>
      </c>
      <c r="AE138" t="s">
        <v>55</v>
      </c>
      <c r="AG138" t="s">
        <v>54</v>
      </c>
      <c r="AI138" t="s">
        <v>55</v>
      </c>
      <c r="AK138" t="s">
        <v>55</v>
      </c>
      <c r="AM138" t="s">
        <v>55</v>
      </c>
      <c r="AO138" t="s">
        <v>55</v>
      </c>
      <c r="AQ138" t="s">
        <v>54</v>
      </c>
      <c r="AR138">
        <v>40000</v>
      </c>
      <c r="AS138">
        <v>0.04</v>
      </c>
      <c r="AT138" t="s">
        <v>2519</v>
      </c>
      <c r="AU138">
        <v>200</v>
      </c>
      <c r="AW138" t="s">
        <v>2520</v>
      </c>
      <c r="AX138" t="s">
        <v>600</v>
      </c>
      <c r="AY138" t="s">
        <v>601</v>
      </c>
      <c r="AZ138" t="s">
        <v>2521</v>
      </c>
      <c r="BA138" t="s">
        <v>2522</v>
      </c>
      <c r="BD138" t="s">
        <v>1638</v>
      </c>
      <c r="BE138" t="s">
        <v>2521</v>
      </c>
      <c r="BG138" t="s">
        <v>1639</v>
      </c>
      <c r="BH138" t="s">
        <v>1640</v>
      </c>
      <c r="BJ138" s="3" t="str">
        <f>HYPERLINK("https://x.com/MindWisdomMoney/status/1876596283609149812","https://x.com/MindWisdomMoney/status/1876596283609149812")</f>
        <v>https://x.com/MindWisdomMoney/status/1876596283609149812</v>
      </c>
    </row>
    <row r="139" ht="25.5" customHeight="1" spans="1:62">
      <c r="A139" t="s">
        <v>2523</v>
      </c>
      <c r="B139" t="s">
        <v>1625</v>
      </c>
      <c r="C139" t="s">
        <v>2476</v>
      </c>
      <c r="F139" s="2"/>
      <c r="J139" t="s">
        <v>1816</v>
      </c>
      <c r="K139" s="3" t="str">
        <f>HYPERLINK("https://x.com/MisfenBlackHat/status/1876739193067475442","https://x.com/MisfenBlackHat/status/1876739193067475442")</f>
        <v>https://x.com/MisfenBlackHat/status/1876739193067475442</v>
      </c>
      <c r="L139" t="s">
        <v>1630</v>
      </c>
      <c r="N139" s="3"/>
      <c r="O139" s="3" t="str">
        <f>HYPERLINK("https://x.com/MisfenBlackHat","https://x.com/MisfenBlackHat")</f>
        <v>https://x.com/MisfenBlackHat</v>
      </c>
      <c r="P139" t="s">
        <v>1816</v>
      </c>
      <c r="Q139" t="s">
        <v>1817</v>
      </c>
      <c r="R139" t="s">
        <v>1652</v>
      </c>
      <c r="S139" t="s">
        <v>54</v>
      </c>
      <c r="T139">
        <v>21900</v>
      </c>
      <c r="U139" t="s">
        <v>55</v>
      </c>
      <c r="W139" t="s">
        <v>55</v>
      </c>
      <c r="Y139" t="s">
        <v>54</v>
      </c>
      <c r="AA139" t="s">
        <v>55</v>
      </c>
      <c r="AE139" t="s">
        <v>55</v>
      </c>
      <c r="AG139" t="s">
        <v>54</v>
      </c>
      <c r="AI139" t="s">
        <v>55</v>
      </c>
      <c r="AK139" t="s">
        <v>55</v>
      </c>
      <c r="AM139" t="s">
        <v>55</v>
      </c>
      <c r="AO139" t="s">
        <v>55</v>
      </c>
      <c r="AQ139" t="s">
        <v>54</v>
      </c>
      <c r="AR139">
        <v>40000</v>
      </c>
      <c r="AS139">
        <v>0.03</v>
      </c>
      <c r="AT139" t="s">
        <v>2468</v>
      </c>
      <c r="AU139">
        <v>200</v>
      </c>
      <c r="AW139" t="s">
        <v>2469</v>
      </c>
      <c r="AX139" t="s">
        <v>600</v>
      </c>
      <c r="AY139" t="s">
        <v>601</v>
      </c>
      <c r="AZ139" t="s">
        <v>2102</v>
      </c>
      <c r="BA139" t="s">
        <v>2241</v>
      </c>
      <c r="BD139" t="s">
        <v>1638</v>
      </c>
      <c r="BE139" t="s">
        <v>2102</v>
      </c>
      <c r="BG139" t="s">
        <v>1639</v>
      </c>
      <c r="BH139" t="s">
        <v>1640</v>
      </c>
      <c r="BJ139" s="3" t="str">
        <f>HYPERLINK("https://x.com/MisfenBlackHat/status/1876739193067475442","https://x.com/MisfenBlackHat/status/1876739193067475442")</f>
        <v>https://x.com/MisfenBlackHat/status/1876739193067475442</v>
      </c>
    </row>
    <row r="140" ht="25.5" customHeight="1" spans="1:62">
      <c r="A140" t="s">
        <v>2524</v>
      </c>
      <c r="B140" t="s">
        <v>1830</v>
      </c>
      <c r="F140" s="2"/>
      <c r="K140" s="3" t="str">
        <f>HYPERLINK("https://vm.tiktok.com/ZNeKwTnVC/","https://vm.tiktok.com/ZNeKwTnVC/")</f>
        <v>https://vm.tiktok.com/ZNeKwTnVC/</v>
      </c>
      <c r="L140" t="s">
        <v>1630</v>
      </c>
      <c r="N140" s="3"/>
      <c r="O140" s="3" t="str">
        <f>HYPERLINK("https://www.tiktok.com/@luigistips","https://www.tiktok.com/@luigistips")</f>
        <v>https://www.tiktok.com/@luigistips</v>
      </c>
      <c r="P140" t="s">
        <v>56</v>
      </c>
      <c r="Q140" t="s">
        <v>57</v>
      </c>
      <c r="R140" t="s">
        <v>1703</v>
      </c>
      <c r="S140" t="s">
        <v>54</v>
      </c>
      <c r="T140">
        <v>197200</v>
      </c>
      <c r="U140" t="s">
        <v>2525</v>
      </c>
      <c r="W140" t="s">
        <v>55</v>
      </c>
      <c r="Y140" t="s">
        <v>54</v>
      </c>
      <c r="AA140" t="s">
        <v>55</v>
      </c>
      <c r="AE140" t="s">
        <v>55</v>
      </c>
      <c r="AG140" t="s">
        <v>54</v>
      </c>
      <c r="AI140" t="s">
        <v>55</v>
      </c>
      <c r="AK140" t="s">
        <v>55</v>
      </c>
      <c r="AM140" t="s">
        <v>55</v>
      </c>
      <c r="AO140" t="s">
        <v>55</v>
      </c>
      <c r="AQ140" t="s">
        <v>54</v>
      </c>
      <c r="AR140">
        <v>80000</v>
      </c>
      <c r="AS140">
        <v>0.0126</v>
      </c>
      <c r="AT140" t="s">
        <v>2526</v>
      </c>
      <c r="AU140">
        <v>200</v>
      </c>
      <c r="AW140" t="s">
        <v>2527</v>
      </c>
      <c r="AX140" t="s">
        <v>1782</v>
      </c>
      <c r="AY140" t="s">
        <v>1783</v>
      </c>
      <c r="AZ140" t="s">
        <v>1022</v>
      </c>
      <c r="BA140" t="s">
        <v>2528</v>
      </c>
      <c r="BD140" t="s">
        <v>1638</v>
      </c>
      <c r="BE140" t="s">
        <v>1022</v>
      </c>
      <c r="BG140" t="s">
        <v>1639</v>
      </c>
      <c r="BH140" t="s">
        <v>1640</v>
      </c>
      <c r="BI140" t="s">
        <v>1973</v>
      </c>
      <c r="BJ140" s="3" t="str">
        <f>HYPERLINK("https://vm.tiktok.com/ZNeKwTnVC/","https://vm.tiktok.com/ZNeKwTnVC/")</f>
        <v>https://vm.tiktok.com/ZNeKwTnVC/</v>
      </c>
    </row>
    <row r="141" ht="25.5" customHeight="1" spans="1:62">
      <c r="A141" t="s">
        <v>2529</v>
      </c>
      <c r="B141" t="s">
        <v>1625</v>
      </c>
      <c r="C141" t="s">
        <v>2530</v>
      </c>
      <c r="F141" s="2"/>
      <c r="I141" t="s">
        <v>2531</v>
      </c>
      <c r="J141" t="s">
        <v>1725</v>
      </c>
      <c r="K141" s="3"/>
      <c r="L141" t="s">
        <v>2081</v>
      </c>
      <c r="N141" s="3" t="str">
        <f>HYPERLINK("https://app.hypeauditor.com/my-network/influencer/32254230/analytics/tiktok/romanlohace","https://app.hypeauditor.com/my-network/influencer/32254230/analytics/tiktok/romanlohace")</f>
        <v>https://app.hypeauditor.com/my-network/influencer/32254230/analytics/tiktok/romanlohace</v>
      </c>
      <c r="O141" s="3"/>
      <c r="P141" t="s">
        <v>65</v>
      </c>
      <c r="Q141" t="s">
        <v>116</v>
      </c>
      <c r="S141" t="s">
        <v>54</v>
      </c>
      <c r="W141" t="s">
        <v>55</v>
      </c>
      <c r="Y141" t="s">
        <v>54</v>
      </c>
      <c r="AA141" t="s">
        <v>55</v>
      </c>
      <c r="AE141" t="s">
        <v>55</v>
      </c>
      <c r="AG141" t="s">
        <v>54</v>
      </c>
      <c r="AI141" t="s">
        <v>55</v>
      </c>
      <c r="AK141" t="s">
        <v>55</v>
      </c>
      <c r="AM141" t="s">
        <v>55</v>
      </c>
      <c r="AO141" t="s">
        <v>55</v>
      </c>
      <c r="AQ141" t="s">
        <v>54</v>
      </c>
      <c r="AT141" t="s">
        <v>54</v>
      </c>
      <c r="AU141">
        <v>200</v>
      </c>
      <c r="AW141" t="s">
        <v>54</v>
      </c>
      <c r="BD141" t="s">
        <v>1830</v>
      </c>
      <c r="BG141" t="s">
        <v>1639</v>
      </c>
      <c r="BH141" t="s">
        <v>1640</v>
      </c>
      <c r="BJ141" s="3"/>
    </row>
    <row r="142" ht="25.5" customHeight="1" spans="1:62">
      <c r="A142" t="s">
        <v>2293</v>
      </c>
      <c r="B142" t="s">
        <v>1625</v>
      </c>
      <c r="C142" t="s">
        <v>2532</v>
      </c>
      <c r="D142" t="s">
        <v>1627</v>
      </c>
      <c r="F142" s="2"/>
      <c r="I142" t="s">
        <v>2294</v>
      </c>
      <c r="J142" t="s">
        <v>1644</v>
      </c>
      <c r="K142" s="3" t="str">
        <f>HYPERLINK("https://www.instagram.com/reel/DF7i_d0s-2e/?igsh=OWZjODB6OWxjdXVy","https://www.instagram.com/reel/DF7i_d0s-2e/?igsh=OWZjODB6OWxjdXVy")</f>
        <v>https://www.instagram.com/reel/DF7i_d0s-2e/?igsh=OWZjODB6OWxjdXVy</v>
      </c>
      <c r="L142" t="s">
        <v>1630</v>
      </c>
      <c r="N142" s="3" t="str">
        <f>HYPERLINK("https://app.hypeauditor.com/my-network/influencer/1198550/analytics/instagram/tarekadel.tech","https://app.hypeauditor.com/my-network/influencer/1198550/analytics/instagram/tarekadel.tech")</f>
        <v>https://app.hypeauditor.com/my-network/influencer/1198550/analytics/instagram/tarekadel.tech</v>
      </c>
      <c r="O142" s="3" t="str">
        <f>HYPERLINK("https://www.instagram.com/tarekadel.tech/","https://www.instagram.com/tarekadel.tech/")</f>
        <v>https://www.instagram.com/tarekadel.tech/</v>
      </c>
      <c r="P142" t="s">
        <v>65</v>
      </c>
      <c r="S142" t="s">
        <v>54</v>
      </c>
      <c r="T142">
        <v>183000</v>
      </c>
      <c r="U142" t="s">
        <v>2533</v>
      </c>
      <c r="W142" t="s">
        <v>55</v>
      </c>
      <c r="Y142" t="s">
        <v>54</v>
      </c>
      <c r="AA142" t="s">
        <v>55</v>
      </c>
      <c r="AE142" t="s">
        <v>55</v>
      </c>
      <c r="AG142" t="s">
        <v>54</v>
      </c>
      <c r="AI142" t="s">
        <v>55</v>
      </c>
      <c r="AK142" t="s">
        <v>55</v>
      </c>
      <c r="AM142" t="s">
        <v>55</v>
      </c>
      <c r="AO142" t="s">
        <v>55</v>
      </c>
      <c r="AQ142" t="s">
        <v>54</v>
      </c>
      <c r="AR142">
        <v>50000</v>
      </c>
      <c r="AS142">
        <v>0.0156</v>
      </c>
      <c r="AT142" t="s">
        <v>2534</v>
      </c>
      <c r="AU142">
        <v>200</v>
      </c>
      <c r="AW142" t="s">
        <v>2535</v>
      </c>
      <c r="AX142" t="s">
        <v>2462</v>
      </c>
      <c r="AY142" t="s">
        <v>2463</v>
      </c>
      <c r="AZ142" t="s">
        <v>2038</v>
      </c>
      <c r="BA142" t="s">
        <v>2536</v>
      </c>
      <c r="BD142" t="s">
        <v>1638</v>
      </c>
      <c r="BE142" t="s">
        <v>2038</v>
      </c>
      <c r="BG142" t="s">
        <v>1639</v>
      </c>
      <c r="BH142" t="s">
        <v>1640</v>
      </c>
      <c r="BJ142" s="3" t="str">
        <f>HYPERLINK("https://www.instagram.com/reel/DF7i_d0s-2e/?igsh=OWZjODB6OWxjdXVy","https://www.instagram.com/reel/DF7i_d0s-2e/?igsh=OWZjODB6OWxjdXVy")</f>
        <v>https://www.instagram.com/reel/DF7i_d0s-2e/?igsh=OWZjODB6OWxjdXVy</v>
      </c>
    </row>
    <row r="143" ht="25.5" customHeight="1" spans="1:62">
      <c r="A143" t="s">
        <v>2537</v>
      </c>
      <c r="B143" t="s">
        <v>1701</v>
      </c>
      <c r="C143" t="s">
        <v>2538</v>
      </c>
      <c r="D143" t="s">
        <v>1627</v>
      </c>
      <c r="F143" s="2"/>
      <c r="H143" t="s">
        <v>2106</v>
      </c>
      <c r="I143" t="s">
        <v>2539</v>
      </c>
      <c r="J143" t="s">
        <v>1644</v>
      </c>
      <c r="K143" s="3" t="str">
        <f>HYPERLINK("https://www.tiktok.com/@ilmastro85/video/7463147957739670806","https://www.tiktok.com/@ilmastro85/video/7463147957739670806")</f>
        <v>https://www.tiktok.com/@ilmastro85/video/7463147957739670806</v>
      </c>
      <c r="L143" t="s">
        <v>1630</v>
      </c>
      <c r="N143" s="3" t="str">
        <f>HYPERLINK("https://app.hypeauditor.com/my-network/influencer/18232409/analytics/instagram/ilmastro85","https://app.hypeauditor.com/my-network/influencer/18232409/analytics/instagram/ilmastro85")</f>
        <v>https://app.hypeauditor.com/my-network/influencer/18232409/analytics/instagram/ilmastro85</v>
      </c>
      <c r="O143" s="3" t="str">
        <f>HYPERLINK("https://www.tiktok.com/@ilmastro85","https://www.tiktok.com/@ilmastro85")</f>
        <v>https://www.tiktok.com/@ilmastro85</v>
      </c>
      <c r="P143" t="s">
        <v>56</v>
      </c>
      <c r="Q143" t="s">
        <v>57</v>
      </c>
      <c r="R143" t="s">
        <v>1703</v>
      </c>
      <c r="S143" t="s">
        <v>54</v>
      </c>
      <c r="T143">
        <v>117700</v>
      </c>
      <c r="U143" t="s">
        <v>393</v>
      </c>
      <c r="W143" t="s">
        <v>55</v>
      </c>
      <c r="Y143" t="s">
        <v>54</v>
      </c>
      <c r="AA143" t="s">
        <v>55</v>
      </c>
      <c r="AE143" t="s">
        <v>55</v>
      </c>
      <c r="AG143" t="s">
        <v>54</v>
      </c>
      <c r="AI143" t="s">
        <v>55</v>
      </c>
      <c r="AK143" t="s">
        <v>55</v>
      </c>
      <c r="AM143" t="s">
        <v>55</v>
      </c>
      <c r="AO143" t="s">
        <v>55</v>
      </c>
      <c r="AQ143" t="s">
        <v>54</v>
      </c>
      <c r="AR143">
        <v>30000</v>
      </c>
      <c r="AS143">
        <v>0.044</v>
      </c>
      <c r="AT143" t="s">
        <v>2540</v>
      </c>
      <c r="AU143">
        <v>185</v>
      </c>
      <c r="AW143" t="s">
        <v>2541</v>
      </c>
      <c r="AX143" t="s">
        <v>2542</v>
      </c>
      <c r="AY143" t="s">
        <v>2543</v>
      </c>
      <c r="AZ143" t="s">
        <v>2544</v>
      </c>
      <c r="BA143" t="s">
        <v>2545</v>
      </c>
      <c r="BD143" t="s">
        <v>1638</v>
      </c>
      <c r="BE143" t="s">
        <v>2544</v>
      </c>
      <c r="BG143" t="s">
        <v>1639</v>
      </c>
      <c r="BH143" t="s">
        <v>1640</v>
      </c>
      <c r="BJ143" s="3" t="str">
        <f>HYPERLINK("https://www.tiktok.com/@ilmastro85/video/7463147957739670806","https://www.tiktok.com/@ilmastro85/video/7463147957739670806")</f>
        <v>https://www.tiktok.com/@ilmastro85/video/7463147957739670806</v>
      </c>
    </row>
    <row r="144" ht="25.5" customHeight="1" spans="1:62">
      <c r="A144" t="s">
        <v>2546</v>
      </c>
      <c r="B144" t="s">
        <v>1625</v>
      </c>
      <c r="D144" t="s">
        <v>1627</v>
      </c>
      <c r="F144" s="2"/>
      <c r="I144" t="s">
        <v>2025</v>
      </c>
      <c r="J144" t="s">
        <v>1725</v>
      </c>
      <c r="K144" s="3" t="str">
        <f>HYPERLINK("https://www.tiktok.com/@iaenlinea/video/7459762556207435040","https://www.tiktok.com/@iaenlinea/video/7459762556207435040")</f>
        <v>https://www.tiktok.com/@iaenlinea/video/7459762556207435040</v>
      </c>
      <c r="L144" t="s">
        <v>1630</v>
      </c>
      <c r="N144" s="3" t="str">
        <f>HYPERLINK("https://app.hypeauditor.com/my-network/influencer/27117084/analytics/tiktok/iaenlinea","https://app.hypeauditor.com/my-network/influencer/27117084/analytics/tiktok/iaenlinea")</f>
        <v>https://app.hypeauditor.com/my-network/influencer/27117084/analytics/tiktok/iaenlinea</v>
      </c>
      <c r="O144" s="3" t="str">
        <f>HYPERLINK("https://www.tiktok.com/@iaenlinea","https://www.tiktok.com/@iaenlinea")</f>
        <v>https://www.tiktok.com/@iaenlinea</v>
      </c>
      <c r="P144" t="s">
        <v>56</v>
      </c>
      <c r="Q144" t="s">
        <v>57</v>
      </c>
      <c r="R144" t="s">
        <v>1652</v>
      </c>
      <c r="S144" t="s">
        <v>54</v>
      </c>
      <c r="T144">
        <v>281300</v>
      </c>
      <c r="U144" t="s">
        <v>2547</v>
      </c>
      <c r="W144" t="s">
        <v>55</v>
      </c>
      <c r="Y144" t="s">
        <v>54</v>
      </c>
      <c r="AA144" t="s">
        <v>55</v>
      </c>
      <c r="AE144" t="s">
        <v>55</v>
      </c>
      <c r="AG144" t="s">
        <v>54</v>
      </c>
      <c r="AI144" t="s">
        <v>55</v>
      </c>
      <c r="AK144" t="s">
        <v>55</v>
      </c>
      <c r="AM144" t="s">
        <v>55</v>
      </c>
      <c r="AO144" t="s">
        <v>55</v>
      </c>
      <c r="AQ144" t="s">
        <v>54</v>
      </c>
      <c r="AR144">
        <v>35000</v>
      </c>
      <c r="AS144">
        <v>0.0319</v>
      </c>
      <c r="AT144" t="s">
        <v>2548</v>
      </c>
      <c r="AU144">
        <v>180</v>
      </c>
      <c r="AW144" t="s">
        <v>2549</v>
      </c>
      <c r="AX144" t="s">
        <v>2550</v>
      </c>
      <c r="AY144" t="s">
        <v>2551</v>
      </c>
      <c r="AZ144" t="s">
        <v>2324</v>
      </c>
      <c r="BA144" t="s">
        <v>2552</v>
      </c>
      <c r="BD144" t="s">
        <v>1638</v>
      </c>
      <c r="BE144" t="s">
        <v>2324</v>
      </c>
      <c r="BG144" t="s">
        <v>1639</v>
      </c>
      <c r="BH144" t="s">
        <v>1640</v>
      </c>
      <c r="BI144" t="s">
        <v>2023</v>
      </c>
      <c r="BJ144" s="3" t="str">
        <f>HYPERLINK("https://www.tiktok.com/@iaenlinea/video/7459762556207435040","https://www.tiktok.com/@iaenlinea/video/7459762556207435040")</f>
        <v>https://www.tiktok.com/@iaenlinea/video/7459762556207435040</v>
      </c>
    </row>
    <row r="145" ht="25.5" customHeight="1" spans="1:62">
      <c r="A145" t="s">
        <v>2553</v>
      </c>
      <c r="B145" t="s">
        <v>1625</v>
      </c>
      <c r="F145" s="2"/>
      <c r="H145" t="s">
        <v>1663</v>
      </c>
      <c r="J145" t="s">
        <v>2379</v>
      </c>
      <c r="K145" s="3" t="str">
        <f>HYPERLINK("https://x.com/SucceededMind/status/1876600931623854360","https://x.com/SucceededMind/status/1876600931623854360")</f>
        <v>https://x.com/SucceededMind/status/1876600931623854360</v>
      </c>
      <c r="L145" t="s">
        <v>1630</v>
      </c>
      <c r="N145" s="3"/>
      <c r="O145" s="3" t="str">
        <f>HYPERLINK("https://x.com/SucceededMind/","https://x.com/SucceededMind/")</f>
        <v>https://x.com/SucceededMind/</v>
      </c>
      <c r="P145" t="s">
        <v>1816</v>
      </c>
      <c r="Q145" t="s">
        <v>1817</v>
      </c>
      <c r="R145" t="s">
        <v>1631</v>
      </c>
      <c r="S145" t="s">
        <v>54</v>
      </c>
      <c r="T145">
        <v>295600</v>
      </c>
      <c r="U145" t="s">
        <v>2554</v>
      </c>
      <c r="W145" t="s">
        <v>55</v>
      </c>
      <c r="Y145" t="s">
        <v>54</v>
      </c>
      <c r="AA145" t="s">
        <v>55</v>
      </c>
      <c r="AE145" t="s">
        <v>55</v>
      </c>
      <c r="AG145" t="s">
        <v>54</v>
      </c>
      <c r="AI145" t="s">
        <v>55</v>
      </c>
      <c r="AK145" t="s">
        <v>55</v>
      </c>
      <c r="AM145" t="s">
        <v>55</v>
      </c>
      <c r="AO145" t="s">
        <v>55</v>
      </c>
      <c r="AQ145" t="s">
        <v>54</v>
      </c>
      <c r="AR145">
        <v>30000</v>
      </c>
      <c r="AS145">
        <v>0.04</v>
      </c>
      <c r="AT145" t="s">
        <v>2468</v>
      </c>
      <c r="AU145">
        <v>170</v>
      </c>
      <c r="AW145" t="s">
        <v>2469</v>
      </c>
      <c r="AX145" t="s">
        <v>2555</v>
      </c>
      <c r="AY145" t="s">
        <v>2556</v>
      </c>
      <c r="AZ145" t="s">
        <v>2557</v>
      </c>
      <c r="BA145" t="s">
        <v>2558</v>
      </c>
      <c r="BD145" t="s">
        <v>1638</v>
      </c>
      <c r="BE145" t="s">
        <v>2557</v>
      </c>
      <c r="BG145" t="s">
        <v>1639</v>
      </c>
      <c r="BH145" t="s">
        <v>1640</v>
      </c>
      <c r="BJ145" s="3" t="str">
        <f>HYPERLINK("https://x.com/SucceededMind/status/1876600931623854360","https://x.com/SucceededMind/status/1876600931623854360")</f>
        <v>https://x.com/SucceededMind/status/1876600931623854360</v>
      </c>
    </row>
    <row r="146" ht="25.5" customHeight="1" spans="1:62">
      <c r="A146" t="s">
        <v>337</v>
      </c>
      <c r="B146" t="s">
        <v>1701</v>
      </c>
      <c r="C146" t="s">
        <v>2559</v>
      </c>
      <c r="D146" t="s">
        <v>1627</v>
      </c>
      <c r="F146" s="2"/>
      <c r="H146" t="s">
        <v>2560</v>
      </c>
      <c r="I146" t="s">
        <v>344</v>
      </c>
      <c r="J146" t="s">
        <v>1725</v>
      </c>
      <c r="K146" s="3" t="str">
        <f>HYPERLINK("https://www.tiktok.com/@alevelhelp.32/video/7462409288221297953?_r=1&amp;_t=8XmrvnrA3gk","https://www.tiktok.com/@alevelhelp.32/video/7462409288221297953?_r=1&amp;_t=8XmrvnrA3gk")</f>
        <v>https://www.tiktok.com/@alevelhelp.32/video/7462409288221297953?_r=1&amp;_t=8XmrvnrA3gk</v>
      </c>
      <c r="L146" t="s">
        <v>1630</v>
      </c>
      <c r="N146" s="3" t="str">
        <f>HYPERLINK("https://app.hypeauditor.com/my-network/influencer/949185/analytics/tiktok/alevelhelp.32","https://app.hypeauditor.com/my-network/influencer/949185/analytics/tiktok/alevelhelp.32")</f>
        <v>https://app.hypeauditor.com/my-network/influencer/949185/analytics/tiktok/alevelhelp.32</v>
      </c>
      <c r="O146" s="3" t="str">
        <f>HYPERLINK("https://www.tiktok.com/@alevelhelp.32?_t=8XmrvnrA3gk&amp;_r=1","https://www.tiktok.com/@alevelhelp.32?_t=8XmrvnrA3gk&amp;_r=1")</f>
        <v>https://www.tiktok.com/@alevelhelp.32?_t=8XmrvnrA3gk&amp;_r=1</v>
      </c>
      <c r="P146" t="s">
        <v>56</v>
      </c>
      <c r="Q146" t="s">
        <v>57</v>
      </c>
      <c r="R146" t="s">
        <v>1887</v>
      </c>
      <c r="S146" t="s">
        <v>54</v>
      </c>
      <c r="T146">
        <v>613900</v>
      </c>
      <c r="U146" t="s">
        <v>338</v>
      </c>
      <c r="W146" t="s">
        <v>55</v>
      </c>
      <c r="Y146" t="s">
        <v>54</v>
      </c>
      <c r="AA146" t="s">
        <v>55</v>
      </c>
      <c r="AE146" t="s">
        <v>55</v>
      </c>
      <c r="AG146" t="s">
        <v>54</v>
      </c>
      <c r="AI146" t="s">
        <v>55</v>
      </c>
      <c r="AK146" t="s">
        <v>55</v>
      </c>
      <c r="AM146" t="s">
        <v>55</v>
      </c>
      <c r="AO146" t="s">
        <v>55</v>
      </c>
      <c r="AQ146" t="s">
        <v>54</v>
      </c>
      <c r="AR146">
        <v>31400</v>
      </c>
      <c r="AS146">
        <v>0.03</v>
      </c>
      <c r="AT146" t="s">
        <v>2561</v>
      </c>
      <c r="AU146">
        <v>150</v>
      </c>
      <c r="AW146" t="s">
        <v>2562</v>
      </c>
      <c r="AX146" t="s">
        <v>2563</v>
      </c>
      <c r="AY146" t="s">
        <v>2564</v>
      </c>
      <c r="AZ146" t="s">
        <v>2565</v>
      </c>
      <c r="BA146" t="s">
        <v>2566</v>
      </c>
      <c r="BD146" t="s">
        <v>1638</v>
      </c>
      <c r="BE146" t="s">
        <v>2565</v>
      </c>
      <c r="BG146" t="s">
        <v>1639</v>
      </c>
      <c r="BH146" t="s">
        <v>1640</v>
      </c>
      <c r="BJ146" s="3" t="str">
        <f>HYPERLINK("https://www.tiktok.com/@alevelhelp.32/video/7462409288221297953?_r=1&amp;_t=8XmrvnrA3gk","https://www.tiktok.com/@alevelhelp.32/video/7462409288221297953?_r=1&amp;_t=8XmrvnrA3gk")</f>
        <v>https://www.tiktok.com/@alevelhelp.32/video/7462409288221297953?_r=1&amp;_t=8XmrvnrA3gk</v>
      </c>
    </row>
    <row r="147" ht="25.5" customHeight="1" spans="1:62">
      <c r="A147" t="s">
        <v>2567</v>
      </c>
      <c r="B147" t="s">
        <v>1625</v>
      </c>
      <c r="C147" t="s">
        <v>2568</v>
      </c>
      <c r="D147" t="s">
        <v>1627</v>
      </c>
      <c r="F147" s="2"/>
      <c r="H147" t="s">
        <v>1723</v>
      </c>
      <c r="J147" t="s">
        <v>1644</v>
      </c>
      <c r="K147" s="3" t="str">
        <f>HYPERLINK("https://www.tiktok.com/@andersonac02/video/7460275698104831238","https://www.tiktok.com/@andersonac02/video/7460275698104831238")</f>
        <v>https://www.tiktok.com/@andersonac02/video/7460275698104831238</v>
      </c>
      <c r="L147" t="s">
        <v>1630</v>
      </c>
      <c r="N147" s="3" t="str">
        <f>HYPERLINK("https://app.hypeauditor.com/my-network/influencer/20525189/analytics/tiktok/andersonac02","https://app.hypeauditor.com/my-network/influencer/20525189/analytics/tiktok/andersonac02")</f>
        <v>https://app.hypeauditor.com/my-network/influencer/20525189/analytics/tiktok/andersonac02</v>
      </c>
      <c r="O147" s="3" t="str">
        <f>HYPERLINK("https://www.tiktok.com/@andersonac02","https://www.tiktok.com/@andersonac02")</f>
        <v>https://www.tiktok.com/@andersonac02</v>
      </c>
      <c r="P147" t="s">
        <v>56</v>
      </c>
      <c r="Q147" t="s">
        <v>57</v>
      </c>
      <c r="R147" t="s">
        <v>1753</v>
      </c>
      <c r="S147" t="s">
        <v>54</v>
      </c>
      <c r="T147">
        <v>445900</v>
      </c>
      <c r="U147" t="s">
        <v>2569</v>
      </c>
      <c r="W147" t="s">
        <v>55</v>
      </c>
      <c r="Y147" t="s">
        <v>54</v>
      </c>
      <c r="AA147" t="s">
        <v>55</v>
      </c>
      <c r="AE147" t="s">
        <v>55</v>
      </c>
      <c r="AG147" t="s">
        <v>54</v>
      </c>
      <c r="AI147" t="s">
        <v>55</v>
      </c>
      <c r="AK147" t="s">
        <v>55</v>
      </c>
      <c r="AM147" t="s">
        <v>55</v>
      </c>
      <c r="AO147" t="s">
        <v>55</v>
      </c>
      <c r="AQ147" t="s">
        <v>54</v>
      </c>
      <c r="AR147">
        <v>30000</v>
      </c>
      <c r="AS147">
        <v>0.04</v>
      </c>
      <c r="AT147" t="s">
        <v>2468</v>
      </c>
      <c r="AU147">
        <v>150</v>
      </c>
      <c r="AW147" t="s">
        <v>2469</v>
      </c>
      <c r="AX147" t="s">
        <v>600</v>
      </c>
      <c r="AY147" t="s">
        <v>601</v>
      </c>
      <c r="AZ147" t="s">
        <v>2521</v>
      </c>
      <c r="BA147" t="s">
        <v>2522</v>
      </c>
      <c r="BD147" t="s">
        <v>1638</v>
      </c>
      <c r="BE147" t="s">
        <v>2521</v>
      </c>
      <c r="BG147" t="s">
        <v>1639</v>
      </c>
      <c r="BH147" t="s">
        <v>1640</v>
      </c>
      <c r="BJ147" s="3" t="str">
        <f>HYPERLINK("https://www.tiktok.com/@andersonac02/video/7460275698104831238","https://www.tiktok.com/@andersonac02/video/7460275698104831238")</f>
        <v>https://www.tiktok.com/@andersonac02/video/7460275698104831238</v>
      </c>
    </row>
    <row r="148" ht="25.5" customHeight="1" spans="1:62">
      <c r="A148" t="s">
        <v>2570</v>
      </c>
      <c r="B148" t="s">
        <v>1638</v>
      </c>
      <c r="C148" t="s">
        <v>2571</v>
      </c>
      <c r="D148" t="s">
        <v>1627</v>
      </c>
      <c r="F148" s="2"/>
      <c r="H148" t="s">
        <v>2106</v>
      </c>
      <c r="I148" t="s">
        <v>2572</v>
      </c>
      <c r="J148" t="s">
        <v>1833</v>
      </c>
      <c r="K148" s="3" t="str">
        <f>HYPERLINK("https://vm.tiktok.com/ZNeKMKCvg/","https://vm.tiktok.com/ZNeKMKCvg/")</f>
        <v>https://vm.tiktok.com/ZNeKMKCvg/</v>
      </c>
      <c r="L148" t="s">
        <v>1630</v>
      </c>
      <c r="N148" s="3" t="str">
        <f>HYPERLINK("https://app.hypeauditor.com/my-network/influencer/3117695/analytics/tiktok/oxydoxytv","https://app.hypeauditor.com/my-network/influencer/3117695/analytics/tiktok/oxydoxytv")</f>
        <v>https://app.hypeauditor.com/my-network/influencer/3117695/analytics/tiktok/oxydoxytv</v>
      </c>
      <c r="O148" s="3" t="str">
        <f>HYPERLINK("https://www.tiktok.com/@oxydoxytv?lang=en","https://www.tiktok.com/@oxydoxytv?lang=en")</f>
        <v>https://www.tiktok.com/@oxydoxytv?lang=en</v>
      </c>
      <c r="P148" t="s">
        <v>56</v>
      </c>
      <c r="Q148" t="s">
        <v>57</v>
      </c>
      <c r="R148" t="s">
        <v>1789</v>
      </c>
      <c r="S148" t="s">
        <v>54</v>
      </c>
      <c r="T148">
        <v>110000</v>
      </c>
      <c r="U148" t="s">
        <v>2573</v>
      </c>
      <c r="W148" t="s">
        <v>55</v>
      </c>
      <c r="Y148" t="s">
        <v>54</v>
      </c>
      <c r="AA148" t="s">
        <v>55</v>
      </c>
      <c r="AE148" t="s">
        <v>55</v>
      </c>
      <c r="AG148" t="s">
        <v>54</v>
      </c>
      <c r="AI148" t="s">
        <v>55</v>
      </c>
      <c r="AK148" t="s">
        <v>55</v>
      </c>
      <c r="AM148" t="s">
        <v>55</v>
      </c>
      <c r="AO148" t="s">
        <v>55</v>
      </c>
      <c r="AQ148" t="s">
        <v>54</v>
      </c>
      <c r="AR148">
        <v>30000</v>
      </c>
      <c r="AS148">
        <v>0.03</v>
      </c>
      <c r="AT148" t="s">
        <v>1895</v>
      </c>
      <c r="AU148">
        <v>150</v>
      </c>
      <c r="AW148" t="s">
        <v>1896</v>
      </c>
      <c r="AX148" t="s">
        <v>600</v>
      </c>
      <c r="AY148" t="s">
        <v>601</v>
      </c>
      <c r="AZ148" t="s">
        <v>2102</v>
      </c>
      <c r="BA148" t="s">
        <v>2241</v>
      </c>
      <c r="BD148" t="s">
        <v>1638</v>
      </c>
      <c r="BE148" t="s">
        <v>2102</v>
      </c>
      <c r="BG148" t="s">
        <v>1639</v>
      </c>
      <c r="BH148" t="s">
        <v>1640</v>
      </c>
      <c r="BJ148" s="3" t="str">
        <f>HYPERLINK("https://vm.tiktok.com/ZNeKMKCvg/","https://vm.tiktok.com/ZNeKMKCvg/")</f>
        <v>https://vm.tiktok.com/ZNeKMKCvg/</v>
      </c>
    </row>
    <row r="149" ht="25.5" customHeight="1" spans="1:62">
      <c r="A149" t="s">
        <v>2574</v>
      </c>
      <c r="B149" t="s">
        <v>1625</v>
      </c>
      <c r="C149" t="s">
        <v>2575</v>
      </c>
      <c r="D149" t="s">
        <v>1627</v>
      </c>
      <c r="F149" s="2"/>
      <c r="H149" t="s">
        <v>1663</v>
      </c>
      <c r="I149" t="s">
        <v>2576</v>
      </c>
      <c r="J149" t="s">
        <v>1644</v>
      </c>
      <c r="K149" s="3" t="str">
        <f>HYPERLINK("https://youtu.be/FMMA8SEmp0g","https://youtu.be/FMMA8SEmp0g")</f>
        <v>https://youtu.be/FMMA8SEmp0g</v>
      </c>
      <c r="L149" t="s">
        <v>1630</v>
      </c>
      <c r="N149" s="3" t="str">
        <f>HYPERLINK("https://app.hypeauditor.com/my-network/influencer/32589104/analytics/tiktok/naciontech","https://app.hypeauditor.com/my-network/influencer/32589104/analytics/tiktok/naciontech")</f>
        <v>https://app.hypeauditor.com/my-network/influencer/32589104/analytics/tiktok/naciontech</v>
      </c>
      <c r="O149" s="3" t="str">
        <f>HYPERLINK("https://www.youtube.com/@nacion_tech","https://www.youtube.com/@nacion_tech")</f>
        <v>https://www.youtube.com/@nacion_tech</v>
      </c>
      <c r="P149" t="s">
        <v>269</v>
      </c>
      <c r="Q149" t="s">
        <v>378</v>
      </c>
      <c r="R149" t="s">
        <v>1753</v>
      </c>
      <c r="S149" t="s">
        <v>54</v>
      </c>
      <c r="T149">
        <v>27200</v>
      </c>
      <c r="U149" t="s">
        <v>55</v>
      </c>
      <c r="W149" t="s">
        <v>55</v>
      </c>
      <c r="Y149" t="s">
        <v>54</v>
      </c>
      <c r="AA149" t="s">
        <v>55</v>
      </c>
      <c r="AE149" t="s">
        <v>55</v>
      </c>
      <c r="AG149" t="s">
        <v>54</v>
      </c>
      <c r="AI149" t="s">
        <v>55</v>
      </c>
      <c r="AK149" t="s">
        <v>55</v>
      </c>
      <c r="AM149" t="s">
        <v>55</v>
      </c>
      <c r="AO149" t="s">
        <v>55</v>
      </c>
      <c r="AQ149" t="s">
        <v>54</v>
      </c>
      <c r="AR149">
        <v>50000</v>
      </c>
      <c r="AS149">
        <v>0.02</v>
      </c>
      <c r="AT149" t="s">
        <v>2577</v>
      </c>
      <c r="AU149">
        <v>150</v>
      </c>
      <c r="AW149" t="s">
        <v>2578</v>
      </c>
      <c r="AX149" t="s">
        <v>2271</v>
      </c>
      <c r="AY149" t="s">
        <v>2272</v>
      </c>
      <c r="AZ149" t="s">
        <v>2161</v>
      </c>
      <c r="BA149" t="s">
        <v>2273</v>
      </c>
      <c r="BD149" t="s">
        <v>1638</v>
      </c>
      <c r="BE149" t="s">
        <v>2161</v>
      </c>
      <c r="BG149" t="s">
        <v>1639</v>
      </c>
      <c r="BH149" t="s">
        <v>1640</v>
      </c>
      <c r="BJ149" s="3" t="str">
        <f>HYPERLINK("https://youtu.be/FMMA8SEmp0g","https://youtu.be/FMMA8SEmp0g")</f>
        <v>https://youtu.be/FMMA8SEmp0g</v>
      </c>
    </row>
    <row r="150" ht="25.5" customHeight="1" spans="1:62">
      <c r="A150" t="s">
        <v>2579</v>
      </c>
      <c r="B150" t="s">
        <v>1625</v>
      </c>
      <c r="C150" t="s">
        <v>2580</v>
      </c>
      <c r="F150" s="2"/>
      <c r="H150" t="s">
        <v>1806</v>
      </c>
      <c r="I150" t="s">
        <v>2581</v>
      </c>
      <c r="J150" t="s">
        <v>1629</v>
      </c>
      <c r="K150" s="3"/>
      <c r="L150" t="s">
        <v>1645</v>
      </c>
      <c r="N150" s="3" t="str">
        <f>HYPERLINK("https://app.hypeauditor.com/my-network/influencer/129794/analytics/instagram/alessiomattarese","https://app.hypeauditor.com/my-network/influencer/129794/analytics/instagram/alessiomattarese")</f>
        <v>https://app.hypeauditor.com/my-network/influencer/129794/analytics/instagram/alessiomattarese</v>
      </c>
      <c r="O150" s="3"/>
      <c r="P150" t="s">
        <v>56</v>
      </c>
      <c r="Q150" t="s">
        <v>57</v>
      </c>
      <c r="S150" t="s">
        <v>54</v>
      </c>
      <c r="W150" t="s">
        <v>55</v>
      </c>
      <c r="Y150" t="s">
        <v>54</v>
      </c>
      <c r="AA150" t="s">
        <v>55</v>
      </c>
      <c r="AE150" t="s">
        <v>55</v>
      </c>
      <c r="AG150" t="s">
        <v>54</v>
      </c>
      <c r="AI150" t="s">
        <v>55</v>
      </c>
      <c r="AK150" t="s">
        <v>55</v>
      </c>
      <c r="AM150" t="s">
        <v>55</v>
      </c>
      <c r="AO150" t="s">
        <v>55</v>
      </c>
      <c r="AQ150" t="s">
        <v>54</v>
      </c>
      <c r="AT150" t="s">
        <v>54</v>
      </c>
      <c r="AU150">
        <v>150</v>
      </c>
      <c r="AW150" t="s">
        <v>54</v>
      </c>
      <c r="BD150" t="s">
        <v>1625</v>
      </c>
      <c r="BG150" t="s">
        <v>1639</v>
      </c>
      <c r="BH150" t="s">
        <v>1640</v>
      </c>
      <c r="BJ150" s="3"/>
    </row>
    <row r="151" ht="25.5" customHeight="1" spans="1:62">
      <c r="A151" t="s">
        <v>2582</v>
      </c>
      <c r="B151" t="s">
        <v>1625</v>
      </c>
      <c r="C151" t="s">
        <v>2583</v>
      </c>
      <c r="F151" s="2"/>
      <c r="H151" t="s">
        <v>1806</v>
      </c>
      <c r="I151" t="s">
        <v>2584</v>
      </c>
      <c r="J151" t="s">
        <v>1644</v>
      </c>
      <c r="K151" s="3"/>
      <c r="L151" t="s">
        <v>1645</v>
      </c>
      <c r="N151" s="3" t="str">
        <f>HYPERLINK("https://app.hypeauditor.com/my-network/influencer/25008398/analytics/tiktok/joel.psd","https://app.hypeauditor.com/my-network/influencer/25008398/analytics/tiktok/joel.psd")</f>
        <v>https://app.hypeauditor.com/my-network/influencer/25008398/analytics/tiktok/joel.psd</v>
      </c>
      <c r="O151" s="3"/>
      <c r="P151" t="s">
        <v>56</v>
      </c>
      <c r="Q151" t="s">
        <v>57</v>
      </c>
      <c r="S151" t="s">
        <v>54</v>
      </c>
      <c r="W151" t="s">
        <v>55</v>
      </c>
      <c r="Y151" t="s">
        <v>54</v>
      </c>
      <c r="AA151" t="s">
        <v>55</v>
      </c>
      <c r="AE151" t="s">
        <v>55</v>
      </c>
      <c r="AG151" t="s">
        <v>54</v>
      </c>
      <c r="AI151" t="s">
        <v>55</v>
      </c>
      <c r="AK151" t="s">
        <v>55</v>
      </c>
      <c r="AM151" t="s">
        <v>55</v>
      </c>
      <c r="AO151" t="s">
        <v>55</v>
      </c>
      <c r="AQ151" t="s">
        <v>54</v>
      </c>
      <c r="AT151" t="s">
        <v>54</v>
      </c>
      <c r="AU151">
        <v>150</v>
      </c>
      <c r="AW151" t="s">
        <v>54</v>
      </c>
      <c r="BD151" t="s">
        <v>1830</v>
      </c>
      <c r="BG151" t="s">
        <v>1639</v>
      </c>
      <c r="BH151" t="s">
        <v>1640</v>
      </c>
      <c r="BJ151" s="3"/>
    </row>
    <row r="152" ht="25.5" customHeight="1" spans="1:62">
      <c r="A152" t="s">
        <v>2585</v>
      </c>
      <c r="B152" t="s">
        <v>1701</v>
      </c>
      <c r="C152" t="s">
        <v>1690</v>
      </c>
      <c r="D152" t="s">
        <v>1627</v>
      </c>
      <c r="F152" s="2">
        <v>45665</v>
      </c>
      <c r="H152" t="s">
        <v>1663</v>
      </c>
      <c r="J152" t="s">
        <v>1644</v>
      </c>
      <c r="K152" s="3" t="str">
        <f>HYPERLINK("https://www.tiktok.com/@orzatech/video/7457198360777297157","https://www.tiktok.com/@orzatech/video/7457198360777297157")</f>
        <v>https://www.tiktok.com/@orzatech/video/7457198360777297157</v>
      </c>
      <c r="L152" t="s">
        <v>1630</v>
      </c>
      <c r="N152" s="3" t="str">
        <f>HYPERLINK("https://app.hypeauditor.com/my-network/influencer/32305211/analytics/tiktok/orzatech","https://app.hypeauditor.com/my-network/influencer/32305211/analytics/tiktok/orzatech")</f>
        <v>https://app.hypeauditor.com/my-network/influencer/32305211/analytics/tiktok/orzatech</v>
      </c>
      <c r="O152" s="3" t="str">
        <f>HYPERLINK("https://www.tiktok.com/@orzatech","https://www.tiktok.com/@orzatech")</f>
        <v>https://www.tiktok.com/@orzatech</v>
      </c>
      <c r="P152" t="s">
        <v>56</v>
      </c>
      <c r="Q152" t="s">
        <v>57</v>
      </c>
      <c r="R152" t="s">
        <v>97</v>
      </c>
      <c r="S152" t="s">
        <v>54</v>
      </c>
      <c r="T152">
        <v>31700</v>
      </c>
      <c r="U152" t="s">
        <v>55</v>
      </c>
      <c r="W152" t="s">
        <v>55</v>
      </c>
      <c r="Y152" t="s">
        <v>54</v>
      </c>
      <c r="AA152" t="s">
        <v>55</v>
      </c>
      <c r="AE152" t="s">
        <v>55</v>
      </c>
      <c r="AG152" t="s">
        <v>54</v>
      </c>
      <c r="AI152" t="s">
        <v>55</v>
      </c>
      <c r="AK152" t="s">
        <v>55</v>
      </c>
      <c r="AM152" t="s">
        <v>55</v>
      </c>
      <c r="AO152" t="s">
        <v>55</v>
      </c>
      <c r="AQ152" t="s">
        <v>54</v>
      </c>
      <c r="AR152">
        <v>24900</v>
      </c>
      <c r="AS152">
        <v>0.0407</v>
      </c>
      <c r="AT152" t="s">
        <v>2586</v>
      </c>
      <c r="AU152">
        <v>150</v>
      </c>
      <c r="AW152" t="s">
        <v>2587</v>
      </c>
      <c r="AX152" t="s">
        <v>691</v>
      </c>
      <c r="AY152" t="s">
        <v>2588</v>
      </c>
      <c r="AZ152" t="s">
        <v>2589</v>
      </c>
      <c r="BA152" t="s">
        <v>2590</v>
      </c>
      <c r="BD152" t="s">
        <v>1638</v>
      </c>
      <c r="BE152" t="s">
        <v>2589</v>
      </c>
      <c r="BG152" t="s">
        <v>1639</v>
      </c>
      <c r="BH152" t="s">
        <v>1640</v>
      </c>
      <c r="BJ152" s="3" t="str">
        <f>HYPERLINK("https://www.tiktok.com/@orzatech/video/7457198360777297157","https://www.tiktok.com/@orzatech/video/7457198360777297157")</f>
        <v>https://www.tiktok.com/@orzatech/video/7457198360777297157</v>
      </c>
    </row>
    <row r="153" ht="25.5" customHeight="1" spans="1:62">
      <c r="A153" t="s">
        <v>2591</v>
      </c>
      <c r="B153" t="s">
        <v>1625</v>
      </c>
      <c r="C153" t="s">
        <v>2592</v>
      </c>
      <c r="D153" t="s">
        <v>1627</v>
      </c>
      <c r="F153" s="2"/>
      <c r="H153" t="s">
        <v>1663</v>
      </c>
      <c r="I153" t="s">
        <v>152</v>
      </c>
      <c r="J153" t="s">
        <v>1644</v>
      </c>
      <c r="K153" s="3" t="str">
        <f>HYPERLINK("https://vm.tiktok.com/ZNeK67DRY/","https://vm.tiktok.com/ZNeK67DRY/")</f>
        <v>https://vm.tiktok.com/ZNeK67DRY/</v>
      </c>
      <c r="L153" t="s">
        <v>1630</v>
      </c>
      <c r="N153" s="3" t="str">
        <f>HYPERLINK("https://app.hypeauditor.com/my-network/influencer/32506103/analytics/tiktok/daniel_technolife","https://app.hypeauditor.com/my-network/influencer/32506103/analytics/tiktok/daniel_technolife")</f>
        <v>https://app.hypeauditor.com/my-network/influencer/32506103/analytics/tiktok/daniel_technolife</v>
      </c>
      <c r="O153" s="3"/>
      <c r="P153" t="s">
        <v>56</v>
      </c>
      <c r="Q153" t="s">
        <v>57</v>
      </c>
      <c r="R153" t="s">
        <v>1703</v>
      </c>
      <c r="S153" t="s">
        <v>54</v>
      </c>
      <c r="T153">
        <v>72300</v>
      </c>
      <c r="U153" t="s">
        <v>55</v>
      </c>
      <c r="W153" t="s">
        <v>55</v>
      </c>
      <c r="Y153" t="s">
        <v>54</v>
      </c>
      <c r="AA153" t="s">
        <v>55</v>
      </c>
      <c r="AE153" t="s">
        <v>55</v>
      </c>
      <c r="AG153" t="s">
        <v>54</v>
      </c>
      <c r="AI153" t="s">
        <v>55</v>
      </c>
      <c r="AK153" t="s">
        <v>55</v>
      </c>
      <c r="AM153" t="s">
        <v>55</v>
      </c>
      <c r="AO153" t="s">
        <v>55</v>
      </c>
      <c r="AQ153" t="s">
        <v>54</v>
      </c>
      <c r="AR153">
        <v>20000</v>
      </c>
      <c r="AS153">
        <v>0.05</v>
      </c>
      <c r="AT153" t="s">
        <v>2577</v>
      </c>
      <c r="AU153">
        <v>150</v>
      </c>
      <c r="AW153" t="s">
        <v>2578</v>
      </c>
      <c r="AX153" t="s">
        <v>1906</v>
      </c>
      <c r="AY153" t="s">
        <v>1907</v>
      </c>
      <c r="AZ153" t="s">
        <v>2161</v>
      </c>
      <c r="BA153" t="s">
        <v>2273</v>
      </c>
      <c r="BD153" t="s">
        <v>1638</v>
      </c>
      <c r="BE153" t="s">
        <v>2161</v>
      </c>
      <c r="BG153" t="s">
        <v>1639</v>
      </c>
      <c r="BH153" t="s">
        <v>1640</v>
      </c>
      <c r="BJ153" s="3" t="str">
        <f>HYPERLINK("https://vm.tiktok.com/ZNeK67DRY/","https://vm.tiktok.com/ZNeK67DRY/")</f>
        <v>https://vm.tiktok.com/ZNeK67DRY/</v>
      </c>
    </row>
    <row r="154" ht="25.5" customHeight="1" spans="1:62">
      <c r="A154" t="s">
        <v>1358</v>
      </c>
      <c r="B154" t="s">
        <v>1701</v>
      </c>
      <c r="C154" t="s">
        <v>2593</v>
      </c>
      <c r="D154" t="s">
        <v>1627</v>
      </c>
      <c r="F154" s="2"/>
      <c r="I154" t="s">
        <v>2594</v>
      </c>
      <c r="J154" t="s">
        <v>773</v>
      </c>
      <c r="K154" s="3" t="str">
        <f>HYPERLINK("https://vm.tiktok.com/ZNeKUNeme/","https://vm.tiktok.com/ZNeKUNeme/")</f>
        <v>https://vm.tiktok.com/ZNeKUNeme/</v>
      </c>
      <c r="L154" t="s">
        <v>1630</v>
      </c>
      <c r="N154" s="3" t="str">
        <f>HYPERLINK("https://app.hypeauditor.com/my-network/influencer/30491302/analytics/tiktok/rtxchicken","https://app.hypeauditor.com/my-network/influencer/30491302/analytics/tiktok/rtxchicken")</f>
        <v>https://app.hypeauditor.com/my-network/influencer/30491302/analytics/tiktok/rtxchicken</v>
      </c>
      <c r="O154" s="3" t="str">
        <f>HYPERLINK("https://www.tiktok.com/@rtxchicken","https://www.tiktok.com/@rtxchicken")</f>
        <v>https://www.tiktok.com/@rtxchicken</v>
      </c>
      <c r="P154" t="s">
        <v>56</v>
      </c>
      <c r="Q154" t="s">
        <v>57</v>
      </c>
      <c r="R154" t="s">
        <v>1789</v>
      </c>
      <c r="S154" t="s">
        <v>54</v>
      </c>
      <c r="T154">
        <v>53700</v>
      </c>
      <c r="U154" t="s">
        <v>55</v>
      </c>
      <c r="W154" t="s">
        <v>55</v>
      </c>
      <c r="Y154" t="s">
        <v>54</v>
      </c>
      <c r="AA154" t="s">
        <v>55</v>
      </c>
      <c r="AE154" t="s">
        <v>55</v>
      </c>
      <c r="AG154" t="s">
        <v>54</v>
      </c>
      <c r="AI154" t="s">
        <v>55</v>
      </c>
      <c r="AK154" t="s">
        <v>55</v>
      </c>
      <c r="AM154" t="s">
        <v>55</v>
      </c>
      <c r="AO154" t="s">
        <v>55</v>
      </c>
      <c r="AQ154" t="s">
        <v>54</v>
      </c>
      <c r="AR154">
        <v>14900</v>
      </c>
      <c r="AS154">
        <v>0.1108</v>
      </c>
      <c r="AT154" t="s">
        <v>1359</v>
      </c>
      <c r="AU154">
        <v>150</v>
      </c>
      <c r="AW154" t="s">
        <v>1360</v>
      </c>
      <c r="AX154" t="s">
        <v>1087</v>
      </c>
      <c r="AY154" t="s">
        <v>1088</v>
      </c>
      <c r="AZ154" t="s">
        <v>1327</v>
      </c>
      <c r="BA154" t="s">
        <v>1361</v>
      </c>
      <c r="BD154" t="s">
        <v>1638</v>
      </c>
      <c r="BE154" t="s">
        <v>1327</v>
      </c>
      <c r="BG154" t="s">
        <v>1639</v>
      </c>
      <c r="BH154" t="s">
        <v>1640</v>
      </c>
      <c r="BJ154" s="3" t="str">
        <f>HYPERLINK("https://vm.tiktok.com/ZNeKUNeme/","https://vm.tiktok.com/ZNeKUNeme/")</f>
        <v>https://vm.tiktok.com/ZNeKUNeme/</v>
      </c>
    </row>
    <row r="155" ht="25.5" customHeight="1" spans="1:62">
      <c r="A155" t="s">
        <v>2595</v>
      </c>
      <c r="B155" t="s">
        <v>1625</v>
      </c>
      <c r="C155" t="s">
        <v>1690</v>
      </c>
      <c r="D155" t="s">
        <v>1627</v>
      </c>
      <c r="F155" s="2">
        <v>45664</v>
      </c>
      <c r="H155" t="s">
        <v>2596</v>
      </c>
      <c r="I155" t="s">
        <v>2597</v>
      </c>
      <c r="J155" t="s">
        <v>1725</v>
      </c>
      <c r="K155" s="3" t="str">
        <f>HYPERLINK("https://www.tiktok.com/@kiredroid_yt/video/7457228284212890913","https://www.tiktok.com/@kiredroid_yt/video/7457228284212890913")</f>
        <v>https://www.tiktok.com/@kiredroid_yt/video/7457228284212890913</v>
      </c>
      <c r="L155" t="s">
        <v>1630</v>
      </c>
      <c r="N155" s="3" t="str">
        <f>HYPERLINK("https://app.hypeauditor.com/my-network/influencer/31246023/analytics/tiktok/kiredroid_yt","https://app.hypeauditor.com/my-network/influencer/31246023/analytics/tiktok/kiredroid_yt")</f>
        <v>https://app.hypeauditor.com/my-network/influencer/31246023/analytics/tiktok/kiredroid_yt</v>
      </c>
      <c r="O155" s="3" t="str">
        <f>HYPERLINK("https://www.tiktok.com/@kiredroid_yt","https://www.tiktok.com/@kiredroid_yt")</f>
        <v>https://www.tiktok.com/@kiredroid_yt</v>
      </c>
      <c r="P155" t="s">
        <v>56</v>
      </c>
      <c r="Q155" t="s">
        <v>57</v>
      </c>
      <c r="R155" t="s">
        <v>1652</v>
      </c>
      <c r="S155" t="s">
        <v>54</v>
      </c>
      <c r="T155">
        <v>11100</v>
      </c>
      <c r="U155" t="s">
        <v>55</v>
      </c>
      <c r="W155" t="s">
        <v>55</v>
      </c>
      <c r="Y155" t="s">
        <v>54</v>
      </c>
      <c r="AA155" t="s">
        <v>55</v>
      </c>
      <c r="AE155" t="s">
        <v>55</v>
      </c>
      <c r="AG155" t="s">
        <v>54</v>
      </c>
      <c r="AI155" t="s">
        <v>55</v>
      </c>
      <c r="AK155" t="s">
        <v>55</v>
      </c>
      <c r="AM155" t="s">
        <v>55</v>
      </c>
      <c r="AO155" t="s">
        <v>55</v>
      </c>
      <c r="AQ155" t="s">
        <v>54</v>
      </c>
      <c r="AR155">
        <v>25000</v>
      </c>
      <c r="AS155">
        <v>0.0611</v>
      </c>
      <c r="AT155" t="s">
        <v>2598</v>
      </c>
      <c r="AU155">
        <v>150</v>
      </c>
      <c r="AW155" t="s">
        <v>2599</v>
      </c>
      <c r="AX155" t="s">
        <v>1410</v>
      </c>
      <c r="AY155" t="s">
        <v>1411</v>
      </c>
      <c r="AZ155" t="s">
        <v>2600</v>
      </c>
      <c r="BA155" t="s">
        <v>2601</v>
      </c>
      <c r="BD155" t="s">
        <v>1638</v>
      </c>
      <c r="BE155" t="s">
        <v>2600</v>
      </c>
      <c r="BG155" t="s">
        <v>1639</v>
      </c>
      <c r="BH155" t="s">
        <v>1640</v>
      </c>
      <c r="BJ155" s="3" t="str">
        <f>HYPERLINK("https://www.tiktok.com/@kiredroid_yt/video/7457228284212890913","https://www.tiktok.com/@kiredroid_yt/video/7457228284212890913")</f>
        <v>https://www.tiktok.com/@kiredroid_yt/video/7457228284212890913</v>
      </c>
    </row>
    <row r="156" ht="25.5" customHeight="1" spans="1:62">
      <c r="A156" t="s">
        <v>1533</v>
      </c>
      <c r="B156" t="s">
        <v>1625</v>
      </c>
      <c r="C156" t="s">
        <v>2602</v>
      </c>
      <c r="D156" t="s">
        <v>1627</v>
      </c>
      <c r="F156" s="2">
        <v>45687</v>
      </c>
      <c r="I156" t="s">
        <v>2603</v>
      </c>
      <c r="J156" t="s">
        <v>317</v>
      </c>
      <c r="K156" s="3" t="str">
        <f>HYPERLINK("https://www.instagram.com/reel/DFcu75aJuL3/","https://www.instagram.com/reel/DFcu75aJuL3/")</f>
        <v>https://www.instagram.com/reel/DFcu75aJuL3/</v>
      </c>
      <c r="L156" t="s">
        <v>1630</v>
      </c>
      <c r="N156" s="3" t="str">
        <f>HYPERLINK("https://app.hypeauditor.com/my-network/influencer/4491364/analytics/instagram/spgmarks","https://app.hypeauditor.com/my-network/influencer/4491364/analytics/instagram/spgmarks")</f>
        <v>https://app.hypeauditor.com/my-network/influencer/4491364/analytics/instagram/spgmarks</v>
      </c>
      <c r="O156" s="3"/>
      <c r="P156" t="s">
        <v>65</v>
      </c>
      <c r="Q156" t="s">
        <v>116</v>
      </c>
      <c r="R156" t="s">
        <v>1913</v>
      </c>
      <c r="S156" t="s">
        <v>54</v>
      </c>
      <c r="T156">
        <v>50400</v>
      </c>
      <c r="U156" t="s">
        <v>55</v>
      </c>
      <c r="W156" t="s">
        <v>55</v>
      </c>
      <c r="Y156" t="s">
        <v>54</v>
      </c>
      <c r="AA156" t="s">
        <v>55</v>
      </c>
      <c r="AE156" t="s">
        <v>55</v>
      </c>
      <c r="AG156" t="s">
        <v>54</v>
      </c>
      <c r="AI156" t="s">
        <v>55</v>
      </c>
      <c r="AK156" t="s">
        <v>55</v>
      </c>
      <c r="AM156" t="s">
        <v>55</v>
      </c>
      <c r="AO156" t="s">
        <v>55</v>
      </c>
      <c r="AQ156" t="s">
        <v>54</v>
      </c>
      <c r="AR156">
        <v>14200</v>
      </c>
      <c r="AS156">
        <v>0.045</v>
      </c>
      <c r="AT156" t="s">
        <v>2604</v>
      </c>
      <c r="AU156">
        <v>150</v>
      </c>
      <c r="AW156" t="s">
        <v>2605</v>
      </c>
      <c r="AX156" t="s">
        <v>2606</v>
      </c>
      <c r="AY156" t="s">
        <v>2607</v>
      </c>
      <c r="AZ156" t="s">
        <v>1332</v>
      </c>
      <c r="BA156" t="s">
        <v>2608</v>
      </c>
      <c r="BD156" t="s">
        <v>1638</v>
      </c>
      <c r="BE156" t="s">
        <v>1332</v>
      </c>
      <c r="BG156" t="s">
        <v>1639</v>
      </c>
      <c r="BH156" t="s">
        <v>1640</v>
      </c>
      <c r="BJ156" s="3" t="str">
        <f>HYPERLINK("https://www.instagram.com/reel/DFcu75aJuL3/","https://www.instagram.com/reel/DFcu75aJuL3/")</f>
        <v>https://www.instagram.com/reel/DFcu75aJuL3/</v>
      </c>
    </row>
    <row r="157" ht="25.5" customHeight="1" spans="1:62">
      <c r="A157" t="s">
        <v>2609</v>
      </c>
      <c r="B157" t="s">
        <v>1625</v>
      </c>
      <c r="C157" t="s">
        <v>2610</v>
      </c>
      <c r="D157" t="s">
        <v>1627</v>
      </c>
      <c r="F157" s="2">
        <v>45664</v>
      </c>
      <c r="J157" t="s">
        <v>1644</v>
      </c>
      <c r="K157" s="3" t="str">
        <f>HYPERLINK("https://www.instagram.com/reel/DEhji-2T2Bk/?igsh=MXU1eWR6YWdzYjJ5aQ==","https://www.instagram.com/reel/DEhji-2T2Bk/?igsh=MXU1eWR6YWdzYjJ5aQ==")</f>
        <v>https://www.instagram.com/reel/DEhji-2T2Bk/?igsh=MXU1eWR6YWdzYjJ5aQ==</v>
      </c>
      <c r="L157" t="s">
        <v>1630</v>
      </c>
      <c r="N157" s="3" t="str">
        <f>HYPERLINK("https://app.hypeauditor.com/my-network/influencer/33313424/analytics/instagram/code.eka","https://app.hypeauditor.com/my-network/influencer/33313424/analytics/instagram/code.eka")</f>
        <v>https://app.hypeauditor.com/my-network/influencer/33313424/analytics/instagram/code.eka</v>
      </c>
      <c r="O157" s="3" t="str">
        <f>HYPERLINK("https://www.instagram.com/code.eka/","https://www.instagram.com/code.eka/")</f>
        <v>https://www.instagram.com/code.eka/</v>
      </c>
      <c r="P157" t="s">
        <v>65</v>
      </c>
      <c r="Q157" t="s">
        <v>116</v>
      </c>
      <c r="R157" t="s">
        <v>97</v>
      </c>
      <c r="S157" t="s">
        <v>54</v>
      </c>
      <c r="T157">
        <v>211000</v>
      </c>
      <c r="U157" t="s">
        <v>2380</v>
      </c>
      <c r="W157" t="s">
        <v>55</v>
      </c>
      <c r="Y157" t="s">
        <v>54</v>
      </c>
      <c r="AA157" t="s">
        <v>55</v>
      </c>
      <c r="AE157" t="s">
        <v>55</v>
      </c>
      <c r="AG157" t="s">
        <v>54</v>
      </c>
      <c r="AI157" t="s">
        <v>55</v>
      </c>
      <c r="AK157" t="s">
        <v>55</v>
      </c>
      <c r="AM157" t="s">
        <v>55</v>
      </c>
      <c r="AO157" t="s">
        <v>55</v>
      </c>
      <c r="AQ157" t="s">
        <v>54</v>
      </c>
      <c r="AR157">
        <v>30000</v>
      </c>
      <c r="AS157">
        <v>0.01</v>
      </c>
      <c r="AT157" t="s">
        <v>2611</v>
      </c>
      <c r="AU157">
        <v>150</v>
      </c>
      <c r="AW157" t="s">
        <v>2612</v>
      </c>
      <c r="AX157" t="s">
        <v>600</v>
      </c>
      <c r="AY157" t="s">
        <v>601</v>
      </c>
      <c r="AZ157" t="s">
        <v>2613</v>
      </c>
      <c r="BA157" t="s">
        <v>2614</v>
      </c>
      <c r="BD157" t="s">
        <v>1638</v>
      </c>
      <c r="BE157" t="s">
        <v>2613</v>
      </c>
      <c r="BG157" t="s">
        <v>1639</v>
      </c>
      <c r="BH157" t="s">
        <v>1640</v>
      </c>
      <c r="BJ157" s="3" t="str">
        <f>HYPERLINK("https://www.instagram.com/reel/DEhji-2T2Bk/?igsh=MXU1eWR6YWdzYjJ5aQ==","https://www.instagram.com/reel/DEhji-2T2Bk/?igsh=MXU1eWR6YWdzYjJ5aQ==")</f>
        <v>https://www.instagram.com/reel/DEhji-2T2Bk/?igsh=MXU1eWR6YWdzYjJ5aQ==</v>
      </c>
    </row>
    <row r="158" ht="25.5" customHeight="1" spans="1:62">
      <c r="A158" t="s">
        <v>2615</v>
      </c>
      <c r="B158" t="s">
        <v>1625</v>
      </c>
      <c r="C158" t="s">
        <v>2616</v>
      </c>
      <c r="F158" s="2"/>
      <c r="I158" t="s">
        <v>2617</v>
      </c>
      <c r="J158" t="s">
        <v>1629</v>
      </c>
      <c r="K158" s="3"/>
      <c r="L158" t="s">
        <v>2081</v>
      </c>
      <c r="N158" s="3" t="str">
        <f>HYPERLINK("https://app.hypeauditor.com/my-network/influencer/5593014/analytics/instagram/globalfaction","https://app.hypeauditor.com/my-network/influencer/5593014/analytics/instagram/globalfaction")</f>
        <v>https://app.hypeauditor.com/my-network/influencer/5593014/analytics/instagram/globalfaction</v>
      </c>
      <c r="O158" s="3"/>
      <c r="P158" t="s">
        <v>65</v>
      </c>
      <c r="S158" t="s">
        <v>54</v>
      </c>
      <c r="W158" t="s">
        <v>55</v>
      </c>
      <c r="Y158" t="s">
        <v>54</v>
      </c>
      <c r="AA158" t="s">
        <v>55</v>
      </c>
      <c r="AE158" t="s">
        <v>55</v>
      </c>
      <c r="AG158" t="s">
        <v>54</v>
      </c>
      <c r="AI158" t="s">
        <v>55</v>
      </c>
      <c r="AK158" t="s">
        <v>55</v>
      </c>
      <c r="AM158" t="s">
        <v>55</v>
      </c>
      <c r="AO158" t="s">
        <v>55</v>
      </c>
      <c r="AQ158" t="s">
        <v>54</v>
      </c>
      <c r="AT158" t="s">
        <v>54</v>
      </c>
      <c r="AU158">
        <v>150</v>
      </c>
      <c r="AW158" t="s">
        <v>54</v>
      </c>
      <c r="BD158" t="s">
        <v>1830</v>
      </c>
      <c r="BG158" t="s">
        <v>1639</v>
      </c>
      <c r="BH158" t="s">
        <v>1640</v>
      </c>
      <c r="BJ158" s="3"/>
    </row>
    <row r="159" ht="25.5" customHeight="1" spans="1:62">
      <c r="A159" t="s">
        <v>2618</v>
      </c>
      <c r="B159" t="s">
        <v>1830</v>
      </c>
      <c r="C159" t="s">
        <v>2619</v>
      </c>
      <c r="D159" t="s">
        <v>1627</v>
      </c>
      <c r="F159" s="2">
        <v>45669</v>
      </c>
      <c r="H159" t="s">
        <v>1663</v>
      </c>
      <c r="I159" t="s">
        <v>2620</v>
      </c>
      <c r="J159" t="s">
        <v>1725</v>
      </c>
      <c r="K159" s="3" t="str">
        <f>HYPERLINK("https://www.tiktok.com/@tech_updt/video/7459663542363360520","https://www.tiktok.com/@tech_updt/video/7459663542363360520")</f>
        <v>https://www.tiktok.com/@tech_updt/video/7459663542363360520</v>
      </c>
      <c r="L159" t="s">
        <v>1630</v>
      </c>
      <c r="N159" s="3" t="str">
        <f>HYPERLINK("https://app.hypeauditor.com/my-network/influencer/32674469/analytics/tiktok/tech_updt","https://app.hypeauditor.com/my-network/influencer/32674469/analytics/tiktok/tech_updt")</f>
        <v>https://app.hypeauditor.com/my-network/influencer/32674469/analytics/tiktok/tech_updt</v>
      </c>
      <c r="O159" s="3" t="str">
        <f>HYPERLINK("https://www.tiktok.com/@tech_updt","https://www.tiktok.com/@tech_updt")</f>
        <v>https://www.tiktok.com/@tech_updt</v>
      </c>
      <c r="P159" t="s">
        <v>56</v>
      </c>
      <c r="Q159" t="s">
        <v>57</v>
      </c>
      <c r="R159" t="s">
        <v>1913</v>
      </c>
      <c r="S159" t="s">
        <v>54</v>
      </c>
      <c r="T159">
        <v>40100</v>
      </c>
      <c r="U159" t="s">
        <v>55</v>
      </c>
      <c r="W159" t="s">
        <v>55</v>
      </c>
      <c r="Y159" t="s">
        <v>54</v>
      </c>
      <c r="AA159" t="s">
        <v>55</v>
      </c>
      <c r="AE159" t="s">
        <v>55</v>
      </c>
      <c r="AG159" t="s">
        <v>54</v>
      </c>
      <c r="AI159" t="s">
        <v>55</v>
      </c>
      <c r="AK159" t="s">
        <v>55</v>
      </c>
      <c r="AM159" t="s">
        <v>55</v>
      </c>
      <c r="AO159" t="s">
        <v>55</v>
      </c>
      <c r="AQ159" t="s">
        <v>54</v>
      </c>
      <c r="AR159">
        <v>29700</v>
      </c>
      <c r="AS159">
        <v>0.0657</v>
      </c>
      <c r="AT159" t="s">
        <v>786</v>
      </c>
      <c r="AU159">
        <v>140</v>
      </c>
      <c r="AW159" t="s">
        <v>787</v>
      </c>
      <c r="AX159" t="s">
        <v>788</v>
      </c>
      <c r="AY159" t="s">
        <v>789</v>
      </c>
      <c r="AZ159" t="s">
        <v>790</v>
      </c>
      <c r="BA159" t="s">
        <v>791</v>
      </c>
      <c r="BD159" t="s">
        <v>1638</v>
      </c>
      <c r="BE159" t="s">
        <v>790</v>
      </c>
      <c r="BG159" t="s">
        <v>1639</v>
      </c>
      <c r="BH159" t="s">
        <v>1640</v>
      </c>
      <c r="BJ159" s="3" t="str">
        <f>HYPERLINK("https://www.tiktok.com/@tech_updt/video/7459663542363360520","https://www.tiktok.com/@tech_updt/video/7459663542363360520")</f>
        <v>https://www.tiktok.com/@tech_updt/video/7459663542363360520</v>
      </c>
    </row>
    <row r="160" ht="25.5" customHeight="1" spans="1:62">
      <c r="A160" t="s">
        <v>2621</v>
      </c>
      <c r="B160" t="s">
        <v>1625</v>
      </c>
      <c r="F160" s="2"/>
      <c r="K160" s="3" t="str">
        <f>HYPERLINK("https://www.instagram.com/reel/DFfuXNiI5ld/?igsh=MWlqNmk0Y3R6eWNtZw==","https://www.instagram.com/reel/DFfuXNiI5ld/?igsh=MWlqNmk0Y3R6eWNtZw==")</f>
        <v>https://www.instagram.com/reel/DFfuXNiI5ld/?igsh=MWlqNmk0Y3R6eWNtZw==</v>
      </c>
      <c r="L160" t="s">
        <v>1630</v>
      </c>
      <c r="N160" s="3"/>
      <c r="O160" s="3" t="str">
        <f>HYPERLINK("https://www.instagram.com/woman.engineer/","https://www.instagram.com/woman.engineer/")</f>
        <v>https://www.instagram.com/woman.engineer/</v>
      </c>
      <c r="P160" t="s">
        <v>65</v>
      </c>
      <c r="Q160" t="s">
        <v>116</v>
      </c>
      <c r="R160" t="s">
        <v>97</v>
      </c>
      <c r="S160" t="s">
        <v>54</v>
      </c>
      <c r="T160">
        <v>127000</v>
      </c>
      <c r="U160" t="s">
        <v>2622</v>
      </c>
      <c r="W160" t="s">
        <v>55</v>
      </c>
      <c r="Y160" t="s">
        <v>54</v>
      </c>
      <c r="AA160" t="s">
        <v>55</v>
      </c>
      <c r="AE160" t="s">
        <v>55</v>
      </c>
      <c r="AG160" t="s">
        <v>54</v>
      </c>
      <c r="AI160" t="s">
        <v>55</v>
      </c>
      <c r="AK160" t="s">
        <v>55</v>
      </c>
      <c r="AM160" t="s">
        <v>55</v>
      </c>
      <c r="AO160" t="s">
        <v>55</v>
      </c>
      <c r="AQ160" t="s">
        <v>54</v>
      </c>
      <c r="AR160">
        <v>30000</v>
      </c>
      <c r="AS160">
        <v>0.019</v>
      </c>
      <c r="AT160" t="s">
        <v>2623</v>
      </c>
      <c r="AU160">
        <v>140</v>
      </c>
      <c r="AW160" t="s">
        <v>2624</v>
      </c>
      <c r="AX160" t="s">
        <v>2625</v>
      </c>
      <c r="AY160" t="s">
        <v>2626</v>
      </c>
      <c r="AZ160" t="s">
        <v>2627</v>
      </c>
      <c r="BA160" t="s">
        <v>2628</v>
      </c>
      <c r="BD160" t="s">
        <v>1638</v>
      </c>
      <c r="BE160" t="s">
        <v>2627</v>
      </c>
      <c r="BG160" t="s">
        <v>1639</v>
      </c>
      <c r="BH160" t="s">
        <v>1640</v>
      </c>
      <c r="BJ160" s="3" t="str">
        <f>HYPERLINK("https://www.instagram.com/reel/DFfuXNiI5ld/?igsh=MWlqNmk0Y3R6eWNtZw==","https://www.instagram.com/reel/DFfuXNiI5ld/?igsh=MWlqNmk0Y3R6eWNtZw==")</f>
        <v>https://www.instagram.com/reel/DFfuXNiI5ld/?igsh=MWlqNmk0Y3R6eWNtZw==</v>
      </c>
    </row>
    <row r="161" ht="25.5" customHeight="1" spans="1:62">
      <c r="A161" t="s">
        <v>1921</v>
      </c>
      <c r="B161" t="s">
        <v>1830</v>
      </c>
      <c r="C161" t="s">
        <v>2629</v>
      </c>
      <c r="D161" t="s">
        <v>1627</v>
      </c>
      <c r="F161" s="2"/>
      <c r="H161" t="s">
        <v>1663</v>
      </c>
      <c r="J161" t="s">
        <v>1644</v>
      </c>
      <c r="K161" s="3" t="str">
        <f>HYPERLINK("https://www.tiktok.com/@penlar/video/7460142641448111406","https://www.tiktok.com/@penlar/video/7460142641448111406")</f>
        <v>https://www.tiktok.com/@penlar/video/7460142641448111406</v>
      </c>
      <c r="L161" t="s">
        <v>1630</v>
      </c>
      <c r="N161" s="3"/>
      <c r="O161" s="3"/>
      <c r="P161" t="s">
        <v>56</v>
      </c>
      <c r="Q161" t="s">
        <v>57</v>
      </c>
      <c r="R161" t="s">
        <v>1631</v>
      </c>
      <c r="S161" t="s">
        <v>54</v>
      </c>
      <c r="W161" t="s">
        <v>55</v>
      </c>
      <c r="Y161" t="s">
        <v>54</v>
      </c>
      <c r="AA161" t="s">
        <v>55</v>
      </c>
      <c r="AE161" t="s">
        <v>55</v>
      </c>
      <c r="AG161" t="s">
        <v>54</v>
      </c>
      <c r="AI161" t="s">
        <v>55</v>
      </c>
      <c r="AK161" t="s">
        <v>55</v>
      </c>
      <c r="AM161" t="s">
        <v>55</v>
      </c>
      <c r="AO161" t="s">
        <v>55</v>
      </c>
      <c r="AQ161" t="s">
        <v>54</v>
      </c>
      <c r="AT161" t="s">
        <v>54</v>
      </c>
      <c r="AU161">
        <v>120</v>
      </c>
      <c r="AW161" t="s">
        <v>54</v>
      </c>
      <c r="BD161" t="s">
        <v>1638</v>
      </c>
      <c r="BG161" t="s">
        <v>1639</v>
      </c>
      <c r="BH161" t="s">
        <v>1640</v>
      </c>
      <c r="BJ161" s="3" t="str">
        <f>HYPERLINK("https://www.tiktok.com/@penlar/video/7460142641448111406","https://www.tiktok.com/@penlar/video/7460142641448111406")</f>
        <v>https://www.tiktok.com/@penlar/video/7460142641448111406</v>
      </c>
    </row>
    <row r="162" ht="25.5" customHeight="1" spans="1:62">
      <c r="A162" t="s">
        <v>2630</v>
      </c>
      <c r="B162" t="s">
        <v>1625</v>
      </c>
      <c r="C162" t="s">
        <v>2631</v>
      </c>
      <c r="F162" s="2"/>
      <c r="H162" t="s">
        <v>1691</v>
      </c>
      <c r="I162" t="s">
        <v>2632</v>
      </c>
      <c r="J162" t="s">
        <v>1629</v>
      </c>
      <c r="K162" s="3"/>
      <c r="L162" t="s">
        <v>1645</v>
      </c>
      <c r="N162" s="3" t="str">
        <f>HYPERLINK("https://app.hypeauditor.com/my-network/influencer/28162824/analytics/tiktok/the_raptors_","https://app.hypeauditor.com/my-network/influencer/28162824/analytics/tiktok/the_raptors_")</f>
        <v>https://app.hypeauditor.com/my-network/influencer/28162824/analytics/tiktok/the_raptors_</v>
      </c>
      <c r="O162" s="3"/>
      <c r="P162" t="s">
        <v>56</v>
      </c>
      <c r="Q162" t="s">
        <v>57</v>
      </c>
      <c r="S162" t="s">
        <v>54</v>
      </c>
      <c r="T162">
        <v>40000</v>
      </c>
      <c r="U162" t="s">
        <v>55</v>
      </c>
      <c r="W162" t="s">
        <v>55</v>
      </c>
      <c r="Y162" t="s">
        <v>54</v>
      </c>
      <c r="AA162" t="s">
        <v>55</v>
      </c>
      <c r="AE162" t="s">
        <v>55</v>
      </c>
      <c r="AG162" t="s">
        <v>54</v>
      </c>
      <c r="AI162" t="s">
        <v>55</v>
      </c>
      <c r="AK162" t="s">
        <v>55</v>
      </c>
      <c r="AM162" t="s">
        <v>55</v>
      </c>
      <c r="AO162" t="s">
        <v>55</v>
      </c>
      <c r="AQ162" t="s">
        <v>54</v>
      </c>
      <c r="AR162">
        <v>9000</v>
      </c>
      <c r="AS162">
        <v>0.081</v>
      </c>
      <c r="AT162" t="s">
        <v>2633</v>
      </c>
      <c r="AU162">
        <v>120</v>
      </c>
      <c r="AW162" t="s">
        <v>2634</v>
      </c>
      <c r="AX162" t="s">
        <v>635</v>
      </c>
      <c r="AY162" t="s">
        <v>636</v>
      </c>
      <c r="AZ162" t="s">
        <v>2490</v>
      </c>
      <c r="BA162" t="s">
        <v>2635</v>
      </c>
      <c r="BD162" t="s">
        <v>1625</v>
      </c>
      <c r="BE162" t="s">
        <v>2490</v>
      </c>
      <c r="BG162" t="s">
        <v>1639</v>
      </c>
      <c r="BH162" t="s">
        <v>1640</v>
      </c>
      <c r="BJ162" s="3"/>
    </row>
    <row r="163" ht="25.5" customHeight="1" spans="1:62">
      <c r="A163" t="s">
        <v>2636</v>
      </c>
      <c r="B163" t="s">
        <v>1625</v>
      </c>
      <c r="C163" t="s">
        <v>2637</v>
      </c>
      <c r="D163" t="s">
        <v>1627</v>
      </c>
      <c r="F163" s="2"/>
      <c r="H163" t="s">
        <v>1663</v>
      </c>
      <c r="I163" t="s">
        <v>2638</v>
      </c>
      <c r="J163" t="s">
        <v>1644</v>
      </c>
      <c r="K163" s="3" t="str">
        <f>HYPERLINK("https://vm.tiktok.com/ZMkfejXYc/","https://vm.tiktok.com/ZMkfejXYc/")</f>
        <v>https://vm.tiktok.com/ZMkfejXYc/</v>
      </c>
      <c r="L163" t="s">
        <v>1630</v>
      </c>
      <c r="N163" s="3" t="str">
        <f>HYPERLINK("https://app.hypeauditor.com/my-network/influencer/23128244/analytics/tiktok/dibujosmel_colorp","https://app.hypeauditor.com/my-network/influencer/23128244/analytics/tiktok/dibujosmel_colorp")</f>
        <v>https://app.hypeauditor.com/my-network/influencer/23128244/analytics/tiktok/dibujosmel_colorp</v>
      </c>
      <c r="O163" s="3" t="str">
        <f>HYPERLINK("https://www.tiktok.com/@dibujosmel_colorp","https://www.tiktok.com/@dibujosmel_colorp")</f>
        <v>https://www.tiktok.com/@dibujosmel_colorp</v>
      </c>
      <c r="P163" t="s">
        <v>56</v>
      </c>
      <c r="Q163" t="s">
        <v>57</v>
      </c>
      <c r="R163" t="s">
        <v>1753</v>
      </c>
      <c r="S163" t="s">
        <v>54</v>
      </c>
      <c r="T163">
        <v>665900</v>
      </c>
      <c r="U163" t="s">
        <v>2639</v>
      </c>
      <c r="W163" t="s">
        <v>55</v>
      </c>
      <c r="Y163" t="s">
        <v>54</v>
      </c>
      <c r="AA163" t="s">
        <v>55</v>
      </c>
      <c r="AE163" t="s">
        <v>55</v>
      </c>
      <c r="AG163" t="s">
        <v>54</v>
      </c>
      <c r="AI163" t="s">
        <v>55</v>
      </c>
      <c r="AK163" t="s">
        <v>55</v>
      </c>
      <c r="AM163" t="s">
        <v>55</v>
      </c>
      <c r="AO163" t="s">
        <v>55</v>
      </c>
      <c r="AQ163" t="s">
        <v>54</v>
      </c>
      <c r="AR163">
        <v>60000</v>
      </c>
      <c r="AS163">
        <v>0.04</v>
      </c>
      <c r="AT163" t="s">
        <v>2109</v>
      </c>
      <c r="AU163">
        <v>120</v>
      </c>
      <c r="AW163" t="s">
        <v>2110</v>
      </c>
      <c r="AX163" t="s">
        <v>967</v>
      </c>
      <c r="AY163" t="s">
        <v>968</v>
      </c>
      <c r="AZ163" t="s">
        <v>2640</v>
      </c>
      <c r="BA163" t="s">
        <v>842</v>
      </c>
      <c r="BD163" t="s">
        <v>1638</v>
      </c>
      <c r="BE163" t="s">
        <v>2640</v>
      </c>
      <c r="BG163" t="s">
        <v>1639</v>
      </c>
      <c r="BH163" t="s">
        <v>1640</v>
      </c>
      <c r="BJ163" s="3" t="str">
        <f>HYPERLINK("https://vm.tiktok.com/ZMkfejXYc/","https://vm.tiktok.com/ZMkfejXYc/")</f>
        <v>https://vm.tiktok.com/ZMkfejXYc/</v>
      </c>
    </row>
    <row r="164" ht="25.5" customHeight="1" spans="1:62">
      <c r="A164" t="s">
        <v>2641</v>
      </c>
      <c r="B164" t="s">
        <v>1625</v>
      </c>
      <c r="C164" t="s">
        <v>2642</v>
      </c>
      <c r="F164" s="2"/>
      <c r="H164" t="s">
        <v>1806</v>
      </c>
      <c r="I164" t="s">
        <v>2643</v>
      </c>
      <c r="J164" t="s">
        <v>1644</v>
      </c>
      <c r="K164" s="3" t="str">
        <f>HYPERLINK("https://www.instagram.com/reel/DFv1lX6oAPw/?igsh=MTRpa2dhZjBrM2VjMQ==","https://www.instagram.com/reel/DFv1lX6oAPw/?igsh=MTRpa2dhZjBrM2VjMQ==")</f>
        <v>https://www.instagram.com/reel/DFv1lX6oAPw/?igsh=MTRpa2dhZjBrM2VjMQ==</v>
      </c>
      <c r="L164" t="s">
        <v>1630</v>
      </c>
      <c r="N164" s="3" t="str">
        <f>HYPERLINK("https://app.hypeauditor.com/my-network/influencer/3665476/analytics/instagram/chunksmedia","https://app.hypeauditor.com/my-network/influencer/3665476/analytics/instagram/chunksmedia")</f>
        <v>https://app.hypeauditor.com/my-network/influencer/3665476/analytics/instagram/chunksmedia</v>
      </c>
      <c r="O164" s="3"/>
      <c r="P164" t="s">
        <v>65</v>
      </c>
      <c r="Q164" t="s">
        <v>2644</v>
      </c>
      <c r="S164" t="s">
        <v>54</v>
      </c>
      <c r="T164">
        <v>76000</v>
      </c>
      <c r="U164" t="s">
        <v>55</v>
      </c>
      <c r="W164" t="s">
        <v>55</v>
      </c>
      <c r="Y164" t="s">
        <v>54</v>
      </c>
      <c r="AA164" t="s">
        <v>55</v>
      </c>
      <c r="AE164" t="s">
        <v>55</v>
      </c>
      <c r="AG164" t="s">
        <v>54</v>
      </c>
      <c r="AI164" t="s">
        <v>55</v>
      </c>
      <c r="AK164" t="s">
        <v>55</v>
      </c>
      <c r="AM164" t="s">
        <v>55</v>
      </c>
      <c r="AO164" t="s">
        <v>55</v>
      </c>
      <c r="AQ164" t="s">
        <v>54</v>
      </c>
      <c r="AR164">
        <v>20000</v>
      </c>
      <c r="AS164">
        <v>0.03</v>
      </c>
      <c r="AT164" t="s">
        <v>2645</v>
      </c>
      <c r="AU164">
        <v>120</v>
      </c>
      <c r="AW164" t="s">
        <v>2646</v>
      </c>
      <c r="AX164" t="s">
        <v>1410</v>
      </c>
      <c r="AY164" t="s">
        <v>1411</v>
      </c>
      <c r="AZ164" t="s">
        <v>2647</v>
      </c>
      <c r="BA164" t="s">
        <v>761</v>
      </c>
      <c r="BD164" t="s">
        <v>1638</v>
      </c>
      <c r="BE164" t="s">
        <v>2647</v>
      </c>
      <c r="BG164" t="s">
        <v>1639</v>
      </c>
      <c r="BH164" t="s">
        <v>1640</v>
      </c>
      <c r="BJ164" s="3" t="str">
        <f>HYPERLINK("https://www.instagram.com/reel/DFv1lX6oAPw/?igsh=MTRpa2dhZjBrM2VjMQ==","https://www.instagram.com/reel/DFv1lX6oAPw/?igsh=MTRpa2dhZjBrM2VjMQ==")</f>
        <v>https://www.instagram.com/reel/DFv1lX6oAPw/?igsh=MTRpa2dhZjBrM2VjMQ==</v>
      </c>
    </row>
    <row r="165" ht="25.5" customHeight="1" spans="1:62">
      <c r="A165" t="s">
        <v>2648</v>
      </c>
      <c r="B165" t="s">
        <v>1625</v>
      </c>
      <c r="C165" t="s">
        <v>2649</v>
      </c>
      <c r="D165" t="s">
        <v>1627</v>
      </c>
      <c r="F165" s="2"/>
      <c r="H165" t="s">
        <v>2473</v>
      </c>
      <c r="I165" t="s">
        <v>2650</v>
      </c>
      <c r="J165" t="s">
        <v>1629</v>
      </c>
      <c r="K165" s="3" t="str">
        <f>HYPERLINK("https://www.tiktok.com/t/ZP8Fa9daX/","https://www.tiktok.com/t/ZP8Fa9daX/")</f>
        <v>https://www.tiktok.com/t/ZP8Fa9daX/</v>
      </c>
      <c r="L165" t="s">
        <v>1630</v>
      </c>
      <c r="N165" s="3" t="str">
        <f>HYPERLINK("https://app.hypeauditor.com/my-network/influencer/23341639/analytics/tiktok/mercytechs","https://app.hypeauditor.com/my-network/influencer/23341639/analytics/tiktok/mercytechs")</f>
        <v>https://app.hypeauditor.com/my-network/influencer/23341639/analytics/tiktok/mercytechs</v>
      </c>
      <c r="O165" s="3" t="str">
        <f>HYPERLINK("https://www.tiktok.com/@mercytechs","https://www.tiktok.com/@mercytechs")</f>
        <v>https://www.tiktok.com/@mercytechs</v>
      </c>
      <c r="P165" t="s">
        <v>56</v>
      </c>
      <c r="Q165" t="s">
        <v>57</v>
      </c>
      <c r="R165" t="s">
        <v>1631</v>
      </c>
      <c r="S165" t="s">
        <v>54</v>
      </c>
      <c r="T165">
        <v>26100</v>
      </c>
      <c r="U165" t="s">
        <v>55</v>
      </c>
      <c r="W165" t="s">
        <v>55</v>
      </c>
      <c r="Y165" t="s">
        <v>54</v>
      </c>
      <c r="AA165" t="s">
        <v>55</v>
      </c>
      <c r="AE165" t="s">
        <v>55</v>
      </c>
      <c r="AG165" t="s">
        <v>54</v>
      </c>
      <c r="AI165" t="s">
        <v>55</v>
      </c>
      <c r="AK165" t="s">
        <v>55</v>
      </c>
      <c r="AM165" t="s">
        <v>55</v>
      </c>
      <c r="AO165" t="s">
        <v>55</v>
      </c>
      <c r="AQ165" t="s">
        <v>54</v>
      </c>
      <c r="AR165">
        <v>24000</v>
      </c>
      <c r="AS165">
        <v>0.04</v>
      </c>
      <c r="AT165" t="s">
        <v>2651</v>
      </c>
      <c r="AU165">
        <v>120</v>
      </c>
      <c r="AW165" t="s">
        <v>2652</v>
      </c>
      <c r="AX165" t="s">
        <v>600</v>
      </c>
      <c r="AY165" t="s">
        <v>601</v>
      </c>
      <c r="AZ165" t="s">
        <v>2521</v>
      </c>
      <c r="BA165" t="s">
        <v>2522</v>
      </c>
      <c r="BD165" t="s">
        <v>1638</v>
      </c>
      <c r="BE165" t="s">
        <v>2521</v>
      </c>
      <c r="BG165" t="s">
        <v>1639</v>
      </c>
      <c r="BH165" t="s">
        <v>1640</v>
      </c>
      <c r="BJ165" s="3" t="str">
        <f>HYPERLINK("https://www.tiktok.com/t/ZP8Fa9daX/","https://www.tiktok.com/t/ZP8Fa9daX/")</f>
        <v>https://www.tiktok.com/t/ZP8Fa9daX/</v>
      </c>
    </row>
    <row r="166" ht="25.5" customHeight="1" spans="1:62">
      <c r="A166" t="s">
        <v>2653</v>
      </c>
      <c r="B166" t="s">
        <v>1625</v>
      </c>
      <c r="C166" t="s">
        <v>1690</v>
      </c>
      <c r="D166" t="s">
        <v>1627</v>
      </c>
      <c r="F166" s="2"/>
      <c r="J166" t="s">
        <v>1644</v>
      </c>
      <c r="K166" s="3" t="str">
        <f>HYPERLINK("https://vm.tiktok.com/ZMkfecCur/","https://vm.tiktok.com/ZMkfecCur/")</f>
        <v>https://vm.tiktok.com/ZMkfecCur/</v>
      </c>
      <c r="L166" t="s">
        <v>1630</v>
      </c>
      <c r="N166" s="3"/>
      <c r="O166" s="3" t="str">
        <f>HYPERLINK("https://www.tiktok.com/@alextecnologia_","https://www.tiktok.com/@alextecnologia_")</f>
        <v>https://www.tiktok.com/@alextecnologia_</v>
      </c>
      <c r="P166" t="s">
        <v>56</v>
      </c>
      <c r="Q166" t="s">
        <v>57</v>
      </c>
      <c r="R166" t="s">
        <v>1753</v>
      </c>
      <c r="S166" t="s">
        <v>54</v>
      </c>
      <c r="T166">
        <v>95200</v>
      </c>
      <c r="U166" t="s">
        <v>55</v>
      </c>
      <c r="W166" t="s">
        <v>55</v>
      </c>
      <c r="Y166" t="s">
        <v>54</v>
      </c>
      <c r="AA166" t="s">
        <v>55</v>
      </c>
      <c r="AE166" t="s">
        <v>55</v>
      </c>
      <c r="AG166" t="s">
        <v>54</v>
      </c>
      <c r="AI166" t="s">
        <v>55</v>
      </c>
      <c r="AK166" t="s">
        <v>55</v>
      </c>
      <c r="AM166" t="s">
        <v>55</v>
      </c>
      <c r="AO166" t="s">
        <v>55</v>
      </c>
      <c r="AQ166" t="s">
        <v>54</v>
      </c>
      <c r="AR166">
        <v>12000</v>
      </c>
      <c r="AS166">
        <v>0.061</v>
      </c>
      <c r="AT166" t="s">
        <v>2654</v>
      </c>
      <c r="AU166">
        <v>120</v>
      </c>
      <c r="AW166" t="s">
        <v>2655</v>
      </c>
      <c r="AX166" t="s">
        <v>139</v>
      </c>
      <c r="AY166" t="s">
        <v>140</v>
      </c>
      <c r="AZ166" t="s">
        <v>2656</v>
      </c>
      <c r="BA166" t="s">
        <v>2657</v>
      </c>
      <c r="BD166" t="s">
        <v>1638</v>
      </c>
      <c r="BE166" t="s">
        <v>2656</v>
      </c>
      <c r="BG166" t="s">
        <v>1639</v>
      </c>
      <c r="BH166" t="s">
        <v>1640</v>
      </c>
      <c r="BJ166" s="3" t="str">
        <f>HYPERLINK("https://vm.tiktok.com/ZMkfecCur/","https://vm.tiktok.com/ZMkfecCur/")</f>
        <v>https://vm.tiktok.com/ZMkfecCur/</v>
      </c>
    </row>
    <row r="167" ht="25.5" customHeight="1" spans="1:62">
      <c r="A167" t="s">
        <v>2658</v>
      </c>
      <c r="B167" t="s">
        <v>1625</v>
      </c>
      <c r="C167" t="s">
        <v>2659</v>
      </c>
      <c r="D167" t="s">
        <v>1627</v>
      </c>
      <c r="F167" s="2"/>
      <c r="J167" t="s">
        <v>1644</v>
      </c>
      <c r="K167" s="3" t="str">
        <f>HYPERLINK("https://www.instagram.com/reel/DFKz4yVA0Ik/?igsh=ejl5bHAxcHBzY2pz","https://www.instagram.com/reel/DFKz4yVA0Ik/?igsh=ejl5bHAxcHBzY2pz")</f>
        <v>https://www.instagram.com/reel/DFKz4yVA0Ik/?igsh=ejl5bHAxcHBzY2pz</v>
      </c>
      <c r="L167" t="s">
        <v>1630</v>
      </c>
      <c r="N167" s="3" t="str">
        <f>HYPERLINK("https://app.hypeauditor.com/en/my-network/influencer/26622148/analytics/instagram/mirayatech","https://app.hypeauditor.com/en/my-network/influencer/26622148/analytics/instagram/mirayatech")</f>
        <v>https://app.hypeauditor.com/en/my-network/influencer/26622148/analytics/instagram/mirayatech</v>
      </c>
      <c r="O167" s="3" t="str">
        <f>HYPERLINK("https://www.instagram.com/mirayatech/","https://www.instagram.com/mirayatech/")</f>
        <v>https://www.instagram.com/mirayatech/</v>
      </c>
      <c r="P167" t="s">
        <v>65</v>
      </c>
      <c r="Q167" t="s">
        <v>116</v>
      </c>
      <c r="R167" t="s">
        <v>1631</v>
      </c>
      <c r="S167" t="s">
        <v>54</v>
      </c>
      <c r="T167">
        <v>78600</v>
      </c>
      <c r="U167" t="s">
        <v>55</v>
      </c>
      <c r="W167" t="s">
        <v>55</v>
      </c>
      <c r="Y167" t="s">
        <v>54</v>
      </c>
      <c r="AA167" t="s">
        <v>55</v>
      </c>
      <c r="AE167" t="s">
        <v>55</v>
      </c>
      <c r="AG167" t="s">
        <v>54</v>
      </c>
      <c r="AI167" t="s">
        <v>55</v>
      </c>
      <c r="AK167" t="s">
        <v>55</v>
      </c>
      <c r="AM167" t="s">
        <v>55</v>
      </c>
      <c r="AO167" t="s">
        <v>55</v>
      </c>
      <c r="AQ167" t="s">
        <v>54</v>
      </c>
      <c r="AR167">
        <v>28500</v>
      </c>
      <c r="AS167">
        <v>0.0199</v>
      </c>
      <c r="AT167" t="s">
        <v>2660</v>
      </c>
      <c r="AU167">
        <v>120</v>
      </c>
      <c r="AW167" t="s">
        <v>2661</v>
      </c>
      <c r="AX167" t="s">
        <v>2662</v>
      </c>
      <c r="AY167" t="s">
        <v>2663</v>
      </c>
      <c r="AZ167" t="s">
        <v>2664</v>
      </c>
      <c r="BA167" t="s">
        <v>2665</v>
      </c>
      <c r="BD167" t="s">
        <v>1638</v>
      </c>
      <c r="BE167" t="s">
        <v>2664</v>
      </c>
      <c r="BG167" t="s">
        <v>1639</v>
      </c>
      <c r="BH167" t="s">
        <v>1640</v>
      </c>
      <c r="BJ167" s="3" t="str">
        <f>HYPERLINK("https://www.instagram.com/reel/DFKz4yVA0Ik/?igsh=ejl5bHAxcHBzY2pz","https://www.instagram.com/reel/DFKz4yVA0Ik/?igsh=ejl5bHAxcHBzY2pz")</f>
        <v>https://www.instagram.com/reel/DFKz4yVA0Ik/?igsh=ejl5bHAxcHBzY2pz</v>
      </c>
    </row>
    <row r="168" ht="25.5" customHeight="1" spans="1:62">
      <c r="A168" t="s">
        <v>2666</v>
      </c>
      <c r="B168" t="s">
        <v>1638</v>
      </c>
      <c r="C168" t="s">
        <v>2610</v>
      </c>
      <c r="D168" t="s">
        <v>1627</v>
      </c>
      <c r="F168" s="2"/>
      <c r="H168" t="s">
        <v>1663</v>
      </c>
      <c r="I168" t="s">
        <v>2667</v>
      </c>
      <c r="J168" t="s">
        <v>1644</v>
      </c>
      <c r="K168" s="3" t="str">
        <f>HYPERLINK("https://www.instagram.com/p/DEhFVeNNWWw/?img_index=3","https://www.instagram.com/p/DEhFVeNNWWw/?img_index=3")</f>
        <v>https://www.instagram.com/p/DEhFVeNNWWw/?img_index=3</v>
      </c>
      <c r="L168" t="s">
        <v>1630</v>
      </c>
      <c r="N168" s="3" t="str">
        <f>HYPERLINK("https://app.hypeauditor.com/my-network/influencer/1648158/analytics/instagram/python4dev","https://app.hypeauditor.com/my-network/influencer/1648158/analytics/instagram/python4dev")</f>
        <v>https://app.hypeauditor.com/my-network/influencer/1648158/analytics/instagram/python4dev</v>
      </c>
      <c r="O168" s="3" t="str">
        <f>HYPERLINK("https://www.instagram.com/python4dev/","https://www.instagram.com/python4dev/")</f>
        <v>https://www.instagram.com/python4dev/</v>
      </c>
      <c r="P168" t="s">
        <v>65</v>
      </c>
      <c r="Q168" t="s">
        <v>66</v>
      </c>
      <c r="R168" t="s">
        <v>97</v>
      </c>
      <c r="S168" t="s">
        <v>54</v>
      </c>
      <c r="T168">
        <v>346300</v>
      </c>
      <c r="U168" t="s">
        <v>2668</v>
      </c>
      <c r="W168" t="s">
        <v>55</v>
      </c>
      <c r="Y168" t="s">
        <v>54</v>
      </c>
      <c r="AA168" t="s">
        <v>55</v>
      </c>
      <c r="AE168" t="s">
        <v>55</v>
      </c>
      <c r="AG168" t="s">
        <v>54</v>
      </c>
      <c r="AI168" t="s">
        <v>55</v>
      </c>
      <c r="AK168" t="s">
        <v>55</v>
      </c>
      <c r="AM168" t="s">
        <v>55</v>
      </c>
      <c r="AO168" t="s">
        <v>55</v>
      </c>
      <c r="AQ168" t="s">
        <v>54</v>
      </c>
      <c r="AR168">
        <v>44500</v>
      </c>
      <c r="AS168">
        <v>0.0054</v>
      </c>
      <c r="AT168" t="s">
        <v>2669</v>
      </c>
      <c r="AU168">
        <v>110</v>
      </c>
      <c r="AW168" t="s">
        <v>2670</v>
      </c>
      <c r="AX168" t="s">
        <v>1836</v>
      </c>
      <c r="AY168" t="s">
        <v>2671</v>
      </c>
      <c r="AZ168" t="s">
        <v>2672</v>
      </c>
      <c r="BA168" t="s">
        <v>2673</v>
      </c>
      <c r="BD168" t="s">
        <v>1638</v>
      </c>
      <c r="BE168" t="s">
        <v>2672</v>
      </c>
      <c r="BG168" t="s">
        <v>1639</v>
      </c>
      <c r="BH168" t="s">
        <v>1640</v>
      </c>
      <c r="BJ168" s="3" t="str">
        <f>HYPERLINK("https://www.instagram.com/p/DEhFVeNNWWw/?img_index=3","https://www.instagram.com/p/DEhFVeNNWWw/?img_index=3")</f>
        <v>https://www.instagram.com/p/DEhFVeNNWWw/?img_index=3</v>
      </c>
    </row>
    <row r="169" ht="25.5" customHeight="1" spans="1:62">
      <c r="A169" t="s">
        <v>2674</v>
      </c>
      <c r="B169" t="s">
        <v>1625</v>
      </c>
      <c r="C169" t="s">
        <v>2377</v>
      </c>
      <c r="F169" s="2"/>
      <c r="I169" t="s">
        <v>2675</v>
      </c>
      <c r="J169" t="s">
        <v>1629</v>
      </c>
      <c r="K169" s="3" t="str">
        <f>HYPERLINK("https://vm.tiktok.com/ZNeoK7mHn/","https://vm.tiktok.com/ZNeoK7mHn/")</f>
        <v>https://vm.tiktok.com/ZNeoK7mHn/</v>
      </c>
      <c r="L169" t="s">
        <v>1630</v>
      </c>
      <c r="N169" s="3" t="str">
        <f>HYPERLINK("https://app.hypeauditor.com/my-network/influencer/19332446/analytics/youtube/UCDeOHUnW6cr1CUimdGizVbA","https://app.hypeauditor.com/my-network/influencer/19332446/analytics/youtube/UCDeOHUnW6cr1CUimdGizVbA")</f>
        <v>https://app.hypeauditor.com/my-network/influencer/19332446/analytics/youtube/UCDeOHUnW6cr1CUimdGizVbA</v>
      </c>
      <c r="O169" s="3"/>
      <c r="P169" t="s">
        <v>56</v>
      </c>
      <c r="Q169" t="s">
        <v>423</v>
      </c>
      <c r="S169" t="s">
        <v>54</v>
      </c>
      <c r="W169" t="s">
        <v>55</v>
      </c>
      <c r="Y169" t="s">
        <v>54</v>
      </c>
      <c r="AA169" t="s">
        <v>55</v>
      </c>
      <c r="AE169" t="s">
        <v>55</v>
      </c>
      <c r="AG169" t="s">
        <v>54</v>
      </c>
      <c r="AI169" t="s">
        <v>55</v>
      </c>
      <c r="AK169" t="s">
        <v>55</v>
      </c>
      <c r="AM169" t="s">
        <v>55</v>
      </c>
      <c r="AO169" t="s">
        <v>55</v>
      </c>
      <c r="AQ169" t="s">
        <v>54</v>
      </c>
      <c r="AT169" t="s">
        <v>54</v>
      </c>
      <c r="AU169">
        <v>110</v>
      </c>
      <c r="AW169" t="s">
        <v>54</v>
      </c>
      <c r="BD169" t="s">
        <v>1638</v>
      </c>
      <c r="BG169" t="s">
        <v>1639</v>
      </c>
      <c r="BH169" t="s">
        <v>1640</v>
      </c>
      <c r="BJ169" s="3" t="str">
        <f>HYPERLINK("https://vm.tiktok.com/ZNeoK7mHn/","https://vm.tiktok.com/ZNeoK7mHn/")</f>
        <v>https://vm.tiktok.com/ZNeoK7mHn/</v>
      </c>
    </row>
    <row r="170" ht="25.5" customHeight="1" spans="1:62">
      <c r="A170" t="s">
        <v>2676</v>
      </c>
      <c r="B170" t="s">
        <v>1625</v>
      </c>
      <c r="C170" t="s">
        <v>2677</v>
      </c>
      <c r="F170" s="2"/>
      <c r="H170" t="s">
        <v>1762</v>
      </c>
      <c r="I170" t="s">
        <v>2678</v>
      </c>
      <c r="J170" t="s">
        <v>1644</v>
      </c>
      <c r="K170" s="3"/>
      <c r="L170" t="s">
        <v>1645</v>
      </c>
      <c r="M170" t="s">
        <v>2009</v>
      </c>
      <c r="N170" s="3" t="str">
        <f>HYPERLINK("https://app.hypeauditor.com/en/my-network/influencer/26700025/analytics/tiktok/techow","https://app.hypeauditor.com/en/my-network/influencer/26700025/analytics/tiktok/techow")</f>
        <v>https://app.hypeauditor.com/en/my-network/influencer/26700025/analytics/tiktok/techow</v>
      </c>
      <c r="O170" s="3" t="str">
        <f>HYPERLINK("https://www.tiktok.com/@techow","https://www.tiktok.com/@techow")</f>
        <v>https://www.tiktok.com/@techow</v>
      </c>
      <c r="P170" t="s">
        <v>56</v>
      </c>
      <c r="Q170" t="s">
        <v>57</v>
      </c>
      <c r="R170" t="s">
        <v>1631</v>
      </c>
      <c r="S170" t="s">
        <v>54</v>
      </c>
      <c r="W170" t="s">
        <v>55</v>
      </c>
      <c r="Y170" t="s">
        <v>54</v>
      </c>
      <c r="AA170" t="s">
        <v>55</v>
      </c>
      <c r="AE170" t="s">
        <v>55</v>
      </c>
      <c r="AG170" t="s">
        <v>54</v>
      </c>
      <c r="AI170" t="s">
        <v>55</v>
      </c>
      <c r="AK170" t="s">
        <v>55</v>
      </c>
      <c r="AM170" t="s">
        <v>55</v>
      </c>
      <c r="AO170" t="s">
        <v>55</v>
      </c>
      <c r="AQ170" t="s">
        <v>54</v>
      </c>
      <c r="AR170">
        <v>75000</v>
      </c>
      <c r="AS170">
        <v>0.0387</v>
      </c>
      <c r="AT170" t="s">
        <v>2679</v>
      </c>
      <c r="AU170">
        <v>100</v>
      </c>
      <c r="AW170" t="s">
        <v>2680</v>
      </c>
      <c r="AX170" t="s">
        <v>2681</v>
      </c>
      <c r="AY170" t="s">
        <v>2682</v>
      </c>
      <c r="AZ170" t="s">
        <v>2683</v>
      </c>
      <c r="BA170" t="s">
        <v>2684</v>
      </c>
      <c r="BD170" t="s">
        <v>1625</v>
      </c>
      <c r="BE170" t="s">
        <v>2683</v>
      </c>
      <c r="BG170" t="s">
        <v>1639</v>
      </c>
      <c r="BH170" t="s">
        <v>1640</v>
      </c>
      <c r="BJ170" s="3"/>
    </row>
    <row r="171" ht="25.5" customHeight="1" spans="1:62">
      <c r="A171" t="s">
        <v>153</v>
      </c>
      <c r="B171" t="s">
        <v>1701</v>
      </c>
      <c r="C171" t="s">
        <v>2481</v>
      </c>
      <c r="F171" s="2"/>
      <c r="H171" t="s">
        <v>2685</v>
      </c>
      <c r="J171" t="s">
        <v>1725</v>
      </c>
      <c r="K171" s="3"/>
      <c r="L171" t="s">
        <v>1630</v>
      </c>
      <c r="N171" s="3" t="str">
        <f>HYPERLINK("https://app.hypeauditor.com/my-network/influencer/215094/analytics/instagram/the.success.club","https://app.hypeauditor.com/my-network/influencer/215094/analytics/instagram/the.success.club")</f>
        <v>https://app.hypeauditor.com/my-network/influencer/215094/analytics/instagram/the.success.club</v>
      </c>
      <c r="O171" s="3" t="str">
        <f>HYPERLINK("https://www.instagram.com/the.success.club/","https://www.instagram.com/the.success.club/")</f>
        <v>https://www.instagram.com/the.success.club/</v>
      </c>
      <c r="P171" t="s">
        <v>65</v>
      </c>
      <c r="Q171" t="s">
        <v>66</v>
      </c>
      <c r="R171" t="s">
        <v>1631</v>
      </c>
      <c r="S171" t="s">
        <v>54</v>
      </c>
      <c r="T171">
        <v>1600000</v>
      </c>
      <c r="U171" t="s">
        <v>113</v>
      </c>
      <c r="W171" t="s">
        <v>55</v>
      </c>
      <c r="Y171" t="s">
        <v>54</v>
      </c>
      <c r="AA171" t="s">
        <v>55</v>
      </c>
      <c r="AE171" t="s">
        <v>55</v>
      </c>
      <c r="AG171" t="s">
        <v>54</v>
      </c>
      <c r="AI171" t="s">
        <v>55</v>
      </c>
      <c r="AK171" t="s">
        <v>55</v>
      </c>
      <c r="AM171" t="s">
        <v>55</v>
      </c>
      <c r="AO171" t="s">
        <v>55</v>
      </c>
      <c r="AQ171" t="s">
        <v>54</v>
      </c>
      <c r="AS171">
        <v>0.002</v>
      </c>
      <c r="AT171" t="s">
        <v>154</v>
      </c>
      <c r="AU171">
        <v>100</v>
      </c>
      <c r="AW171" t="s">
        <v>155</v>
      </c>
      <c r="AZ171" t="s">
        <v>156</v>
      </c>
      <c r="BA171" t="s">
        <v>157</v>
      </c>
      <c r="BB171" t="s">
        <v>80</v>
      </c>
      <c r="BD171" t="s">
        <v>1625</v>
      </c>
      <c r="BE171" t="s">
        <v>156</v>
      </c>
      <c r="BG171" t="s">
        <v>1639</v>
      </c>
      <c r="BH171" t="s">
        <v>1640</v>
      </c>
      <c r="BI171" t="s">
        <v>80</v>
      </c>
      <c r="BJ171" s="3"/>
    </row>
    <row r="172" ht="25.5" customHeight="1" spans="1:62">
      <c r="A172" t="s">
        <v>160</v>
      </c>
      <c r="B172" t="s">
        <v>1701</v>
      </c>
      <c r="C172" t="s">
        <v>2481</v>
      </c>
      <c r="F172" s="2"/>
      <c r="H172" t="s">
        <v>2685</v>
      </c>
      <c r="J172" t="s">
        <v>1725</v>
      </c>
      <c r="K172" s="3"/>
      <c r="L172" t="s">
        <v>1630</v>
      </c>
      <c r="N172" s="3" t="str">
        <f>HYPERLINK("https://app.hypeauditor.com/my-network/influencer/256924/analytics/instagram/incomehunters","https://app.hypeauditor.com/my-network/influencer/256924/analytics/instagram/incomehunters")</f>
        <v>https://app.hypeauditor.com/my-network/influencer/256924/analytics/instagram/incomehunters</v>
      </c>
      <c r="O172" s="3" t="str">
        <f>HYPERLINK("https://www.instagram.com/incomehunters/","https://www.instagram.com/incomehunters/")</f>
        <v>https://www.instagram.com/incomehunters/</v>
      </c>
      <c r="P172" t="s">
        <v>65</v>
      </c>
      <c r="Q172" t="s">
        <v>66</v>
      </c>
      <c r="R172" t="s">
        <v>1631</v>
      </c>
      <c r="S172" t="s">
        <v>54</v>
      </c>
      <c r="T172">
        <v>507000</v>
      </c>
      <c r="U172" t="s">
        <v>161</v>
      </c>
      <c r="W172" t="s">
        <v>55</v>
      </c>
      <c r="Y172" t="s">
        <v>54</v>
      </c>
      <c r="AA172" t="s">
        <v>55</v>
      </c>
      <c r="AE172" t="s">
        <v>55</v>
      </c>
      <c r="AG172" t="s">
        <v>54</v>
      </c>
      <c r="AI172" t="s">
        <v>55</v>
      </c>
      <c r="AK172" t="s">
        <v>55</v>
      </c>
      <c r="AM172" t="s">
        <v>55</v>
      </c>
      <c r="AO172" t="s">
        <v>55</v>
      </c>
      <c r="AQ172" t="s">
        <v>54</v>
      </c>
      <c r="AS172">
        <v>0.0027</v>
      </c>
      <c r="AT172" t="s">
        <v>162</v>
      </c>
      <c r="AU172">
        <v>100</v>
      </c>
      <c r="AW172" t="s">
        <v>163</v>
      </c>
      <c r="AZ172" t="s">
        <v>103</v>
      </c>
      <c r="BA172" t="s">
        <v>164</v>
      </c>
      <c r="BB172" t="s">
        <v>80</v>
      </c>
      <c r="BD172" t="s">
        <v>1830</v>
      </c>
      <c r="BE172" t="s">
        <v>103</v>
      </c>
      <c r="BG172" t="s">
        <v>1639</v>
      </c>
      <c r="BH172" t="s">
        <v>1640</v>
      </c>
      <c r="BI172" t="s">
        <v>80</v>
      </c>
      <c r="BJ172" s="3"/>
    </row>
    <row r="173" ht="25.5" customHeight="1" spans="1:62">
      <c r="A173" t="s">
        <v>2686</v>
      </c>
      <c r="B173" t="s">
        <v>1701</v>
      </c>
      <c r="C173" t="s">
        <v>2687</v>
      </c>
      <c r="F173" s="2"/>
      <c r="H173" t="s">
        <v>1713</v>
      </c>
      <c r="I173" t="s">
        <v>2688</v>
      </c>
      <c r="J173" t="s">
        <v>1644</v>
      </c>
      <c r="K173" s="3"/>
      <c r="L173" t="s">
        <v>1645</v>
      </c>
      <c r="N173" s="3" t="str">
        <f>HYPERLINK("https://app.hypeauditor.com/my-network/influencer/18232175/analytics/tiktok/simomattatech","https://app.hypeauditor.com/my-network/influencer/18232175/analytics/tiktok/simomattatech")</f>
        <v>https://app.hypeauditor.com/my-network/influencer/18232175/analytics/tiktok/simomattatech</v>
      </c>
      <c r="O173" s="3" t="str">
        <f>HYPERLINK("https://www.tiktok.com/@simomattatech","https://www.tiktok.com/@simomattatech")</f>
        <v>https://www.tiktok.com/@simomattatech</v>
      </c>
      <c r="P173" t="s">
        <v>56</v>
      </c>
      <c r="Q173" t="s">
        <v>57</v>
      </c>
      <c r="R173" t="s">
        <v>1703</v>
      </c>
      <c r="S173" t="s">
        <v>54</v>
      </c>
      <c r="T173">
        <v>31600</v>
      </c>
      <c r="U173" t="s">
        <v>55</v>
      </c>
      <c r="W173" t="s">
        <v>55</v>
      </c>
      <c r="Y173" t="s">
        <v>54</v>
      </c>
      <c r="AA173" t="s">
        <v>55</v>
      </c>
      <c r="AE173" t="s">
        <v>55</v>
      </c>
      <c r="AG173" t="s">
        <v>54</v>
      </c>
      <c r="AI173" t="s">
        <v>55</v>
      </c>
      <c r="AK173" t="s">
        <v>55</v>
      </c>
      <c r="AM173" t="s">
        <v>55</v>
      </c>
      <c r="AO173" t="s">
        <v>55</v>
      </c>
      <c r="AQ173" t="s">
        <v>54</v>
      </c>
      <c r="AR173">
        <v>19800</v>
      </c>
      <c r="AS173">
        <v>0.0147</v>
      </c>
      <c r="AT173" t="s">
        <v>216</v>
      </c>
      <c r="AU173">
        <v>100</v>
      </c>
      <c r="AW173" t="s">
        <v>217</v>
      </c>
      <c r="AX173" t="s">
        <v>218</v>
      </c>
      <c r="AY173" t="s">
        <v>219</v>
      </c>
      <c r="AZ173" t="s">
        <v>220</v>
      </c>
      <c r="BA173" t="s">
        <v>55</v>
      </c>
      <c r="BD173" t="s">
        <v>1638</v>
      </c>
      <c r="BE173" t="s">
        <v>220</v>
      </c>
      <c r="BG173" t="s">
        <v>1639</v>
      </c>
      <c r="BH173" t="s">
        <v>1640</v>
      </c>
      <c r="BJ173" s="3"/>
    </row>
    <row r="174" ht="25.5" customHeight="1" spans="1:62">
      <c r="A174" t="s">
        <v>2689</v>
      </c>
      <c r="B174" t="s">
        <v>1625</v>
      </c>
      <c r="C174" t="s">
        <v>2690</v>
      </c>
      <c r="D174" t="s">
        <v>1627</v>
      </c>
      <c r="F174" s="2"/>
      <c r="H174" t="s">
        <v>1663</v>
      </c>
      <c r="I174" t="s">
        <v>2691</v>
      </c>
      <c r="J174" t="s">
        <v>1644</v>
      </c>
      <c r="K174" s="3" t="str">
        <f>HYPERLINK("https://vm.tiktok.com/ZMkPWHpCf/","https://vm.tiktok.com/ZMkPWHpCf/")</f>
        <v>https://vm.tiktok.com/ZMkPWHpCf/</v>
      </c>
      <c r="L174" t="s">
        <v>1630</v>
      </c>
      <c r="N174" s="3" t="str">
        <f>HYPERLINK("https://app.hypeauditor.com/my-network/influencer/3674075/analytics/tiktok/soyenriquebarron","https://app.hypeauditor.com/my-network/influencer/3674075/analytics/tiktok/soyenriquebarron")</f>
        <v>https://app.hypeauditor.com/my-network/influencer/3674075/analytics/tiktok/soyenriquebarron</v>
      </c>
      <c r="O174" s="3" t="str">
        <f>HYPERLINK("https://www.tiktok.com/@soyenriquebarron","https://www.tiktok.com/@soyenriquebarron")</f>
        <v>https://www.tiktok.com/@soyenriquebarron</v>
      </c>
      <c r="P174" t="s">
        <v>56</v>
      </c>
      <c r="Q174" t="s">
        <v>57</v>
      </c>
      <c r="R174" t="s">
        <v>1631</v>
      </c>
      <c r="S174" t="s">
        <v>54</v>
      </c>
      <c r="T174">
        <v>58900</v>
      </c>
      <c r="U174" t="s">
        <v>55</v>
      </c>
      <c r="W174" t="s">
        <v>55</v>
      </c>
      <c r="Y174" t="s">
        <v>54</v>
      </c>
      <c r="AA174" t="s">
        <v>55</v>
      </c>
      <c r="AE174" t="s">
        <v>55</v>
      </c>
      <c r="AG174" t="s">
        <v>54</v>
      </c>
      <c r="AI174" t="s">
        <v>55</v>
      </c>
      <c r="AK174" t="s">
        <v>55</v>
      </c>
      <c r="AM174" t="s">
        <v>55</v>
      </c>
      <c r="AO174" t="s">
        <v>55</v>
      </c>
      <c r="AQ174" t="s">
        <v>54</v>
      </c>
      <c r="AR174">
        <v>20000</v>
      </c>
      <c r="AS174">
        <v>0.04</v>
      </c>
      <c r="AT174" t="s">
        <v>2692</v>
      </c>
      <c r="AU174">
        <v>100</v>
      </c>
      <c r="AW174" t="s">
        <v>2693</v>
      </c>
      <c r="AX174" t="s">
        <v>600</v>
      </c>
      <c r="AY174" t="s">
        <v>601</v>
      </c>
      <c r="AZ174" t="s">
        <v>2521</v>
      </c>
      <c r="BA174" t="s">
        <v>2522</v>
      </c>
      <c r="BD174" t="s">
        <v>1638</v>
      </c>
      <c r="BE174" t="s">
        <v>2521</v>
      </c>
      <c r="BG174" t="s">
        <v>1639</v>
      </c>
      <c r="BH174" t="s">
        <v>1640</v>
      </c>
      <c r="BJ174" s="3" t="str">
        <f>HYPERLINK("https://vm.tiktok.com/ZMkPWHpCf/","https://vm.tiktok.com/ZMkPWHpCf/")</f>
        <v>https://vm.tiktok.com/ZMkPWHpCf/</v>
      </c>
    </row>
    <row r="175" ht="25.5" customHeight="1" spans="1:62">
      <c r="A175" t="s">
        <v>2694</v>
      </c>
      <c r="B175" t="s">
        <v>1830</v>
      </c>
      <c r="C175" t="s">
        <v>2695</v>
      </c>
      <c r="D175" t="s">
        <v>1627</v>
      </c>
      <c r="F175" s="2"/>
      <c r="H175" t="s">
        <v>1663</v>
      </c>
      <c r="J175" t="s">
        <v>1644</v>
      </c>
      <c r="K175" s="3" t="str">
        <f>HYPERLINK("https://www.instagram.com/reel/DEhynMFsJtn/","https://www.instagram.com/reel/DEhynMFsJtn/")</f>
        <v>https://www.instagram.com/reel/DEhynMFsJtn/</v>
      </c>
      <c r="L175" t="s">
        <v>1630</v>
      </c>
      <c r="N175" s="3"/>
      <c r="O175" s="3" t="str">
        <f>HYPERLINK("https://www.instagram.com/p/DEhynMFsJtn/","https://www.instagram.com/p/DEhynMFsJtn/")</f>
        <v>https://www.instagram.com/p/DEhynMFsJtn/</v>
      </c>
      <c r="P175" t="s">
        <v>65</v>
      </c>
      <c r="Q175" t="s">
        <v>116</v>
      </c>
      <c r="R175" t="s">
        <v>1779</v>
      </c>
      <c r="S175" t="s">
        <v>54</v>
      </c>
      <c r="T175">
        <v>27000</v>
      </c>
      <c r="U175" t="s">
        <v>55</v>
      </c>
      <c r="W175" t="s">
        <v>55</v>
      </c>
      <c r="Y175" t="s">
        <v>54</v>
      </c>
      <c r="AA175" t="s">
        <v>55</v>
      </c>
      <c r="AE175" t="s">
        <v>55</v>
      </c>
      <c r="AG175" t="s">
        <v>54</v>
      </c>
      <c r="AI175" t="s">
        <v>55</v>
      </c>
      <c r="AK175" t="s">
        <v>55</v>
      </c>
      <c r="AM175" t="s">
        <v>55</v>
      </c>
      <c r="AO175" t="s">
        <v>55</v>
      </c>
      <c r="AQ175" t="s">
        <v>54</v>
      </c>
      <c r="AR175">
        <v>30000</v>
      </c>
      <c r="AS175">
        <v>0.027</v>
      </c>
      <c r="AT175" t="s">
        <v>2633</v>
      </c>
      <c r="AU175">
        <v>100</v>
      </c>
      <c r="AW175" t="s">
        <v>2634</v>
      </c>
      <c r="AX175" t="s">
        <v>2161</v>
      </c>
      <c r="AY175" t="s">
        <v>2696</v>
      </c>
      <c r="AZ175" t="s">
        <v>2697</v>
      </c>
      <c r="BA175" t="s">
        <v>2698</v>
      </c>
      <c r="BD175" t="s">
        <v>1638</v>
      </c>
      <c r="BE175" t="s">
        <v>2697</v>
      </c>
      <c r="BG175" t="s">
        <v>1639</v>
      </c>
      <c r="BH175" t="s">
        <v>1640</v>
      </c>
      <c r="BJ175" s="3" t="str">
        <f>HYPERLINK("https://www.instagram.com/reel/DEhynMFsJtn/","https://www.instagram.com/reel/DEhynMFsJtn/")</f>
        <v>https://www.instagram.com/reel/DEhynMFsJtn/</v>
      </c>
    </row>
    <row r="176" ht="25.5" customHeight="1" spans="1:62">
      <c r="A176" t="s">
        <v>2699</v>
      </c>
      <c r="B176" t="s">
        <v>1625</v>
      </c>
      <c r="C176" t="s">
        <v>2700</v>
      </c>
      <c r="D176" t="s">
        <v>1627</v>
      </c>
      <c r="F176" s="2">
        <v>45667</v>
      </c>
      <c r="H176" t="s">
        <v>1663</v>
      </c>
      <c r="I176" t="s">
        <v>1664</v>
      </c>
      <c r="J176" t="s">
        <v>1644</v>
      </c>
      <c r="K176" s="3" t="str">
        <f>HYPERLINK("https://vm.tiktok.com/ZNeKmVapt/","https://vm.tiktok.com/ZNeKmVapt/")</f>
        <v>https://vm.tiktok.com/ZNeKmVapt/</v>
      </c>
      <c r="L176" t="s">
        <v>1630</v>
      </c>
      <c r="N176" s="3" t="str">
        <f>HYPERLINK("https://app.hypeauditor.com/my-network/influencer/30902526/analytics/tiktok/inversores_unidos","https://app.hypeauditor.com/my-network/influencer/30902526/analytics/tiktok/inversores_unidos")</f>
        <v>https://app.hypeauditor.com/my-network/influencer/30902526/analytics/tiktok/inversores_unidos</v>
      </c>
      <c r="O176" s="3" t="str">
        <f>HYPERLINK("https://www.tiktok.com/@inversores_unidos?lang=en","https://www.tiktok.com/@inversores_unidos?lang=en")</f>
        <v>https://www.tiktok.com/@inversores_unidos?lang=en</v>
      </c>
      <c r="P176" t="s">
        <v>56</v>
      </c>
      <c r="Q176" t="s">
        <v>57</v>
      </c>
      <c r="R176" t="s">
        <v>1753</v>
      </c>
      <c r="S176" t="s">
        <v>54</v>
      </c>
      <c r="T176">
        <v>702700</v>
      </c>
      <c r="U176" t="s">
        <v>2701</v>
      </c>
      <c r="W176" t="s">
        <v>55</v>
      </c>
      <c r="Y176" t="s">
        <v>54</v>
      </c>
      <c r="AA176" t="s">
        <v>55</v>
      </c>
      <c r="AE176" t="s">
        <v>55</v>
      </c>
      <c r="AG176" t="s">
        <v>54</v>
      </c>
      <c r="AI176" t="s">
        <v>55</v>
      </c>
      <c r="AK176" t="s">
        <v>55</v>
      </c>
      <c r="AM176" t="s">
        <v>55</v>
      </c>
      <c r="AO176" t="s">
        <v>55</v>
      </c>
      <c r="AQ176" t="s">
        <v>54</v>
      </c>
      <c r="AR176">
        <v>20000</v>
      </c>
      <c r="AS176">
        <v>0.04</v>
      </c>
      <c r="AT176" t="s">
        <v>2692</v>
      </c>
      <c r="AU176">
        <v>100</v>
      </c>
      <c r="AW176" t="s">
        <v>2693</v>
      </c>
      <c r="AX176" t="s">
        <v>600</v>
      </c>
      <c r="AY176" t="s">
        <v>601</v>
      </c>
      <c r="AZ176" t="s">
        <v>2521</v>
      </c>
      <c r="BA176" t="s">
        <v>2522</v>
      </c>
      <c r="BD176" t="s">
        <v>1638</v>
      </c>
      <c r="BE176" t="s">
        <v>2521</v>
      </c>
      <c r="BG176" t="s">
        <v>1639</v>
      </c>
      <c r="BH176" t="s">
        <v>1640</v>
      </c>
      <c r="BJ176" s="3" t="str">
        <f>HYPERLINK("https://vm.tiktok.com/ZNeKmVapt/","https://vm.tiktok.com/ZNeKmVapt/")</f>
        <v>https://vm.tiktok.com/ZNeKmVapt/</v>
      </c>
    </row>
    <row r="177" ht="25.5" customHeight="1" spans="1:62">
      <c r="A177" t="s">
        <v>2702</v>
      </c>
      <c r="B177" t="s">
        <v>1625</v>
      </c>
      <c r="C177" t="s">
        <v>2351</v>
      </c>
      <c r="D177" t="s">
        <v>1627</v>
      </c>
      <c r="F177" s="2"/>
      <c r="J177" t="s">
        <v>65</v>
      </c>
      <c r="K177" s="3" t="str">
        <f>HYPERLINK("https://www.instagram.com/p/DEkaZDKo-U5/","https://www.instagram.com/p/DEkaZDKo-U5/")</f>
        <v>https://www.instagram.com/p/DEkaZDKo-U5/</v>
      </c>
      <c r="L177" t="s">
        <v>1630</v>
      </c>
      <c r="N177" s="3" t="str">
        <f>HYPERLINK("https://app.hypeauditor.com/my-network/influencer/1364435/analytics/instagram/bestdreamsetup","https://app.hypeauditor.com/my-network/influencer/1364435/analytics/instagram/bestdreamsetup")</f>
        <v>https://app.hypeauditor.com/my-network/influencer/1364435/analytics/instagram/bestdreamsetup</v>
      </c>
      <c r="O177" s="3" t="str">
        <f>HYPERLINK("https://www.instagram.com/bestdreamsetup/","https://www.instagram.com/bestdreamsetup/")</f>
        <v>https://www.instagram.com/bestdreamsetup/</v>
      </c>
      <c r="P177" t="s">
        <v>65</v>
      </c>
      <c r="Q177" t="s">
        <v>116</v>
      </c>
      <c r="R177" t="s">
        <v>1887</v>
      </c>
      <c r="S177" t="s">
        <v>54</v>
      </c>
      <c r="T177">
        <v>190000</v>
      </c>
      <c r="U177" t="s">
        <v>2703</v>
      </c>
      <c r="W177" t="s">
        <v>55</v>
      </c>
      <c r="Y177" t="s">
        <v>54</v>
      </c>
      <c r="AA177" t="s">
        <v>55</v>
      </c>
      <c r="AE177" t="s">
        <v>55</v>
      </c>
      <c r="AG177" t="s">
        <v>54</v>
      </c>
      <c r="AI177" t="s">
        <v>55</v>
      </c>
      <c r="AK177" t="s">
        <v>55</v>
      </c>
      <c r="AM177" t="s">
        <v>55</v>
      </c>
      <c r="AO177" t="s">
        <v>55</v>
      </c>
      <c r="AQ177" t="s">
        <v>54</v>
      </c>
      <c r="AR177">
        <v>20000</v>
      </c>
      <c r="AS177">
        <v>0.0086</v>
      </c>
      <c r="AT177" t="s">
        <v>2704</v>
      </c>
      <c r="AU177">
        <v>100</v>
      </c>
      <c r="AW177" t="s">
        <v>2705</v>
      </c>
      <c r="AX177" t="s">
        <v>600</v>
      </c>
      <c r="AY177" t="s">
        <v>601</v>
      </c>
      <c r="AZ177" t="s">
        <v>2706</v>
      </c>
      <c r="BA177" t="s">
        <v>2707</v>
      </c>
      <c r="BD177" t="s">
        <v>1638</v>
      </c>
      <c r="BE177" t="s">
        <v>2706</v>
      </c>
      <c r="BG177" t="s">
        <v>1639</v>
      </c>
      <c r="BH177" t="s">
        <v>1640</v>
      </c>
      <c r="BJ177" s="3" t="str">
        <f>HYPERLINK("https://www.instagram.com/p/DEkaZDKo-U5/","https://www.instagram.com/p/DEkaZDKo-U5/")</f>
        <v>https://www.instagram.com/p/DEkaZDKo-U5/</v>
      </c>
    </row>
    <row r="178" ht="25.5" customHeight="1" spans="1:62">
      <c r="A178" t="s">
        <v>2492</v>
      </c>
      <c r="B178" t="s">
        <v>1625</v>
      </c>
      <c r="F178" s="2"/>
      <c r="H178" t="s">
        <v>1663</v>
      </c>
      <c r="K178" s="3" t="str">
        <f>HYPERLINK("https://x.com/FactPoint/status/1885328788046643487?t=eNapbIbfbCvC-raEr7EwEQ&amp;s=09","https://x.com/FactPoint/status/1885328788046643487?t=eNapbIbfbCvC-raEr7EwEQ&amp;s=09")</f>
        <v>https://x.com/FactPoint/status/1885328788046643487?t=eNapbIbfbCvC-raEr7EwEQ&amp;s=09</v>
      </c>
      <c r="L178" t="s">
        <v>1630</v>
      </c>
      <c r="N178" s="3" t="str">
        <f>HYPERLINK("https://app.hypeauditor.com/my-network/influencer/19866380/analytics/twitter/factpoint","https://app.hypeauditor.com/my-network/influencer/19866380/analytics/twitter/factpoint")</f>
        <v>https://app.hypeauditor.com/my-network/influencer/19866380/analytics/twitter/factpoint</v>
      </c>
      <c r="O178" s="3" t="str">
        <f>HYPERLINK("https://x.com/factpoint","https://x.com/factpoint")</f>
        <v>https://x.com/factpoint</v>
      </c>
      <c r="P178" t="s">
        <v>1816</v>
      </c>
      <c r="Q178" t="s">
        <v>1817</v>
      </c>
      <c r="R178" t="s">
        <v>1631</v>
      </c>
      <c r="S178" t="s">
        <v>54</v>
      </c>
      <c r="W178" t="s">
        <v>55</v>
      </c>
      <c r="Y178" t="s">
        <v>54</v>
      </c>
      <c r="AA178" t="s">
        <v>55</v>
      </c>
      <c r="AE178" t="s">
        <v>55</v>
      </c>
      <c r="AG178" t="s">
        <v>54</v>
      </c>
      <c r="AI178" t="s">
        <v>55</v>
      </c>
      <c r="AK178" t="s">
        <v>55</v>
      </c>
      <c r="AM178" t="s">
        <v>55</v>
      </c>
      <c r="AO178" t="s">
        <v>55</v>
      </c>
      <c r="AQ178" t="s">
        <v>54</v>
      </c>
      <c r="AT178" t="s">
        <v>54</v>
      </c>
      <c r="AU178">
        <v>100</v>
      </c>
      <c r="AW178" t="s">
        <v>54</v>
      </c>
      <c r="BD178" t="s">
        <v>1638</v>
      </c>
      <c r="BG178" t="s">
        <v>1639</v>
      </c>
      <c r="BH178" t="s">
        <v>1640</v>
      </c>
      <c r="BI178" t="s">
        <v>2492</v>
      </c>
      <c r="BJ178" s="3" t="str">
        <f>HYPERLINK("https://x.com/FactPoint/status/1885328788046643487?t=eNapbIbfbCvC-raEr7EwEQ&amp;s=09","https://x.com/FactPoint/status/1885328788046643487?t=eNapbIbfbCvC-raEr7EwEQ&amp;s=09")</f>
        <v>https://x.com/FactPoint/status/1885328788046643487?t=eNapbIbfbCvC-raEr7EwEQ&amp;s=09</v>
      </c>
    </row>
    <row r="179" ht="25.5" customHeight="1" spans="1:62">
      <c r="A179" t="s">
        <v>2708</v>
      </c>
      <c r="B179" t="s">
        <v>1701</v>
      </c>
      <c r="C179" t="s">
        <v>2709</v>
      </c>
      <c r="D179" t="s">
        <v>1627</v>
      </c>
      <c r="F179" s="2">
        <v>45664</v>
      </c>
      <c r="J179" t="s">
        <v>1644</v>
      </c>
      <c r="K179" s="3" t="str">
        <f>HYPERLINK("https://vt.tiktok.com/ZS65pqdCW/","https://vt.tiktok.com/ZS65pqdCW/")</f>
        <v>https://vt.tiktok.com/ZS65pqdCW/</v>
      </c>
      <c r="L179" t="s">
        <v>1630</v>
      </c>
      <c r="N179" s="3" t="str">
        <f>HYPERLINK("https://app.hypeauditor.com/my-network/influencer/33240827/analytics/tiktok/void_tech96","https://app.hypeauditor.com/my-network/influencer/33240827/analytics/tiktok/void_tech96")</f>
        <v>https://app.hypeauditor.com/my-network/influencer/33240827/analytics/tiktok/void_tech96</v>
      </c>
      <c r="O179" s="3" t="str">
        <f>HYPERLINK("https://www.tiktok.com/@void_tech96","https://www.tiktok.com/@void_tech96")</f>
        <v>https://www.tiktok.com/@void_tech96</v>
      </c>
      <c r="P179" t="s">
        <v>56</v>
      </c>
      <c r="Q179" t="s">
        <v>57</v>
      </c>
      <c r="R179" t="s">
        <v>1913</v>
      </c>
      <c r="S179" t="s">
        <v>54</v>
      </c>
      <c r="T179">
        <v>4459</v>
      </c>
      <c r="U179" t="s">
        <v>55</v>
      </c>
      <c r="W179" t="s">
        <v>55</v>
      </c>
      <c r="Y179" t="s">
        <v>54</v>
      </c>
      <c r="AA179" t="s">
        <v>55</v>
      </c>
      <c r="AE179" t="s">
        <v>55</v>
      </c>
      <c r="AG179" t="s">
        <v>54</v>
      </c>
      <c r="AI179" t="s">
        <v>55</v>
      </c>
      <c r="AK179" t="s">
        <v>55</v>
      </c>
      <c r="AM179" t="s">
        <v>55</v>
      </c>
      <c r="AO179" t="s">
        <v>55</v>
      </c>
      <c r="AQ179" t="s">
        <v>54</v>
      </c>
      <c r="AR179">
        <v>8000</v>
      </c>
      <c r="AS179">
        <v>0.0939</v>
      </c>
      <c r="AT179" t="s">
        <v>2710</v>
      </c>
      <c r="AU179">
        <v>100</v>
      </c>
      <c r="AW179" t="s">
        <v>2711</v>
      </c>
      <c r="AX179" t="s">
        <v>1516</v>
      </c>
      <c r="AY179" t="s">
        <v>1517</v>
      </c>
      <c r="AZ179" t="s">
        <v>1876</v>
      </c>
      <c r="BA179" t="s">
        <v>2712</v>
      </c>
      <c r="BD179" t="s">
        <v>1638</v>
      </c>
      <c r="BE179" t="s">
        <v>1876</v>
      </c>
      <c r="BG179" t="s">
        <v>1639</v>
      </c>
      <c r="BH179" t="s">
        <v>1640</v>
      </c>
      <c r="BJ179" s="3" t="str">
        <f>HYPERLINK("https://vt.tiktok.com/ZS65pqdCW/","https://vt.tiktok.com/ZS65pqdCW/")</f>
        <v>https://vt.tiktok.com/ZS65pqdCW/</v>
      </c>
    </row>
    <row r="180" ht="25.5" customHeight="1" spans="1:62">
      <c r="A180" t="s">
        <v>2713</v>
      </c>
      <c r="B180" t="s">
        <v>1701</v>
      </c>
      <c r="C180" t="s">
        <v>2714</v>
      </c>
      <c r="D180" t="s">
        <v>1627</v>
      </c>
      <c r="F180" s="2"/>
      <c r="H180" t="s">
        <v>1900</v>
      </c>
      <c r="I180" t="s">
        <v>2715</v>
      </c>
      <c r="J180" t="s">
        <v>1644</v>
      </c>
      <c r="K180" s="3" t="str">
        <f>HYPERLINK("https://www.tiktok.com/@alexcraviotto/video/7460503803901562144?_r=1&amp;_t=ZG-8t7BPppeMIS","https://www.tiktok.com/@alexcraviotto/video/7460503803901562144?_r=1&amp;_t=ZG-8t7BPppeMIS")</f>
        <v>https://www.tiktok.com/@alexcraviotto/video/7460503803901562144?_r=1&amp;_t=ZG-8t7BPppeMIS</v>
      </c>
      <c r="L180" t="s">
        <v>1630</v>
      </c>
      <c r="N180" s="3" t="str">
        <f>HYPERLINK("https://app.hypeauditor.com/my-network/influencer/32715182/analytics/tiktok/alexcraviotto","https://app.hypeauditor.com/my-network/influencer/32715182/analytics/tiktok/alexcraviotto")</f>
        <v>https://app.hypeauditor.com/my-network/influencer/32715182/analytics/tiktok/alexcraviotto</v>
      </c>
      <c r="O180" s="3" t="str">
        <f>HYPERLINK("https://www.tiktok.com/@alexcraviotto","https://www.tiktok.com/@alexcraviotto")</f>
        <v>https://www.tiktok.com/@alexcraviotto</v>
      </c>
      <c r="P180" t="s">
        <v>56</v>
      </c>
      <c r="Q180" t="s">
        <v>57</v>
      </c>
      <c r="R180" t="s">
        <v>1652</v>
      </c>
      <c r="S180" t="s">
        <v>54</v>
      </c>
      <c r="T180">
        <v>38400</v>
      </c>
      <c r="U180" t="s">
        <v>55</v>
      </c>
      <c r="W180" t="s">
        <v>55</v>
      </c>
      <c r="Y180" t="s">
        <v>54</v>
      </c>
      <c r="AA180" t="s">
        <v>55</v>
      </c>
      <c r="AE180" t="s">
        <v>55</v>
      </c>
      <c r="AG180" t="s">
        <v>54</v>
      </c>
      <c r="AI180" t="s">
        <v>55</v>
      </c>
      <c r="AK180" t="s">
        <v>55</v>
      </c>
      <c r="AM180" t="s">
        <v>55</v>
      </c>
      <c r="AO180" t="s">
        <v>55</v>
      </c>
      <c r="AQ180" t="s">
        <v>54</v>
      </c>
      <c r="AR180">
        <v>10000</v>
      </c>
      <c r="AS180">
        <v>0.0586</v>
      </c>
      <c r="AT180" t="s">
        <v>2716</v>
      </c>
      <c r="AU180">
        <v>100</v>
      </c>
      <c r="AW180" t="s">
        <v>2717</v>
      </c>
      <c r="AX180" t="s">
        <v>139</v>
      </c>
      <c r="AY180" t="s">
        <v>140</v>
      </c>
      <c r="AZ180" t="s">
        <v>2718</v>
      </c>
      <c r="BA180" t="s">
        <v>2719</v>
      </c>
      <c r="BD180" t="s">
        <v>1638</v>
      </c>
      <c r="BE180" t="s">
        <v>2718</v>
      </c>
      <c r="BG180" t="s">
        <v>1639</v>
      </c>
      <c r="BH180" t="s">
        <v>1640</v>
      </c>
      <c r="BJ180" s="3" t="str">
        <f>HYPERLINK("https://www.tiktok.com/@alexcraviotto/video/7460503803901562144?_r=1&amp;_t=ZG-8t7BPppeMIS","https://www.tiktok.com/@alexcraviotto/video/7460503803901562144?_r=1&amp;_t=ZG-8t7BPppeMIS")</f>
        <v>https://www.tiktok.com/@alexcraviotto/video/7460503803901562144?_r=1&amp;_t=ZG-8t7BPppeMIS</v>
      </c>
    </row>
    <row r="181" ht="25.5" customHeight="1" spans="1:62">
      <c r="A181" t="s">
        <v>2720</v>
      </c>
      <c r="B181" t="s">
        <v>1701</v>
      </c>
      <c r="C181" t="s">
        <v>2721</v>
      </c>
      <c r="D181" t="s">
        <v>1627</v>
      </c>
      <c r="F181" s="2"/>
      <c r="H181" t="s">
        <v>2124</v>
      </c>
      <c r="J181" t="s">
        <v>1644</v>
      </c>
      <c r="K181" s="3" t="str">
        <f>HYPERLINK("https://www.instagram.com/p/DE7PYE8RmPb/?img_index=1","https://www.instagram.com/p/DE7PYE8RmPb/?img_index=1")</f>
        <v>https://www.instagram.com/p/DE7PYE8RmPb/?img_index=1</v>
      </c>
      <c r="L181" t="s">
        <v>1630</v>
      </c>
      <c r="N181" s="3" t="str">
        <f>HYPERLINK("https://app.hypeauditor.com/my-network/influencer/29668350/analytics/tiktok/closertech","https://app.hypeauditor.com/my-network/influencer/29668350/analytics/tiktok/closertech")</f>
        <v>https://app.hypeauditor.com/my-network/influencer/29668350/analytics/tiktok/closertech</v>
      </c>
      <c r="O181" s="3" t="str">
        <f>HYPERLINK("https://www.instagram.com/closertech1/","https://www.instagram.com/closertech1/")</f>
        <v>https://www.instagram.com/closertech1/</v>
      </c>
      <c r="P181" t="s">
        <v>65</v>
      </c>
      <c r="Q181" t="s">
        <v>66</v>
      </c>
      <c r="R181" t="s">
        <v>1753</v>
      </c>
      <c r="S181" t="s">
        <v>54</v>
      </c>
      <c r="T181">
        <v>158100</v>
      </c>
      <c r="U181" t="s">
        <v>1112</v>
      </c>
      <c r="W181" t="s">
        <v>55</v>
      </c>
      <c r="Y181" t="s">
        <v>54</v>
      </c>
      <c r="AA181" t="s">
        <v>55</v>
      </c>
      <c r="AE181" t="s">
        <v>55</v>
      </c>
      <c r="AG181" t="s">
        <v>54</v>
      </c>
      <c r="AI181" t="s">
        <v>55</v>
      </c>
      <c r="AK181" t="s">
        <v>55</v>
      </c>
      <c r="AM181" t="s">
        <v>55</v>
      </c>
      <c r="AO181" t="s">
        <v>55</v>
      </c>
      <c r="AQ181" t="s">
        <v>54</v>
      </c>
      <c r="AR181">
        <v>25900</v>
      </c>
      <c r="AS181">
        <v>0.031</v>
      </c>
      <c r="AT181" t="s">
        <v>2722</v>
      </c>
      <c r="AU181">
        <v>100</v>
      </c>
      <c r="AW181" t="s">
        <v>2723</v>
      </c>
      <c r="AX181" t="s">
        <v>1469</v>
      </c>
      <c r="AY181" t="s">
        <v>2724</v>
      </c>
      <c r="AZ181" t="s">
        <v>1917</v>
      </c>
      <c r="BA181" t="s">
        <v>2725</v>
      </c>
      <c r="BD181" t="s">
        <v>1638</v>
      </c>
      <c r="BE181" t="s">
        <v>1917</v>
      </c>
      <c r="BG181" t="s">
        <v>1639</v>
      </c>
      <c r="BH181" t="s">
        <v>1640</v>
      </c>
      <c r="BJ181" s="3" t="str">
        <f>HYPERLINK("https://www.instagram.com/p/DE7PYE8RmPb/?img_index=1","https://www.instagram.com/p/DE7PYE8RmPb/?img_index=1")</f>
        <v>https://www.instagram.com/p/DE7PYE8RmPb/?img_index=1</v>
      </c>
    </row>
    <row r="182" ht="25.5" customHeight="1" spans="1:62">
      <c r="A182" t="s">
        <v>2726</v>
      </c>
      <c r="B182" t="s">
        <v>1625</v>
      </c>
      <c r="C182" t="s">
        <v>2727</v>
      </c>
      <c r="F182" s="2"/>
      <c r="H182" t="s">
        <v>2281</v>
      </c>
      <c r="I182" t="s">
        <v>2728</v>
      </c>
      <c r="J182" t="s">
        <v>1644</v>
      </c>
      <c r="K182" s="3"/>
      <c r="L182" t="s">
        <v>1645</v>
      </c>
      <c r="N182" s="3" t="str">
        <f>HYPERLINK("https://app.hypeauditor.com/my-network/influencer/30471957/analytics/tiktok/felon_entrepreneur","https://app.hypeauditor.com/my-network/influencer/30471957/analytics/tiktok/felon_entrepreneur")</f>
        <v>https://app.hypeauditor.com/my-network/influencer/30471957/analytics/tiktok/felon_entrepreneur</v>
      </c>
      <c r="O182" s="3"/>
      <c r="P182" t="s">
        <v>56</v>
      </c>
      <c r="Q182" t="s">
        <v>57</v>
      </c>
      <c r="S182" t="s">
        <v>54</v>
      </c>
      <c r="W182" t="s">
        <v>55</v>
      </c>
      <c r="Y182" t="s">
        <v>54</v>
      </c>
      <c r="AA182" t="s">
        <v>55</v>
      </c>
      <c r="AE182" t="s">
        <v>55</v>
      </c>
      <c r="AG182" t="s">
        <v>54</v>
      </c>
      <c r="AI182" t="s">
        <v>55</v>
      </c>
      <c r="AK182" t="s">
        <v>55</v>
      </c>
      <c r="AM182" t="s">
        <v>55</v>
      </c>
      <c r="AO182" t="s">
        <v>55</v>
      </c>
      <c r="AQ182" t="s">
        <v>54</v>
      </c>
      <c r="AT182" t="s">
        <v>54</v>
      </c>
      <c r="AU182">
        <v>100</v>
      </c>
      <c r="AW182" t="s">
        <v>54</v>
      </c>
      <c r="BD182" t="s">
        <v>1625</v>
      </c>
      <c r="BG182" t="s">
        <v>1639</v>
      </c>
      <c r="BH182" t="s">
        <v>1640</v>
      </c>
      <c r="BJ182" s="3"/>
    </row>
    <row r="183" ht="25.5" customHeight="1" spans="1:62">
      <c r="A183" t="s">
        <v>2729</v>
      </c>
      <c r="B183" t="s">
        <v>1625</v>
      </c>
      <c r="D183" t="s">
        <v>1627</v>
      </c>
      <c r="F183" s="2"/>
      <c r="J183" t="s">
        <v>1644</v>
      </c>
      <c r="K183" s="3" t="str">
        <f>HYPERLINK("https://www.instagram.com/p/DEuir1dOowl/?img_index=1","https://www.instagram.com/p/DEuir1dOowl/?img_index=1")</f>
        <v>https://www.instagram.com/p/DEuir1dOowl/?img_index=1</v>
      </c>
      <c r="L183" t="s">
        <v>1630</v>
      </c>
      <c r="N183" s="3" t="str">
        <f>HYPERLINK("https://app.hypeauditor.com/my-network/influencer/33514933/analytics/instagram/traselveloreal","https://app.hypeauditor.com/my-network/influencer/33514933/analytics/instagram/traselveloreal")</f>
        <v>https://app.hypeauditor.com/my-network/influencer/33514933/analytics/instagram/traselveloreal</v>
      </c>
      <c r="O183" s="3"/>
      <c r="P183" t="s">
        <v>65</v>
      </c>
      <c r="Q183" t="s">
        <v>66</v>
      </c>
      <c r="R183" t="s">
        <v>1631</v>
      </c>
      <c r="S183" t="s">
        <v>54</v>
      </c>
      <c r="W183" t="s">
        <v>55</v>
      </c>
      <c r="Y183" t="s">
        <v>54</v>
      </c>
      <c r="AA183" t="s">
        <v>55</v>
      </c>
      <c r="AE183" t="s">
        <v>55</v>
      </c>
      <c r="AG183" t="s">
        <v>54</v>
      </c>
      <c r="AI183" t="s">
        <v>55</v>
      </c>
      <c r="AK183" t="s">
        <v>55</v>
      </c>
      <c r="AM183" t="s">
        <v>55</v>
      </c>
      <c r="AO183" t="s">
        <v>55</v>
      </c>
      <c r="AQ183" t="s">
        <v>54</v>
      </c>
      <c r="AT183" t="s">
        <v>54</v>
      </c>
      <c r="AU183">
        <v>100</v>
      </c>
      <c r="AW183" t="s">
        <v>54</v>
      </c>
      <c r="BD183" t="s">
        <v>1638</v>
      </c>
      <c r="BG183" t="s">
        <v>1639</v>
      </c>
      <c r="BH183" t="s">
        <v>1640</v>
      </c>
      <c r="BJ183" s="3" t="str">
        <f>HYPERLINK("https://www.instagram.com/p/DEuir1dOowl/?img_index=1","https://www.instagram.com/p/DEuir1dOowl/?img_index=1")</f>
        <v>https://www.instagram.com/p/DEuir1dOowl/?img_index=1</v>
      </c>
    </row>
    <row r="184" ht="25.5" customHeight="1" spans="1:62">
      <c r="A184" t="s">
        <v>2730</v>
      </c>
      <c r="B184" t="s">
        <v>1625</v>
      </c>
      <c r="C184" t="s">
        <v>2731</v>
      </c>
      <c r="D184" t="s">
        <v>1627</v>
      </c>
      <c r="F184" s="2"/>
      <c r="J184" t="s">
        <v>1644</v>
      </c>
      <c r="K184" s="3" t="str">
        <f>HYPERLINK("https://vm.tiktok.com/ZMk9UD643/","https://vm.tiktok.com/ZMk9UD643/")</f>
        <v>https://vm.tiktok.com/ZMk9UD643/</v>
      </c>
      <c r="L184" t="s">
        <v>1630</v>
      </c>
      <c r="N184" s="3"/>
      <c r="O184" s="3" t="str">
        <f>HYPERLINK("https://www.tiktok.com/@the.lusho","https://www.tiktok.com/@the.lusho")</f>
        <v>https://www.tiktok.com/@the.lusho</v>
      </c>
      <c r="P184" t="s">
        <v>56</v>
      </c>
      <c r="Q184" t="s">
        <v>57</v>
      </c>
      <c r="R184" t="s">
        <v>97</v>
      </c>
      <c r="S184" t="s">
        <v>54</v>
      </c>
      <c r="T184">
        <v>94400</v>
      </c>
      <c r="U184" t="s">
        <v>55</v>
      </c>
      <c r="W184" t="s">
        <v>55</v>
      </c>
      <c r="Y184" t="s">
        <v>54</v>
      </c>
      <c r="AA184" t="s">
        <v>55</v>
      </c>
      <c r="AE184" t="s">
        <v>55</v>
      </c>
      <c r="AG184" t="s">
        <v>54</v>
      </c>
      <c r="AI184" t="s">
        <v>55</v>
      </c>
      <c r="AK184" t="s">
        <v>55</v>
      </c>
      <c r="AM184" t="s">
        <v>55</v>
      </c>
      <c r="AO184" t="s">
        <v>55</v>
      </c>
      <c r="AQ184" t="s">
        <v>54</v>
      </c>
      <c r="AR184">
        <v>16000</v>
      </c>
      <c r="AS184">
        <v>0.046</v>
      </c>
      <c r="AT184" t="s">
        <v>2732</v>
      </c>
      <c r="AU184">
        <v>100</v>
      </c>
      <c r="AW184" t="s">
        <v>2733</v>
      </c>
      <c r="AX184" t="s">
        <v>78</v>
      </c>
      <c r="AY184" t="s">
        <v>1648</v>
      </c>
      <c r="AZ184" t="s">
        <v>2734</v>
      </c>
      <c r="BA184" t="s">
        <v>2735</v>
      </c>
      <c r="BD184" t="s">
        <v>1638</v>
      </c>
      <c r="BE184" t="s">
        <v>2734</v>
      </c>
      <c r="BG184" t="s">
        <v>1639</v>
      </c>
      <c r="BH184" t="s">
        <v>1640</v>
      </c>
      <c r="BJ184" s="3" t="str">
        <f>HYPERLINK("https://vm.tiktok.com/ZMk9UD643/","https://vm.tiktok.com/ZMk9UD643/")</f>
        <v>https://vm.tiktok.com/ZMk9UD643/</v>
      </c>
    </row>
    <row r="185" ht="25.5" customHeight="1" spans="1:62">
      <c r="A185" t="s">
        <v>2736</v>
      </c>
      <c r="B185" t="s">
        <v>1625</v>
      </c>
      <c r="C185" t="s">
        <v>1778</v>
      </c>
      <c r="D185" t="s">
        <v>1627</v>
      </c>
      <c r="F185" s="2"/>
      <c r="J185" t="s">
        <v>1644</v>
      </c>
      <c r="K185" s="3" t="str">
        <f>HYPERLINK("https://www.tiktok.com/@gabzer.mp4/video/7457582169980996897","https://www.tiktok.com/@gabzer.mp4/video/7457582169980996897")</f>
        <v>https://www.tiktok.com/@gabzer.mp4/video/7457582169980996897</v>
      </c>
      <c r="L185" t="s">
        <v>1630</v>
      </c>
      <c r="N185" s="3"/>
      <c r="O185" s="3" t="str">
        <f>HYPERLINK("https://www.tiktok.com/@gabzer.mp4","https://www.tiktok.com/@gabzer.mp4")</f>
        <v>https://www.tiktok.com/@gabzer.mp4</v>
      </c>
      <c r="P185" t="s">
        <v>56</v>
      </c>
      <c r="Q185" t="s">
        <v>57</v>
      </c>
      <c r="R185" t="s">
        <v>1779</v>
      </c>
      <c r="S185" t="s">
        <v>54</v>
      </c>
      <c r="T185">
        <v>504800</v>
      </c>
      <c r="U185" t="s">
        <v>2737</v>
      </c>
      <c r="W185" t="s">
        <v>55</v>
      </c>
      <c r="Y185" t="s">
        <v>54</v>
      </c>
      <c r="AA185" t="s">
        <v>55</v>
      </c>
      <c r="AE185" t="s">
        <v>55</v>
      </c>
      <c r="AG185" t="s">
        <v>54</v>
      </c>
      <c r="AI185" t="s">
        <v>55</v>
      </c>
      <c r="AK185" t="s">
        <v>55</v>
      </c>
      <c r="AM185" t="s">
        <v>55</v>
      </c>
      <c r="AO185" t="s">
        <v>55</v>
      </c>
      <c r="AQ185" t="s">
        <v>54</v>
      </c>
      <c r="AR185">
        <v>20000</v>
      </c>
      <c r="AS185">
        <v>0.0472</v>
      </c>
      <c r="AT185" t="s">
        <v>2738</v>
      </c>
      <c r="AU185">
        <v>100</v>
      </c>
      <c r="AW185" t="s">
        <v>2739</v>
      </c>
      <c r="AX185" t="s">
        <v>600</v>
      </c>
      <c r="AY185" t="s">
        <v>601</v>
      </c>
      <c r="AZ185" t="s">
        <v>2486</v>
      </c>
      <c r="BA185" t="s">
        <v>2740</v>
      </c>
      <c r="BD185" t="s">
        <v>1638</v>
      </c>
      <c r="BE185" t="s">
        <v>2486</v>
      </c>
      <c r="BG185" t="s">
        <v>1639</v>
      </c>
      <c r="BH185" t="s">
        <v>1640</v>
      </c>
      <c r="BI185" t="s">
        <v>1898</v>
      </c>
      <c r="BJ185" s="3" t="str">
        <f>HYPERLINK("https://www.tiktok.com/@gabzer.mp4/video/7457582169980996897","https://www.tiktok.com/@gabzer.mp4/video/7457582169980996897")</f>
        <v>https://www.tiktok.com/@gabzer.mp4/video/7457582169980996897</v>
      </c>
    </row>
    <row r="186" ht="25.5" customHeight="1" spans="1:62">
      <c r="A186" t="s">
        <v>2741</v>
      </c>
      <c r="B186" t="s">
        <v>1625</v>
      </c>
      <c r="C186" t="s">
        <v>1778</v>
      </c>
      <c r="D186" t="s">
        <v>1627</v>
      </c>
      <c r="F186" s="2"/>
      <c r="J186" t="s">
        <v>1644</v>
      </c>
      <c r="K186" s="3" t="str">
        <f>HYPERLINK("https://www.facebook.com/reel/1082778110260092","https://www.facebook.com/reel/1082778110260092")</f>
        <v>https://www.facebook.com/reel/1082778110260092</v>
      </c>
      <c r="L186" t="s">
        <v>1630</v>
      </c>
      <c r="N186" s="3"/>
      <c r="O186" s="3"/>
      <c r="P186" t="s">
        <v>1116</v>
      </c>
      <c r="Q186" t="s">
        <v>2742</v>
      </c>
      <c r="R186" t="s">
        <v>1779</v>
      </c>
      <c r="S186" t="s">
        <v>54</v>
      </c>
      <c r="W186" t="s">
        <v>55</v>
      </c>
      <c r="Y186" t="s">
        <v>54</v>
      </c>
      <c r="AA186" t="s">
        <v>55</v>
      </c>
      <c r="AE186" t="s">
        <v>55</v>
      </c>
      <c r="AG186" t="s">
        <v>54</v>
      </c>
      <c r="AI186" t="s">
        <v>55</v>
      </c>
      <c r="AK186" t="s">
        <v>55</v>
      </c>
      <c r="AM186" t="s">
        <v>55</v>
      </c>
      <c r="AO186" t="s">
        <v>55</v>
      </c>
      <c r="AQ186" t="s">
        <v>54</v>
      </c>
      <c r="AT186" t="s">
        <v>54</v>
      </c>
      <c r="AU186">
        <v>100</v>
      </c>
      <c r="AW186" t="s">
        <v>54</v>
      </c>
      <c r="BD186" t="s">
        <v>1638</v>
      </c>
      <c r="BG186" t="s">
        <v>1639</v>
      </c>
      <c r="BH186" t="s">
        <v>1640</v>
      </c>
      <c r="BI186" t="s">
        <v>1898</v>
      </c>
      <c r="BJ186" s="3" t="str">
        <f>HYPERLINK("https://www.facebook.com/reel/1082778110260092","https://www.facebook.com/reel/1082778110260092")</f>
        <v>https://www.facebook.com/reel/1082778110260092</v>
      </c>
    </row>
    <row r="187" ht="25.5" customHeight="1" spans="2:62">
      <c r="B187" t="s">
        <v>1625</v>
      </c>
      <c r="F187" s="2"/>
      <c r="K187" s="3" t="str">
        <f>HYPERLINK("https://vm.tiktok.com/ZGdSuuCgm/","https://vm.tiktok.com/ZGdSuuCgm/")</f>
        <v>https://vm.tiktok.com/ZGdSuuCgm/</v>
      </c>
      <c r="L187" t="s">
        <v>1630</v>
      </c>
      <c r="N187" s="3"/>
      <c r="O187" s="3"/>
      <c r="P187" t="s">
        <v>56</v>
      </c>
      <c r="Q187" t="s">
        <v>57</v>
      </c>
      <c r="R187" t="s">
        <v>1913</v>
      </c>
      <c r="S187" t="s">
        <v>54</v>
      </c>
      <c r="W187" t="s">
        <v>55</v>
      </c>
      <c r="Y187" t="s">
        <v>54</v>
      </c>
      <c r="AA187" t="s">
        <v>55</v>
      </c>
      <c r="AE187" t="s">
        <v>55</v>
      </c>
      <c r="AG187" t="s">
        <v>54</v>
      </c>
      <c r="AI187" t="s">
        <v>55</v>
      </c>
      <c r="AK187" t="s">
        <v>55</v>
      </c>
      <c r="AM187" t="s">
        <v>55</v>
      </c>
      <c r="AO187" t="s">
        <v>55</v>
      </c>
      <c r="AQ187" t="s">
        <v>54</v>
      </c>
      <c r="AT187" t="s">
        <v>54</v>
      </c>
      <c r="AU187">
        <v>100</v>
      </c>
      <c r="AW187" t="s">
        <v>54</v>
      </c>
      <c r="BD187" t="s">
        <v>1638</v>
      </c>
      <c r="BG187" t="s">
        <v>1639</v>
      </c>
      <c r="BH187" t="s">
        <v>1640</v>
      </c>
      <c r="BI187" t="s">
        <v>1910</v>
      </c>
      <c r="BJ187" s="3" t="str">
        <f>HYPERLINK("https://vm.tiktok.com/ZGdSuuCgm/","https://vm.tiktok.com/ZGdSuuCgm/")</f>
        <v>https://vm.tiktok.com/ZGdSuuCgm/</v>
      </c>
    </row>
    <row r="188" ht="25.5" customHeight="1" spans="1:62">
      <c r="A188" t="s">
        <v>2743</v>
      </c>
      <c r="B188" t="s">
        <v>1830</v>
      </c>
      <c r="C188" t="s">
        <v>2744</v>
      </c>
      <c r="D188" t="s">
        <v>1627</v>
      </c>
      <c r="F188" s="2">
        <v>45672</v>
      </c>
      <c r="H188" t="s">
        <v>1663</v>
      </c>
      <c r="J188" t="s">
        <v>1644</v>
      </c>
      <c r="K188" s="3" t="str">
        <f>HYPERLINK("https://www.tiktok.com/@carloslvlv/video/7460311219656838405","https://www.tiktok.com/@carloslvlv/video/7460311219656838405")</f>
        <v>https://www.tiktok.com/@carloslvlv/video/7460311219656838405</v>
      </c>
      <c r="L188" t="s">
        <v>1630</v>
      </c>
      <c r="N188" s="3" t="str">
        <f>HYPERLINK("https://app.hypeauditor.com/my-network/influencer/33071543/analytics/tiktok/carloslvlv","https://app.hypeauditor.com/my-network/influencer/33071543/analytics/tiktok/carloslvlv")</f>
        <v>https://app.hypeauditor.com/my-network/influencer/33071543/analytics/tiktok/carloslvlv</v>
      </c>
      <c r="O188" s="3" t="str">
        <f>HYPERLINK("https://www.tiktok.com/@carloslvlv","https://www.tiktok.com/@carloslvlv")</f>
        <v>https://www.tiktok.com/@carloslvlv</v>
      </c>
      <c r="P188" t="s">
        <v>56</v>
      </c>
      <c r="Q188" t="s">
        <v>57</v>
      </c>
      <c r="R188" t="s">
        <v>1779</v>
      </c>
      <c r="S188" t="s">
        <v>54</v>
      </c>
      <c r="T188">
        <v>38100</v>
      </c>
      <c r="U188" t="s">
        <v>55</v>
      </c>
      <c r="W188" t="s">
        <v>55</v>
      </c>
      <c r="Y188" t="s">
        <v>54</v>
      </c>
      <c r="AA188" t="s">
        <v>55</v>
      </c>
      <c r="AE188" t="s">
        <v>55</v>
      </c>
      <c r="AG188" t="s">
        <v>54</v>
      </c>
      <c r="AI188" t="s">
        <v>55</v>
      </c>
      <c r="AK188" t="s">
        <v>55</v>
      </c>
      <c r="AM188" t="s">
        <v>55</v>
      </c>
      <c r="AO188" t="s">
        <v>55</v>
      </c>
      <c r="AQ188" t="s">
        <v>54</v>
      </c>
      <c r="AR188">
        <v>30000</v>
      </c>
      <c r="AS188">
        <v>0.04</v>
      </c>
      <c r="AT188" t="s">
        <v>2468</v>
      </c>
      <c r="AU188">
        <v>99</v>
      </c>
      <c r="AW188" t="s">
        <v>2469</v>
      </c>
      <c r="AX188" t="s">
        <v>2745</v>
      </c>
      <c r="AY188" t="s">
        <v>2746</v>
      </c>
      <c r="AZ188" t="s">
        <v>2747</v>
      </c>
      <c r="BA188" t="s">
        <v>2748</v>
      </c>
      <c r="BD188" t="s">
        <v>1638</v>
      </c>
      <c r="BE188" t="s">
        <v>2747</v>
      </c>
      <c r="BG188" t="s">
        <v>1639</v>
      </c>
      <c r="BH188" t="s">
        <v>1640</v>
      </c>
      <c r="BJ188" s="3" t="str">
        <f>HYPERLINK("https://www.tiktok.com/@carloslvlv/video/7460311219656838405","https://www.tiktok.com/@carloslvlv/video/7460311219656838405")</f>
        <v>https://www.tiktok.com/@carloslvlv/video/7460311219656838405</v>
      </c>
    </row>
    <row r="189" ht="25.5" customHeight="1" spans="1:62">
      <c r="A189" t="s">
        <v>2749</v>
      </c>
      <c r="B189" t="s">
        <v>1625</v>
      </c>
      <c r="C189" t="s">
        <v>2750</v>
      </c>
      <c r="D189" t="s">
        <v>1627</v>
      </c>
      <c r="F189" s="2"/>
      <c r="I189" t="s">
        <v>2751</v>
      </c>
      <c r="J189" t="s">
        <v>1644</v>
      </c>
      <c r="K189" s="3" t="str">
        <f>HYPERLINK("https://www.tiktok.com/@plzzma/video/7459648982919154952?_r=1&amp;_t=ZS-8t3Hez2rjnU","https://www.tiktok.com/@plzzma/video/7459648982919154952?_r=1&amp;_t=ZS-8t3Hez2rjnU")</f>
        <v>https://www.tiktok.com/@plzzma/video/7459648982919154952?_r=1&amp;_t=ZS-8t3Hez2rjnU</v>
      </c>
      <c r="L189" t="s">
        <v>1630</v>
      </c>
      <c r="N189" s="3"/>
      <c r="O189" s="3" t="str">
        <f>HYPERLINK("https://www.tiktok.com/@plzzma","https://www.tiktok.com/@plzzma")</f>
        <v>https://www.tiktok.com/@plzzma</v>
      </c>
      <c r="P189" t="s">
        <v>56</v>
      </c>
      <c r="Q189" t="s">
        <v>57</v>
      </c>
      <c r="R189" t="s">
        <v>1913</v>
      </c>
      <c r="S189" t="s">
        <v>54</v>
      </c>
      <c r="T189">
        <v>8443</v>
      </c>
      <c r="U189" t="s">
        <v>55</v>
      </c>
      <c r="W189" t="s">
        <v>55</v>
      </c>
      <c r="Y189" t="s">
        <v>54</v>
      </c>
      <c r="AA189" t="s">
        <v>55</v>
      </c>
      <c r="AE189" t="s">
        <v>55</v>
      </c>
      <c r="AG189" t="s">
        <v>54</v>
      </c>
      <c r="AI189" t="s">
        <v>55</v>
      </c>
      <c r="AK189" t="s">
        <v>55</v>
      </c>
      <c r="AM189" t="s">
        <v>55</v>
      </c>
      <c r="AO189" t="s">
        <v>55</v>
      </c>
      <c r="AQ189" t="s">
        <v>54</v>
      </c>
      <c r="AR189">
        <v>20000</v>
      </c>
      <c r="AS189">
        <v>0.037</v>
      </c>
      <c r="AT189" t="s">
        <v>2752</v>
      </c>
      <c r="AU189">
        <v>90</v>
      </c>
      <c r="AW189" t="s">
        <v>2753</v>
      </c>
      <c r="AX189" t="s">
        <v>2754</v>
      </c>
      <c r="AY189" t="s">
        <v>2755</v>
      </c>
      <c r="AZ189" t="s">
        <v>2756</v>
      </c>
      <c r="BA189" t="s">
        <v>2757</v>
      </c>
      <c r="BD189" t="s">
        <v>1638</v>
      </c>
      <c r="BE189" t="s">
        <v>2756</v>
      </c>
      <c r="BG189" t="s">
        <v>1639</v>
      </c>
      <c r="BH189" t="s">
        <v>1640</v>
      </c>
      <c r="BJ189" s="3" t="str">
        <f>HYPERLINK("https://www.tiktok.com/@plzzma/video/7459648982919154952?_r=1&amp;_t=ZS-8t3Hez2rjnU","https://www.tiktok.com/@plzzma/video/7459648982919154952?_r=1&amp;_t=ZS-8t3Hez2rjnU")</f>
        <v>https://www.tiktok.com/@plzzma/video/7459648982919154952?_r=1&amp;_t=ZS-8t3Hez2rjnU</v>
      </c>
    </row>
    <row r="190" ht="25.5" customHeight="1" spans="1:62">
      <c r="A190" t="s">
        <v>2758</v>
      </c>
      <c r="B190" t="s">
        <v>1625</v>
      </c>
      <c r="C190" t="s">
        <v>2759</v>
      </c>
      <c r="F190" s="2"/>
      <c r="G190" t="s">
        <v>2760</v>
      </c>
      <c r="H190" t="s">
        <v>2436</v>
      </c>
      <c r="J190" t="s">
        <v>1725</v>
      </c>
      <c r="K190" s="3"/>
      <c r="L190" t="s">
        <v>1645</v>
      </c>
      <c r="M190" t="s">
        <v>2009</v>
      </c>
      <c r="N190" s="3" t="str">
        <f>HYPERLINK("https://app.hypeauditor.com/my-network/influencer/2238548/analytics/instagram/aniyaaross","https://app.hypeauditor.com/my-network/influencer/2238548/analytics/instagram/aniyaaross")</f>
        <v>https://app.hypeauditor.com/my-network/influencer/2238548/analytics/instagram/aniyaaross</v>
      </c>
      <c r="O190" s="3"/>
      <c r="P190" t="s">
        <v>65</v>
      </c>
      <c r="Q190" t="s">
        <v>116</v>
      </c>
      <c r="R190" t="s">
        <v>1631</v>
      </c>
      <c r="S190" t="s">
        <v>54</v>
      </c>
      <c r="T190">
        <v>122900</v>
      </c>
      <c r="U190" t="s">
        <v>2761</v>
      </c>
      <c r="V190">
        <v>0.399</v>
      </c>
      <c r="W190" t="s">
        <v>2762</v>
      </c>
      <c r="X190" t="s">
        <v>166</v>
      </c>
      <c r="Y190" t="s">
        <v>59</v>
      </c>
      <c r="Z190">
        <v>0.1</v>
      </c>
      <c r="AA190" t="s">
        <v>185</v>
      </c>
      <c r="AB190" t="s">
        <v>2763</v>
      </c>
      <c r="AC190" t="s">
        <v>54</v>
      </c>
      <c r="AD190">
        <v>0.953</v>
      </c>
      <c r="AE190" t="s">
        <v>2764</v>
      </c>
      <c r="AF190" t="s">
        <v>1668</v>
      </c>
      <c r="AG190" t="s">
        <v>59</v>
      </c>
      <c r="AH190">
        <v>0.6</v>
      </c>
      <c r="AI190" t="s">
        <v>2696</v>
      </c>
      <c r="AJ190">
        <v>0.45</v>
      </c>
      <c r="AK190" t="s">
        <v>944</v>
      </c>
      <c r="AL190">
        <v>0.55</v>
      </c>
      <c r="AM190" t="s">
        <v>2121</v>
      </c>
      <c r="AN190">
        <v>0.99</v>
      </c>
      <c r="AO190" t="s">
        <v>2765</v>
      </c>
      <c r="AP190" t="s">
        <v>52</v>
      </c>
      <c r="AQ190" t="s">
        <v>54</v>
      </c>
      <c r="AR190">
        <v>20900</v>
      </c>
      <c r="AS190">
        <v>0.1025</v>
      </c>
      <c r="AT190" t="s">
        <v>2766</v>
      </c>
      <c r="AU190">
        <v>87.5</v>
      </c>
      <c r="AW190" t="s">
        <v>2767</v>
      </c>
      <c r="AX190" t="s">
        <v>2768</v>
      </c>
      <c r="AY190" t="s">
        <v>2769</v>
      </c>
      <c r="AZ190" t="s">
        <v>2770</v>
      </c>
      <c r="BA190" t="s">
        <v>2771</v>
      </c>
      <c r="BD190" t="s">
        <v>1638</v>
      </c>
      <c r="BE190" t="s">
        <v>2770</v>
      </c>
      <c r="BG190" t="s">
        <v>1639</v>
      </c>
      <c r="BH190" t="s">
        <v>1640</v>
      </c>
      <c r="BJ190" s="3"/>
    </row>
    <row r="191" ht="25.5" customHeight="1" spans="1:62">
      <c r="A191" t="s">
        <v>2772</v>
      </c>
      <c r="B191" t="s">
        <v>1625</v>
      </c>
      <c r="C191" t="s">
        <v>2773</v>
      </c>
      <c r="F191" s="2"/>
      <c r="H191" t="s">
        <v>2774</v>
      </c>
      <c r="I191" t="s">
        <v>2775</v>
      </c>
      <c r="J191" t="s">
        <v>1644</v>
      </c>
      <c r="K191" s="3"/>
      <c r="L191" t="s">
        <v>1645</v>
      </c>
      <c r="N191" s="3" t="str">
        <f>HYPERLINK("https://app.hypeauditor.com/my-network/influencer/25892427/analytics/tiktok/g4bbyfortnite","https://app.hypeauditor.com/my-network/influencer/25892427/analytics/tiktok/g4bbyfortnite")</f>
        <v>https://app.hypeauditor.com/my-network/influencer/25892427/analytics/tiktok/g4bbyfortnite</v>
      </c>
      <c r="O191" s="3"/>
      <c r="P191" t="s">
        <v>56</v>
      </c>
      <c r="Q191" t="s">
        <v>57</v>
      </c>
      <c r="S191" t="s">
        <v>54</v>
      </c>
      <c r="W191" t="s">
        <v>55</v>
      </c>
      <c r="Y191" t="s">
        <v>54</v>
      </c>
      <c r="AA191" t="s">
        <v>55</v>
      </c>
      <c r="AE191" t="s">
        <v>55</v>
      </c>
      <c r="AG191" t="s">
        <v>54</v>
      </c>
      <c r="AI191" t="s">
        <v>55</v>
      </c>
      <c r="AK191" t="s">
        <v>55</v>
      </c>
      <c r="AM191" t="s">
        <v>55</v>
      </c>
      <c r="AO191" t="s">
        <v>55</v>
      </c>
      <c r="AQ191" t="s">
        <v>54</v>
      </c>
      <c r="AT191" t="s">
        <v>54</v>
      </c>
      <c r="AU191">
        <v>80</v>
      </c>
      <c r="AW191" t="s">
        <v>54</v>
      </c>
      <c r="BD191" t="s">
        <v>1830</v>
      </c>
      <c r="BG191" t="s">
        <v>1639</v>
      </c>
      <c r="BH191" t="s">
        <v>1640</v>
      </c>
      <c r="BJ191" s="3"/>
    </row>
    <row r="192" ht="25.5" customHeight="1" spans="1:62">
      <c r="A192" t="s">
        <v>2776</v>
      </c>
      <c r="B192" t="s">
        <v>1625</v>
      </c>
      <c r="C192" t="s">
        <v>2048</v>
      </c>
      <c r="D192" t="s">
        <v>1627</v>
      </c>
      <c r="F192" s="2">
        <v>45664</v>
      </c>
      <c r="H192" t="s">
        <v>1762</v>
      </c>
      <c r="J192" t="s">
        <v>1644</v>
      </c>
      <c r="K192" s="3" t="str">
        <f>HYPERLINK("https://www.tiktok.com/@ruben_poveda_/video/7457157393202318625","https://www.tiktok.com/@ruben_poveda_/video/7457157393202318625")</f>
        <v>https://www.tiktok.com/@ruben_poveda_/video/7457157393202318625</v>
      </c>
      <c r="L192" t="s">
        <v>1630</v>
      </c>
      <c r="N192" s="3" t="str">
        <f>HYPERLINK("https://app.hypeauditor.com/my-network/influencer/8073906/analytics/tiktok/ruben_poveda_","https://app.hypeauditor.com/my-network/influencer/8073906/analytics/tiktok/ruben_poveda_")</f>
        <v>https://app.hypeauditor.com/my-network/influencer/8073906/analytics/tiktok/ruben_poveda_</v>
      </c>
      <c r="O192" s="3" t="str">
        <f>HYPERLINK("https://www.tiktok.com/@ruben_poveda_","https://www.tiktok.com/@ruben_poveda_")</f>
        <v>https://www.tiktok.com/@ruben_poveda_</v>
      </c>
      <c r="P192" t="s">
        <v>56</v>
      </c>
      <c r="Q192" t="s">
        <v>57</v>
      </c>
      <c r="R192" t="s">
        <v>1652</v>
      </c>
      <c r="S192" t="s">
        <v>54</v>
      </c>
      <c r="T192">
        <v>141500</v>
      </c>
      <c r="U192" t="s">
        <v>2777</v>
      </c>
      <c r="W192" t="s">
        <v>55</v>
      </c>
      <c r="Y192" t="s">
        <v>54</v>
      </c>
      <c r="AA192" t="s">
        <v>55</v>
      </c>
      <c r="AE192" t="s">
        <v>55</v>
      </c>
      <c r="AG192" t="s">
        <v>54</v>
      </c>
      <c r="AI192" t="s">
        <v>55</v>
      </c>
      <c r="AK192" t="s">
        <v>55</v>
      </c>
      <c r="AM192" t="s">
        <v>55</v>
      </c>
      <c r="AO192" t="s">
        <v>55</v>
      </c>
      <c r="AQ192" t="s">
        <v>54</v>
      </c>
      <c r="AR192">
        <v>12000</v>
      </c>
      <c r="AS192">
        <v>0.0741</v>
      </c>
      <c r="AT192" t="s">
        <v>2778</v>
      </c>
      <c r="AU192">
        <v>80</v>
      </c>
      <c r="AW192" t="s">
        <v>2779</v>
      </c>
      <c r="AX192" t="s">
        <v>1684</v>
      </c>
      <c r="AY192" t="s">
        <v>1307</v>
      </c>
      <c r="AZ192" t="s">
        <v>967</v>
      </c>
      <c r="BA192" t="s">
        <v>2780</v>
      </c>
      <c r="BD192" t="s">
        <v>1638</v>
      </c>
      <c r="BE192" t="s">
        <v>967</v>
      </c>
      <c r="BG192" t="s">
        <v>1639</v>
      </c>
      <c r="BH192" t="s">
        <v>1640</v>
      </c>
      <c r="BJ192" s="3" t="str">
        <f>HYPERLINK("https://www.tiktok.com/@ruben_poveda_/video/7457157393202318625","https://www.tiktok.com/@ruben_poveda_/video/7457157393202318625")</f>
        <v>https://www.tiktok.com/@ruben_poveda_/video/7457157393202318625</v>
      </c>
    </row>
    <row r="193" ht="25.5" customHeight="1" spans="1:62">
      <c r="A193" t="s">
        <v>2781</v>
      </c>
      <c r="B193" t="s">
        <v>1625</v>
      </c>
      <c r="C193" t="s">
        <v>2782</v>
      </c>
      <c r="D193" t="s">
        <v>1627</v>
      </c>
      <c r="F193" s="2"/>
      <c r="H193" t="s">
        <v>1806</v>
      </c>
      <c r="J193" t="s">
        <v>1644</v>
      </c>
      <c r="K193" s="3" t="str">
        <f>HYPERLINK("https://www.tiktok.com/@medicenjoca/video/7458072838348623109?_r=1&amp;_t=ZM-8sxa99VmHPa","https://www.tiktok.com/@medicenjoca/video/7458072838348623109?_r=1&amp;_t=ZM-8sxa99VmHPa")</f>
        <v>https://www.tiktok.com/@medicenjoca/video/7458072838348623109?_r=1&amp;_t=ZM-8sxa99VmHPa</v>
      </c>
      <c r="L193" t="s">
        <v>1630</v>
      </c>
      <c r="N193" s="3" t="str">
        <f>HYPERLINK("https://app.hypeauditor.com/my-network/influencer/17415532/analytics/tiktok/medicenjoca","https://app.hypeauditor.com/my-network/influencer/17415532/analytics/tiktok/medicenjoca")</f>
        <v>https://app.hypeauditor.com/my-network/influencer/17415532/analytics/tiktok/medicenjoca</v>
      </c>
      <c r="O193" s="3" t="str">
        <f>HYPERLINK("https://www.tiktok.com/@medicenjoca","https://www.tiktok.com/@medicenjoca")</f>
        <v>https://www.tiktok.com/@medicenjoca</v>
      </c>
      <c r="P193" t="s">
        <v>56</v>
      </c>
      <c r="Q193" t="s">
        <v>57</v>
      </c>
      <c r="R193" t="s">
        <v>97</v>
      </c>
      <c r="S193" t="s">
        <v>54</v>
      </c>
      <c r="T193">
        <v>244800</v>
      </c>
      <c r="U193" t="s">
        <v>2783</v>
      </c>
      <c r="W193" t="s">
        <v>55</v>
      </c>
      <c r="Y193" t="s">
        <v>54</v>
      </c>
      <c r="AA193" t="s">
        <v>55</v>
      </c>
      <c r="AE193" t="s">
        <v>55</v>
      </c>
      <c r="AG193" t="s">
        <v>54</v>
      </c>
      <c r="AI193" t="s">
        <v>55</v>
      </c>
      <c r="AK193" t="s">
        <v>55</v>
      </c>
      <c r="AM193" t="s">
        <v>55</v>
      </c>
      <c r="AO193" t="s">
        <v>55</v>
      </c>
      <c r="AQ193" t="s">
        <v>54</v>
      </c>
      <c r="AR193">
        <v>100000</v>
      </c>
      <c r="AS193">
        <v>0.03</v>
      </c>
      <c r="AT193" t="s">
        <v>2098</v>
      </c>
      <c r="AU193">
        <v>80</v>
      </c>
      <c r="AW193" t="s">
        <v>2099</v>
      </c>
      <c r="AX193" t="s">
        <v>1954</v>
      </c>
      <c r="AY193" t="s">
        <v>1741</v>
      </c>
      <c r="AZ193" t="s">
        <v>2784</v>
      </c>
      <c r="BA193" t="s">
        <v>2785</v>
      </c>
      <c r="BD193" t="s">
        <v>1638</v>
      </c>
      <c r="BE193" t="s">
        <v>2784</v>
      </c>
      <c r="BG193" t="s">
        <v>1639</v>
      </c>
      <c r="BH193" t="s">
        <v>1640</v>
      </c>
      <c r="BJ193" s="3" t="str">
        <f>HYPERLINK("https://www.tiktok.com/@medicenjoca/video/7458072838348623109?_r=1&amp;_t=ZM-8sxa99VmHPa","https://www.tiktok.com/@medicenjoca/video/7458072838348623109?_r=1&amp;_t=ZM-8sxa99VmHPa")</f>
        <v>https://www.tiktok.com/@medicenjoca/video/7458072838348623109?_r=1&amp;_t=ZM-8sxa99VmHPa</v>
      </c>
    </row>
    <row r="194" ht="25.5" customHeight="1" spans="1:62">
      <c r="A194" t="s">
        <v>2786</v>
      </c>
      <c r="B194" t="s">
        <v>1625</v>
      </c>
      <c r="C194" t="s">
        <v>2787</v>
      </c>
      <c r="F194" s="2"/>
      <c r="H194" t="s">
        <v>2473</v>
      </c>
      <c r="I194" t="s">
        <v>2788</v>
      </c>
      <c r="J194" t="s">
        <v>1644</v>
      </c>
      <c r="K194" s="3"/>
      <c r="L194" t="s">
        <v>1645</v>
      </c>
      <c r="N194" s="3" t="str">
        <f>HYPERLINK("https://app.hypeauditor.com/my-network/influencer/31507108/analytics/tiktok/alexvlogstc","https://app.hypeauditor.com/my-network/influencer/31507108/analytics/tiktok/alexvlogstc")</f>
        <v>https://app.hypeauditor.com/my-network/influencer/31507108/analytics/tiktok/alexvlogstc</v>
      </c>
      <c r="O194" s="3"/>
      <c r="P194" t="s">
        <v>56</v>
      </c>
      <c r="Q194" t="s">
        <v>57</v>
      </c>
      <c r="S194" t="s">
        <v>54</v>
      </c>
      <c r="W194" t="s">
        <v>55</v>
      </c>
      <c r="Y194" t="s">
        <v>54</v>
      </c>
      <c r="AA194" t="s">
        <v>55</v>
      </c>
      <c r="AE194" t="s">
        <v>55</v>
      </c>
      <c r="AG194" t="s">
        <v>54</v>
      </c>
      <c r="AI194" t="s">
        <v>55</v>
      </c>
      <c r="AK194" t="s">
        <v>55</v>
      </c>
      <c r="AM194" t="s">
        <v>55</v>
      </c>
      <c r="AO194" t="s">
        <v>55</v>
      </c>
      <c r="AQ194" t="s">
        <v>54</v>
      </c>
      <c r="AT194" t="s">
        <v>54</v>
      </c>
      <c r="AU194">
        <v>80</v>
      </c>
      <c r="AW194" t="s">
        <v>54</v>
      </c>
      <c r="BD194" t="s">
        <v>1830</v>
      </c>
      <c r="BG194" t="s">
        <v>1639</v>
      </c>
      <c r="BH194" t="s">
        <v>1640</v>
      </c>
      <c r="BJ194" s="3"/>
    </row>
    <row r="195" ht="25.5" customHeight="1" spans="1:62">
      <c r="A195" t="s">
        <v>2789</v>
      </c>
      <c r="B195" t="s">
        <v>1625</v>
      </c>
      <c r="C195" t="s">
        <v>2790</v>
      </c>
      <c r="F195" s="2"/>
      <c r="H195" t="s">
        <v>2473</v>
      </c>
      <c r="I195" t="s">
        <v>2791</v>
      </c>
      <c r="J195" t="s">
        <v>1629</v>
      </c>
      <c r="K195" s="3"/>
      <c r="L195" t="s">
        <v>1645</v>
      </c>
      <c r="N195" s="3" t="str">
        <f>HYPERLINK("https://app.hypeauditor.com/my-network/influencer/16861605/analytics/tiktok/josemiguel_nvr0","https://app.hypeauditor.com/my-network/influencer/16861605/analytics/tiktok/josemiguel_nvr0")</f>
        <v>https://app.hypeauditor.com/my-network/influencer/16861605/analytics/tiktok/josemiguel_nvr0</v>
      </c>
      <c r="O195" s="3"/>
      <c r="P195" t="s">
        <v>56</v>
      </c>
      <c r="Q195" t="s">
        <v>57</v>
      </c>
      <c r="S195" t="s">
        <v>54</v>
      </c>
      <c r="W195" t="s">
        <v>55</v>
      </c>
      <c r="Y195" t="s">
        <v>54</v>
      </c>
      <c r="AA195" t="s">
        <v>55</v>
      </c>
      <c r="AE195" t="s">
        <v>55</v>
      </c>
      <c r="AG195" t="s">
        <v>54</v>
      </c>
      <c r="AI195" t="s">
        <v>55</v>
      </c>
      <c r="AK195" t="s">
        <v>55</v>
      </c>
      <c r="AM195" t="s">
        <v>55</v>
      </c>
      <c r="AO195" t="s">
        <v>55</v>
      </c>
      <c r="AQ195" t="s">
        <v>54</v>
      </c>
      <c r="AT195" t="s">
        <v>54</v>
      </c>
      <c r="AU195">
        <v>80</v>
      </c>
      <c r="AW195" t="s">
        <v>54</v>
      </c>
      <c r="BD195" t="s">
        <v>1625</v>
      </c>
      <c r="BG195" t="s">
        <v>1639</v>
      </c>
      <c r="BH195" t="s">
        <v>1640</v>
      </c>
      <c r="BJ195" s="3"/>
    </row>
    <row r="196" ht="25.5" customHeight="1" spans="1:62">
      <c r="A196" t="s">
        <v>2792</v>
      </c>
      <c r="B196" t="s">
        <v>1625</v>
      </c>
      <c r="C196" t="s">
        <v>2114</v>
      </c>
      <c r="F196" s="2"/>
      <c r="H196" t="s">
        <v>1663</v>
      </c>
      <c r="I196" t="s">
        <v>2793</v>
      </c>
      <c r="J196" t="s">
        <v>1725</v>
      </c>
      <c r="K196" s="3"/>
      <c r="L196" t="s">
        <v>1645</v>
      </c>
      <c r="N196" s="3"/>
      <c r="O196" s="3" t="str">
        <f>HYPERLINK("https://www.tiktok.com/@lavoro.digitale?_t=8idwhvxmxyo&amp;_r=1","https://www.tiktok.com/@lavoro.digitale?_t=8idwhvxmxyo&amp;_r=1")</f>
        <v>https://www.tiktok.com/@lavoro.digitale?_t=8idwhvxmxyo&amp;_r=1</v>
      </c>
      <c r="P196" t="s">
        <v>56</v>
      </c>
      <c r="Q196" t="s">
        <v>57</v>
      </c>
      <c r="S196" t="s">
        <v>54</v>
      </c>
      <c r="W196" t="s">
        <v>55</v>
      </c>
      <c r="Y196" t="s">
        <v>54</v>
      </c>
      <c r="AA196" t="s">
        <v>55</v>
      </c>
      <c r="AE196" t="s">
        <v>55</v>
      </c>
      <c r="AG196" t="s">
        <v>54</v>
      </c>
      <c r="AI196" t="s">
        <v>55</v>
      </c>
      <c r="AK196" t="s">
        <v>55</v>
      </c>
      <c r="AM196" t="s">
        <v>55</v>
      </c>
      <c r="AO196" t="s">
        <v>55</v>
      </c>
      <c r="AQ196" t="s">
        <v>54</v>
      </c>
      <c r="AT196" t="s">
        <v>54</v>
      </c>
      <c r="AU196">
        <v>80</v>
      </c>
      <c r="AW196" t="s">
        <v>54</v>
      </c>
      <c r="BD196" t="s">
        <v>1830</v>
      </c>
      <c r="BG196" t="s">
        <v>1639</v>
      </c>
      <c r="BH196" t="s">
        <v>1640</v>
      </c>
      <c r="BJ196" s="3"/>
    </row>
    <row r="197" ht="25.5" customHeight="1" spans="1:62">
      <c r="A197" t="s">
        <v>2794</v>
      </c>
      <c r="B197" t="s">
        <v>1625</v>
      </c>
      <c r="C197" t="s">
        <v>1688</v>
      </c>
      <c r="D197" t="s">
        <v>1627</v>
      </c>
      <c r="F197" s="2"/>
      <c r="H197" t="s">
        <v>1663</v>
      </c>
      <c r="I197" t="s">
        <v>2795</v>
      </c>
      <c r="J197" t="s">
        <v>1644</v>
      </c>
      <c r="K197" s="3" t="str">
        <f>HYPERLINK("https://www.tiktok.com/@elpakkun/video/7457701104311078149?_r=1&amp;_t=ZS-8suLlSR72eX","https://www.tiktok.com/@elpakkun/video/7457701104311078149?_r=1&amp;_t=ZS-8suLlSR72eX")</f>
        <v>https://www.tiktok.com/@elpakkun/video/7457701104311078149?_r=1&amp;_t=ZS-8suLlSR72eX</v>
      </c>
      <c r="L197" t="s">
        <v>1630</v>
      </c>
      <c r="N197" s="3" t="str">
        <f>HYPERLINK("https://app.hypeauditor.com/my-network/influencer/30681021/analytics/tiktok/elpakkun","https://app.hypeauditor.com/my-network/influencer/30681021/analytics/tiktok/elpakkun")</f>
        <v>https://app.hypeauditor.com/my-network/influencer/30681021/analytics/tiktok/elpakkun</v>
      </c>
      <c r="O197" s="3" t="str">
        <f>HYPERLINK("https://www.tiktok.com/@elpakkun","https://www.tiktok.com/@elpakkun")</f>
        <v>https://www.tiktok.com/@elpakkun</v>
      </c>
      <c r="P197" t="s">
        <v>56</v>
      </c>
      <c r="Q197" t="s">
        <v>57</v>
      </c>
      <c r="R197" t="s">
        <v>97</v>
      </c>
      <c r="S197" t="s">
        <v>54</v>
      </c>
      <c r="T197">
        <v>435600</v>
      </c>
      <c r="U197" t="s">
        <v>2796</v>
      </c>
      <c r="W197" t="s">
        <v>55</v>
      </c>
      <c r="Y197" t="s">
        <v>54</v>
      </c>
      <c r="AA197" t="s">
        <v>55</v>
      </c>
      <c r="AE197" t="s">
        <v>55</v>
      </c>
      <c r="AG197" t="s">
        <v>54</v>
      </c>
      <c r="AI197" t="s">
        <v>55</v>
      </c>
      <c r="AK197" t="s">
        <v>55</v>
      </c>
      <c r="AM197" t="s">
        <v>55</v>
      </c>
      <c r="AO197" t="s">
        <v>55</v>
      </c>
      <c r="AQ197" t="s">
        <v>54</v>
      </c>
      <c r="AR197">
        <v>80000</v>
      </c>
      <c r="AS197">
        <v>0.0536</v>
      </c>
      <c r="AT197" t="s">
        <v>2797</v>
      </c>
      <c r="AU197">
        <v>80</v>
      </c>
      <c r="AW197" t="s">
        <v>2798</v>
      </c>
      <c r="AX197" t="s">
        <v>2799</v>
      </c>
      <c r="AY197" t="s">
        <v>2800</v>
      </c>
      <c r="AZ197" t="s">
        <v>2801</v>
      </c>
      <c r="BA197" t="s">
        <v>2802</v>
      </c>
      <c r="BD197" t="s">
        <v>1638</v>
      </c>
      <c r="BE197" t="s">
        <v>2801</v>
      </c>
      <c r="BG197" t="s">
        <v>1639</v>
      </c>
      <c r="BH197" t="s">
        <v>1640</v>
      </c>
      <c r="BJ197" s="3" t="str">
        <f>HYPERLINK("https://www.tiktok.com/@elpakkun/video/7457701104311078149?_r=1&amp;_t=ZS-8suLlSR72eX","https://www.tiktok.com/@elpakkun/video/7457701104311078149?_r=1&amp;_t=ZS-8suLlSR72eX")</f>
        <v>https://www.tiktok.com/@elpakkun/video/7457701104311078149?_r=1&amp;_t=ZS-8suLlSR72eX</v>
      </c>
    </row>
    <row r="198" ht="25.5" customHeight="1" spans="1:62">
      <c r="A198" t="s">
        <v>2803</v>
      </c>
      <c r="B198" t="s">
        <v>1638</v>
      </c>
      <c r="C198" t="s">
        <v>2153</v>
      </c>
      <c r="F198" s="2"/>
      <c r="H198" t="s">
        <v>1663</v>
      </c>
      <c r="J198" t="s">
        <v>1644</v>
      </c>
      <c r="K198" s="3" t="str">
        <f>HYPERLINK("https://x.com/Parul_Gautam7/status/1876545057068896762","https://x.com/Parul_Gautam7/status/1876545057068896762")</f>
        <v>https://x.com/Parul_Gautam7/status/1876545057068896762</v>
      </c>
      <c r="L198" t="s">
        <v>1630</v>
      </c>
      <c r="N198" s="3"/>
      <c r="O198" s="3" t="str">
        <f>HYPERLINK("https://x.com/Parul_Gautam7","https://x.com/Parul_Gautam7")</f>
        <v>https://x.com/Parul_Gautam7</v>
      </c>
      <c r="P198" t="s">
        <v>1816</v>
      </c>
      <c r="Q198" t="s">
        <v>1817</v>
      </c>
      <c r="R198" t="s">
        <v>1631</v>
      </c>
      <c r="S198" t="s">
        <v>54</v>
      </c>
      <c r="T198">
        <v>65300</v>
      </c>
      <c r="U198" t="s">
        <v>55</v>
      </c>
      <c r="W198" t="s">
        <v>55</v>
      </c>
      <c r="Y198" t="s">
        <v>54</v>
      </c>
      <c r="AA198" t="s">
        <v>55</v>
      </c>
      <c r="AE198" t="s">
        <v>55</v>
      </c>
      <c r="AG198" t="s">
        <v>54</v>
      </c>
      <c r="AI198" t="s">
        <v>55</v>
      </c>
      <c r="AK198" t="s">
        <v>55</v>
      </c>
      <c r="AM198" t="s">
        <v>55</v>
      </c>
      <c r="AO198" t="s">
        <v>55</v>
      </c>
      <c r="AQ198" t="s">
        <v>54</v>
      </c>
      <c r="AR198">
        <v>8000</v>
      </c>
      <c r="AS198">
        <v>0.06</v>
      </c>
      <c r="AT198" t="s">
        <v>2804</v>
      </c>
      <c r="AU198">
        <v>80</v>
      </c>
      <c r="AW198" t="s">
        <v>2805</v>
      </c>
      <c r="AX198" t="s">
        <v>139</v>
      </c>
      <c r="AY198" t="s">
        <v>140</v>
      </c>
      <c r="AZ198" t="s">
        <v>2102</v>
      </c>
      <c r="BA198" t="s">
        <v>2241</v>
      </c>
      <c r="BD198" t="s">
        <v>1638</v>
      </c>
      <c r="BE198" t="s">
        <v>2102</v>
      </c>
      <c r="BG198" t="s">
        <v>1639</v>
      </c>
      <c r="BH198" t="s">
        <v>1640</v>
      </c>
      <c r="BJ198" s="3" t="str">
        <f>HYPERLINK("https://x.com/Parul_Gautam7/status/1876545057068896762","https://x.com/Parul_Gautam7/status/1876545057068896762")</f>
        <v>https://x.com/Parul_Gautam7/status/1876545057068896762</v>
      </c>
    </row>
    <row r="199" ht="25.5" customHeight="1" spans="1:62">
      <c r="A199" t="s">
        <v>2806</v>
      </c>
      <c r="B199" t="s">
        <v>1625</v>
      </c>
      <c r="C199" t="s">
        <v>1688</v>
      </c>
      <c r="D199" t="s">
        <v>1627</v>
      </c>
      <c r="F199" s="2"/>
      <c r="H199" t="s">
        <v>1806</v>
      </c>
      <c r="I199" t="s">
        <v>2807</v>
      </c>
      <c r="J199" t="s">
        <v>1629</v>
      </c>
      <c r="K199" s="3" t="str">
        <f>HYPERLINK("https://vm.tiktok.com/ZMkmrYXvT/","https://vm.tiktok.com/ZMkmrYXvT/")</f>
        <v>https://vm.tiktok.com/ZMkmrYXvT/</v>
      </c>
      <c r="L199" t="s">
        <v>1630</v>
      </c>
      <c r="N199" s="3" t="str">
        <f>HYPERLINK("https://app.hypeauditor.com/my-network/influencer/31894750/analytics/tiktok/studygram_german","https://app.hypeauditor.com/my-network/influencer/31894750/analytics/tiktok/studygram_german")</f>
        <v>https://app.hypeauditor.com/my-network/influencer/31894750/analytics/tiktok/studygram_german</v>
      </c>
      <c r="O199" s="3"/>
      <c r="P199" t="s">
        <v>56</v>
      </c>
      <c r="Q199" t="s">
        <v>57</v>
      </c>
      <c r="R199" t="s">
        <v>2510</v>
      </c>
      <c r="S199" t="s">
        <v>54</v>
      </c>
      <c r="T199">
        <v>34100</v>
      </c>
      <c r="U199" t="s">
        <v>55</v>
      </c>
      <c r="W199" t="s">
        <v>55</v>
      </c>
      <c r="Y199" t="s">
        <v>54</v>
      </c>
      <c r="AA199" t="s">
        <v>55</v>
      </c>
      <c r="AE199" t="s">
        <v>55</v>
      </c>
      <c r="AG199" t="s">
        <v>54</v>
      </c>
      <c r="AI199" t="s">
        <v>55</v>
      </c>
      <c r="AK199" t="s">
        <v>55</v>
      </c>
      <c r="AM199" t="s">
        <v>55</v>
      </c>
      <c r="AO199" t="s">
        <v>55</v>
      </c>
      <c r="AQ199" t="s">
        <v>54</v>
      </c>
      <c r="AR199">
        <v>10000</v>
      </c>
      <c r="AS199">
        <v>0.05</v>
      </c>
      <c r="AT199" t="s">
        <v>2808</v>
      </c>
      <c r="AU199">
        <v>80</v>
      </c>
      <c r="AW199" t="s">
        <v>2809</v>
      </c>
      <c r="AX199" t="s">
        <v>2155</v>
      </c>
      <c r="AY199" t="s">
        <v>1931</v>
      </c>
      <c r="AZ199" t="s">
        <v>2085</v>
      </c>
      <c r="BA199" t="s">
        <v>2810</v>
      </c>
      <c r="BD199" t="s">
        <v>1638</v>
      </c>
      <c r="BE199" t="s">
        <v>2085</v>
      </c>
      <c r="BG199" t="s">
        <v>1639</v>
      </c>
      <c r="BH199" t="s">
        <v>1640</v>
      </c>
      <c r="BJ199" s="3" t="str">
        <f>HYPERLINK("https://vm.tiktok.com/ZMkmrYXvT/","https://vm.tiktok.com/ZMkmrYXvT/")</f>
        <v>https://vm.tiktok.com/ZMkmrYXvT/</v>
      </c>
    </row>
    <row r="200" ht="25.5" customHeight="1" spans="1:62">
      <c r="A200" t="s">
        <v>2811</v>
      </c>
      <c r="B200" t="s">
        <v>1625</v>
      </c>
      <c r="F200" s="2"/>
      <c r="K200" s="3" t="str">
        <f>HYPERLINK("https://www.instagram.com/reel/DEj7QAGqh8H/?igsh=czB4OHdmNDBwMzJi","https://www.instagram.com/reel/DEj7QAGqh8H/?igsh=czB4OHdmNDBwMzJi")</f>
        <v>https://www.instagram.com/reel/DEj7QAGqh8H/?igsh=czB4OHdmNDBwMzJi</v>
      </c>
      <c r="L200" t="s">
        <v>1630</v>
      </c>
      <c r="N200" s="3"/>
      <c r="O200" s="3"/>
      <c r="P200" t="s">
        <v>65</v>
      </c>
      <c r="Q200" t="s">
        <v>116</v>
      </c>
      <c r="R200" t="s">
        <v>1703</v>
      </c>
      <c r="S200" t="s">
        <v>54</v>
      </c>
      <c r="W200" t="s">
        <v>55</v>
      </c>
      <c r="Y200" t="s">
        <v>54</v>
      </c>
      <c r="AA200" t="s">
        <v>55</v>
      </c>
      <c r="AE200" t="s">
        <v>55</v>
      </c>
      <c r="AG200" t="s">
        <v>54</v>
      </c>
      <c r="AI200" t="s">
        <v>55</v>
      </c>
      <c r="AK200" t="s">
        <v>55</v>
      </c>
      <c r="AM200" t="s">
        <v>55</v>
      </c>
      <c r="AO200" t="s">
        <v>55</v>
      </c>
      <c r="AQ200" t="s">
        <v>54</v>
      </c>
      <c r="AT200" t="s">
        <v>54</v>
      </c>
      <c r="AU200">
        <v>75</v>
      </c>
      <c r="AW200" t="s">
        <v>54</v>
      </c>
      <c r="BD200" t="s">
        <v>1638</v>
      </c>
      <c r="BG200" t="s">
        <v>1639</v>
      </c>
      <c r="BH200" t="s">
        <v>1640</v>
      </c>
      <c r="BI200" t="s">
        <v>2591</v>
      </c>
      <c r="BJ200" s="3" t="str">
        <f>HYPERLINK("https://www.instagram.com/reel/DEj7QAGqh8H/?igsh=czB4OHdmNDBwMzJi","https://www.instagram.com/reel/DEj7QAGqh8H/?igsh=czB4OHdmNDBwMzJi")</f>
        <v>https://www.instagram.com/reel/DEj7QAGqh8H/?igsh=czB4OHdmNDBwMzJi</v>
      </c>
    </row>
    <row r="201" ht="25.5" customHeight="1" spans="1:62">
      <c r="A201" t="s">
        <v>1124</v>
      </c>
      <c r="B201" t="s">
        <v>1701</v>
      </c>
      <c r="C201" t="s">
        <v>2812</v>
      </c>
      <c r="D201" t="s">
        <v>1627</v>
      </c>
      <c r="F201" s="2"/>
      <c r="J201" t="s">
        <v>2309</v>
      </c>
      <c r="K201" s="3" t="str">
        <f>HYPERLINK("https://www.tiktok.com/@tiktok_astro_11/video/7460575861566229793","https://www.tiktok.com/@tiktok_astro_11/video/7460575861566229793")</f>
        <v>https://www.tiktok.com/@tiktok_astro_11/video/7460575861566229793</v>
      </c>
      <c r="L201" t="s">
        <v>1630</v>
      </c>
      <c r="N201" s="3" t="str">
        <f>HYPERLINK("https://app.hypeauditor.com/my-network/influencer/33240753/analytics/tiktok/tiktok_astro_11","https://app.hypeauditor.com/my-network/influencer/33240753/analytics/tiktok/tiktok_astro_11")</f>
        <v>https://app.hypeauditor.com/my-network/influencer/33240753/analytics/tiktok/tiktok_astro_11</v>
      </c>
      <c r="O201" s="3" t="str">
        <f>HYPERLINK("https://www.tiktok.com/@tiktok_astro_11","https://www.tiktok.com/@tiktok_astro_11")</f>
        <v>https://www.tiktok.com/@tiktok_astro_11</v>
      </c>
      <c r="P201" t="s">
        <v>56</v>
      </c>
      <c r="Q201" t="s">
        <v>57</v>
      </c>
      <c r="R201" t="s">
        <v>1779</v>
      </c>
      <c r="S201" t="s">
        <v>54</v>
      </c>
      <c r="T201">
        <v>11500</v>
      </c>
      <c r="U201" t="s">
        <v>55</v>
      </c>
      <c r="W201" t="s">
        <v>55</v>
      </c>
      <c r="Y201" t="s">
        <v>54</v>
      </c>
      <c r="AA201" t="s">
        <v>55</v>
      </c>
      <c r="AE201" t="s">
        <v>55</v>
      </c>
      <c r="AG201" t="s">
        <v>54</v>
      </c>
      <c r="AI201" t="s">
        <v>55</v>
      </c>
      <c r="AK201" t="s">
        <v>55</v>
      </c>
      <c r="AM201" t="s">
        <v>55</v>
      </c>
      <c r="AO201" t="s">
        <v>55</v>
      </c>
      <c r="AQ201" t="s">
        <v>54</v>
      </c>
      <c r="AR201">
        <v>8500</v>
      </c>
      <c r="AS201">
        <v>0.059</v>
      </c>
      <c r="AT201" t="s">
        <v>2813</v>
      </c>
      <c r="AU201">
        <v>75</v>
      </c>
      <c r="AW201" t="s">
        <v>2814</v>
      </c>
      <c r="AX201" t="s">
        <v>901</v>
      </c>
      <c r="AY201" t="s">
        <v>2815</v>
      </c>
      <c r="AZ201" t="s">
        <v>2816</v>
      </c>
      <c r="BA201" t="s">
        <v>2817</v>
      </c>
      <c r="BD201" t="s">
        <v>1638</v>
      </c>
      <c r="BE201" t="s">
        <v>2816</v>
      </c>
      <c r="BG201" t="s">
        <v>1639</v>
      </c>
      <c r="BH201" t="s">
        <v>1640</v>
      </c>
      <c r="BJ201" s="3" t="str">
        <f>HYPERLINK("https://www.tiktok.com/@tiktok_astro_11/video/7460575861566229793","https://www.tiktok.com/@tiktok_astro_11/video/7460575861566229793")</f>
        <v>https://www.tiktok.com/@tiktok_astro_11/video/7460575861566229793</v>
      </c>
    </row>
    <row r="202" ht="25.5" customHeight="1" spans="1:62">
      <c r="A202" t="s">
        <v>2818</v>
      </c>
      <c r="B202" t="s">
        <v>1625</v>
      </c>
      <c r="C202" t="s">
        <v>2819</v>
      </c>
      <c r="F202" s="2"/>
      <c r="I202" t="s">
        <v>2820</v>
      </c>
      <c r="J202" t="s">
        <v>1644</v>
      </c>
      <c r="K202" s="3" t="str">
        <f>HYPERLINK("https://vt.tiktok.com/ZS6TusnqD/","https://vt.tiktok.com/ZS6TusnqD/")</f>
        <v>https://vt.tiktok.com/ZS6TusnqD/</v>
      </c>
      <c r="L202" t="s">
        <v>1630</v>
      </c>
      <c r="N202" s="3"/>
      <c r="O202" s="3" t="str">
        <f>HYPERLINK("https://www.tiktok.com/@sneyder.gtx","https://www.tiktok.com/@sneyder.gtx")</f>
        <v>https://www.tiktok.com/@sneyder.gtx</v>
      </c>
      <c r="P202" t="s">
        <v>56</v>
      </c>
      <c r="Q202" t="s">
        <v>57</v>
      </c>
      <c r="R202" t="s">
        <v>97</v>
      </c>
      <c r="S202" t="s">
        <v>54</v>
      </c>
      <c r="T202">
        <v>9923</v>
      </c>
      <c r="U202" t="s">
        <v>55</v>
      </c>
      <c r="W202" t="s">
        <v>55</v>
      </c>
      <c r="Y202" t="s">
        <v>54</v>
      </c>
      <c r="AA202" t="s">
        <v>55</v>
      </c>
      <c r="AE202" t="s">
        <v>55</v>
      </c>
      <c r="AG202" t="s">
        <v>54</v>
      </c>
      <c r="AI202" t="s">
        <v>55</v>
      </c>
      <c r="AK202" t="s">
        <v>55</v>
      </c>
      <c r="AM202" t="s">
        <v>55</v>
      </c>
      <c r="AO202" t="s">
        <v>55</v>
      </c>
      <c r="AQ202" t="s">
        <v>54</v>
      </c>
      <c r="AR202">
        <v>20000</v>
      </c>
      <c r="AS202">
        <v>0.034</v>
      </c>
      <c r="AT202" t="s">
        <v>2821</v>
      </c>
      <c r="AU202">
        <v>72</v>
      </c>
      <c r="AW202" t="s">
        <v>2822</v>
      </c>
      <c r="AX202" t="s">
        <v>1827</v>
      </c>
      <c r="AY202" t="s">
        <v>2823</v>
      </c>
      <c r="AZ202" t="s">
        <v>2486</v>
      </c>
      <c r="BA202" t="s">
        <v>2824</v>
      </c>
      <c r="BD202" t="s">
        <v>1638</v>
      </c>
      <c r="BE202" t="s">
        <v>2486</v>
      </c>
      <c r="BG202" t="s">
        <v>1639</v>
      </c>
      <c r="BH202" t="s">
        <v>1640</v>
      </c>
      <c r="BJ202" s="3" t="str">
        <f>HYPERLINK("https://vt.tiktok.com/ZS6TusnqD/","https://vt.tiktok.com/ZS6TusnqD/")</f>
        <v>https://vt.tiktok.com/ZS6TusnqD/</v>
      </c>
    </row>
    <row r="203" ht="25.5" customHeight="1" spans="1:62">
      <c r="A203" t="s">
        <v>2825</v>
      </c>
      <c r="B203" t="s">
        <v>1625</v>
      </c>
      <c r="C203" t="s">
        <v>2351</v>
      </c>
      <c r="D203" t="s">
        <v>1627</v>
      </c>
      <c r="F203" s="2"/>
      <c r="J203" t="s">
        <v>65</v>
      </c>
      <c r="K203" s="3" t="str">
        <f>HYPERLINK("https://www.instagram.com/reel/DEnN0KbIoJC/","https://www.instagram.com/reel/DEnN0KbIoJC/")</f>
        <v>https://www.instagram.com/reel/DEnN0KbIoJC/</v>
      </c>
      <c r="L203" t="s">
        <v>1630</v>
      </c>
      <c r="N203" s="3" t="str">
        <f>HYPERLINK("https://app.hypeauditor.com/my-network/influencer/1362517/analytics/instagram/bestminimalsetup","https://app.hypeauditor.com/my-network/influencer/1362517/analytics/instagram/bestminimalsetup")</f>
        <v>https://app.hypeauditor.com/my-network/influencer/1362517/analytics/instagram/bestminimalsetup</v>
      </c>
      <c r="O203" s="3"/>
      <c r="P203" t="s">
        <v>65</v>
      </c>
      <c r="Q203" t="s">
        <v>116</v>
      </c>
      <c r="R203" t="s">
        <v>1887</v>
      </c>
      <c r="S203" t="s">
        <v>54</v>
      </c>
      <c r="W203" t="s">
        <v>55</v>
      </c>
      <c r="Y203" t="s">
        <v>54</v>
      </c>
      <c r="AA203" t="s">
        <v>55</v>
      </c>
      <c r="AE203" t="s">
        <v>55</v>
      </c>
      <c r="AG203" t="s">
        <v>54</v>
      </c>
      <c r="AI203" t="s">
        <v>55</v>
      </c>
      <c r="AK203" t="s">
        <v>55</v>
      </c>
      <c r="AM203" t="s">
        <v>55</v>
      </c>
      <c r="AO203" t="s">
        <v>55</v>
      </c>
      <c r="AQ203" t="s">
        <v>54</v>
      </c>
      <c r="AT203" t="s">
        <v>54</v>
      </c>
      <c r="AU203">
        <v>71.5</v>
      </c>
      <c r="AW203" t="s">
        <v>54</v>
      </c>
      <c r="BD203" t="s">
        <v>1638</v>
      </c>
      <c r="BG203" t="s">
        <v>1639</v>
      </c>
      <c r="BH203" t="s">
        <v>1640</v>
      </c>
      <c r="BI203" t="s">
        <v>2702</v>
      </c>
      <c r="BJ203" s="3" t="str">
        <f>HYPERLINK("https://www.instagram.com/reel/DEnN0KbIoJC/","https://www.instagram.com/reel/DEnN0KbIoJC/")</f>
        <v>https://www.instagram.com/reel/DEnN0KbIoJC/</v>
      </c>
    </row>
    <row r="204" ht="25.5" customHeight="1" spans="1:62">
      <c r="A204" t="s">
        <v>2826</v>
      </c>
      <c r="B204" t="s">
        <v>1625</v>
      </c>
      <c r="C204" t="s">
        <v>2351</v>
      </c>
      <c r="D204" t="s">
        <v>1627</v>
      </c>
      <c r="F204" s="2"/>
      <c r="J204" t="s">
        <v>65</v>
      </c>
      <c r="K204" s="3" t="str">
        <f>HYPERLINK("https://www.instagram.com/p/DEkahU7N7-c/","https://www.instagram.com/p/DEkahU7N7-c/")</f>
        <v>https://www.instagram.com/p/DEkahU7N7-c/</v>
      </c>
      <c r="L204" t="s">
        <v>1630</v>
      </c>
      <c r="N204" s="3" t="str">
        <f>HYPERLINK("https://app.hypeauditor.com/my-network/influencer/1380180/analytics/instagram/cleandeskspace","https://app.hypeauditor.com/my-network/influencer/1380180/analytics/instagram/cleandeskspace")</f>
        <v>https://app.hypeauditor.com/my-network/influencer/1380180/analytics/instagram/cleandeskspace</v>
      </c>
      <c r="O204" s="3"/>
      <c r="P204" t="s">
        <v>65</v>
      </c>
      <c r="Q204" t="s">
        <v>116</v>
      </c>
      <c r="R204" t="s">
        <v>1887</v>
      </c>
      <c r="S204" t="s">
        <v>54</v>
      </c>
      <c r="W204" t="s">
        <v>55</v>
      </c>
      <c r="Y204" t="s">
        <v>54</v>
      </c>
      <c r="AA204" t="s">
        <v>55</v>
      </c>
      <c r="AE204" t="s">
        <v>55</v>
      </c>
      <c r="AG204" t="s">
        <v>54</v>
      </c>
      <c r="AI204" t="s">
        <v>55</v>
      </c>
      <c r="AK204" t="s">
        <v>55</v>
      </c>
      <c r="AM204" t="s">
        <v>55</v>
      </c>
      <c r="AO204" t="s">
        <v>55</v>
      </c>
      <c r="AQ204" t="s">
        <v>54</v>
      </c>
      <c r="AT204" t="s">
        <v>54</v>
      </c>
      <c r="AU204">
        <v>71.5</v>
      </c>
      <c r="AW204" t="s">
        <v>54</v>
      </c>
      <c r="BD204" t="s">
        <v>1638</v>
      </c>
      <c r="BG204" t="s">
        <v>1639</v>
      </c>
      <c r="BH204" t="s">
        <v>1640</v>
      </c>
      <c r="BI204" t="s">
        <v>2702</v>
      </c>
      <c r="BJ204" s="3" t="str">
        <f>HYPERLINK("https://www.instagram.com/p/DEkahU7N7-c/","https://www.instagram.com/p/DEkahU7N7-c/")</f>
        <v>https://www.instagram.com/p/DEkahU7N7-c/</v>
      </c>
    </row>
    <row r="205" ht="25.5" customHeight="1" spans="1:62">
      <c r="A205" t="s">
        <v>2827</v>
      </c>
      <c r="B205" t="s">
        <v>1625</v>
      </c>
      <c r="C205" t="s">
        <v>2351</v>
      </c>
      <c r="D205" t="s">
        <v>1627</v>
      </c>
      <c r="F205" s="2"/>
      <c r="J205" t="s">
        <v>65</v>
      </c>
      <c r="K205" s="3" t="str">
        <f>HYPERLINK("https://www.instagram.com/p/DEnNbylNQQd/","https://www.instagram.com/p/DEnNbylNQQd/")</f>
        <v>https://www.instagram.com/p/DEnNbylNQQd/</v>
      </c>
      <c r="L205" t="s">
        <v>1630</v>
      </c>
      <c r="N205" s="3" t="str">
        <f>HYPERLINK("https://app.hypeauditor.com/my-network/influencer/1841538/analytics/instagram/ourdesksetup","https://app.hypeauditor.com/my-network/influencer/1841538/analytics/instagram/ourdesksetup")</f>
        <v>https://app.hypeauditor.com/my-network/influencer/1841538/analytics/instagram/ourdesksetup</v>
      </c>
      <c r="O205" s="3"/>
      <c r="P205" t="s">
        <v>65</v>
      </c>
      <c r="Q205" t="s">
        <v>116</v>
      </c>
      <c r="R205" t="s">
        <v>1779</v>
      </c>
      <c r="S205" t="s">
        <v>54</v>
      </c>
      <c r="W205" t="s">
        <v>55</v>
      </c>
      <c r="Y205" t="s">
        <v>54</v>
      </c>
      <c r="AA205" t="s">
        <v>55</v>
      </c>
      <c r="AE205" t="s">
        <v>55</v>
      </c>
      <c r="AG205" t="s">
        <v>54</v>
      </c>
      <c r="AI205" t="s">
        <v>55</v>
      </c>
      <c r="AK205" t="s">
        <v>55</v>
      </c>
      <c r="AM205" t="s">
        <v>55</v>
      </c>
      <c r="AO205" t="s">
        <v>55</v>
      </c>
      <c r="AQ205" t="s">
        <v>54</v>
      </c>
      <c r="AT205" t="s">
        <v>54</v>
      </c>
      <c r="AU205">
        <v>71.5</v>
      </c>
      <c r="AW205" t="s">
        <v>54</v>
      </c>
      <c r="BD205" t="s">
        <v>1638</v>
      </c>
      <c r="BG205" t="s">
        <v>1639</v>
      </c>
      <c r="BH205" t="s">
        <v>1640</v>
      </c>
      <c r="BI205" t="s">
        <v>2702</v>
      </c>
      <c r="BJ205" s="3" t="str">
        <f>HYPERLINK("https://www.instagram.com/p/DEnNbylNQQd/","https://www.instagram.com/p/DEnNbylNQQd/")</f>
        <v>https://www.instagram.com/p/DEnNbylNQQd/</v>
      </c>
    </row>
    <row r="206" ht="25.5" customHeight="1" spans="1:62">
      <c r="A206" t="s">
        <v>2828</v>
      </c>
      <c r="B206" t="s">
        <v>1625</v>
      </c>
      <c r="C206" t="s">
        <v>2351</v>
      </c>
      <c r="D206" t="s">
        <v>1627</v>
      </c>
      <c r="F206" s="2"/>
      <c r="J206" t="s">
        <v>65</v>
      </c>
      <c r="K206" s="3" t="str">
        <f>HYPERLINK("https://www.instagram.com/p/DEkaPmqN8OI/","https://www.instagram.com/p/DEkaPmqN8OI/")</f>
        <v>https://www.instagram.com/p/DEkaPmqN8OI/</v>
      </c>
      <c r="L206" t="s">
        <v>1630</v>
      </c>
      <c r="N206" s="3" t="str">
        <f>HYPERLINK("https://app.hypeauditor.com/my-network/influencer/4662146/analytics/instagram/setupatic","https://app.hypeauditor.com/my-network/influencer/4662146/analytics/instagram/setupatic")</f>
        <v>https://app.hypeauditor.com/my-network/influencer/4662146/analytics/instagram/setupatic</v>
      </c>
      <c r="O206" s="3"/>
      <c r="P206" t="s">
        <v>65</v>
      </c>
      <c r="Q206" t="s">
        <v>116</v>
      </c>
      <c r="R206" t="s">
        <v>1631</v>
      </c>
      <c r="S206" t="s">
        <v>54</v>
      </c>
      <c r="W206" t="s">
        <v>55</v>
      </c>
      <c r="Y206" t="s">
        <v>54</v>
      </c>
      <c r="AA206" t="s">
        <v>55</v>
      </c>
      <c r="AE206" t="s">
        <v>55</v>
      </c>
      <c r="AG206" t="s">
        <v>54</v>
      </c>
      <c r="AI206" t="s">
        <v>55</v>
      </c>
      <c r="AK206" t="s">
        <v>55</v>
      </c>
      <c r="AM206" t="s">
        <v>55</v>
      </c>
      <c r="AO206" t="s">
        <v>55</v>
      </c>
      <c r="AQ206" t="s">
        <v>54</v>
      </c>
      <c r="AT206" t="s">
        <v>54</v>
      </c>
      <c r="AU206">
        <v>71.5</v>
      </c>
      <c r="AW206" t="s">
        <v>54</v>
      </c>
      <c r="BD206" t="s">
        <v>1638</v>
      </c>
      <c r="BG206" t="s">
        <v>1639</v>
      </c>
      <c r="BH206" t="s">
        <v>1640</v>
      </c>
      <c r="BI206" t="s">
        <v>2702</v>
      </c>
      <c r="BJ206" s="3" t="str">
        <f>HYPERLINK("https://www.instagram.com/p/DEkaPmqN8OI/","https://www.instagram.com/p/DEkaPmqN8OI/")</f>
        <v>https://www.instagram.com/p/DEkaPmqN8OI/</v>
      </c>
    </row>
    <row r="207" ht="25.5" customHeight="1" spans="1:62">
      <c r="A207" t="s">
        <v>2829</v>
      </c>
      <c r="B207" t="s">
        <v>1625</v>
      </c>
      <c r="C207" t="s">
        <v>2351</v>
      </c>
      <c r="D207" t="s">
        <v>1627</v>
      </c>
      <c r="F207" s="2"/>
      <c r="J207" t="s">
        <v>65</v>
      </c>
      <c r="K207" s="3" t="str">
        <f>HYPERLINK("https://www.instagram.com/p/DEnNn-st-ce/","https://www.instagram.com/p/DEnNn-st-ce/")</f>
        <v>https://www.instagram.com/p/DEnNn-st-ce/</v>
      </c>
      <c r="L207" t="s">
        <v>1630</v>
      </c>
      <c r="N207" s="3" t="str">
        <f>HYPERLINK("https://app.hypeauditor.com/my-network/influencer/1380180/analytics/instagram/cleandeskspace","https://app.hypeauditor.com/my-network/influencer/1380180/analytics/instagram/cleandeskspace")</f>
        <v>https://app.hypeauditor.com/my-network/influencer/1380180/analytics/instagram/cleandeskspace</v>
      </c>
      <c r="O207" s="3"/>
      <c r="P207" t="s">
        <v>65</v>
      </c>
      <c r="Q207" t="s">
        <v>116</v>
      </c>
      <c r="R207" t="s">
        <v>1631</v>
      </c>
      <c r="S207" t="s">
        <v>54</v>
      </c>
      <c r="W207" t="s">
        <v>55</v>
      </c>
      <c r="Y207" t="s">
        <v>54</v>
      </c>
      <c r="AA207" t="s">
        <v>55</v>
      </c>
      <c r="AE207" t="s">
        <v>55</v>
      </c>
      <c r="AG207" t="s">
        <v>54</v>
      </c>
      <c r="AI207" t="s">
        <v>55</v>
      </c>
      <c r="AK207" t="s">
        <v>55</v>
      </c>
      <c r="AM207" t="s">
        <v>55</v>
      </c>
      <c r="AO207" t="s">
        <v>55</v>
      </c>
      <c r="AQ207" t="s">
        <v>54</v>
      </c>
      <c r="AT207" t="s">
        <v>54</v>
      </c>
      <c r="AU207">
        <v>71.5</v>
      </c>
      <c r="AW207" t="s">
        <v>54</v>
      </c>
      <c r="BD207" t="s">
        <v>1638</v>
      </c>
      <c r="BG207" t="s">
        <v>1639</v>
      </c>
      <c r="BH207" t="s">
        <v>1640</v>
      </c>
      <c r="BI207" t="s">
        <v>2702</v>
      </c>
      <c r="BJ207" s="3" t="str">
        <f>HYPERLINK("https://www.instagram.com/p/DEnNn-st-ce/","https://www.instagram.com/p/DEnNn-st-ce/")</f>
        <v>https://www.instagram.com/p/DEnNn-st-ce/</v>
      </c>
    </row>
    <row r="208" ht="25.5" customHeight="1" spans="1:62">
      <c r="A208" t="s">
        <v>2830</v>
      </c>
      <c r="B208" t="s">
        <v>1625</v>
      </c>
      <c r="C208" t="s">
        <v>2351</v>
      </c>
      <c r="D208" t="s">
        <v>1627</v>
      </c>
      <c r="F208" s="2"/>
      <c r="J208" t="s">
        <v>65</v>
      </c>
      <c r="K208" s="3" t="str">
        <f>HYPERLINK("https://www.instagram.com/p/DEkZ8b0tx3B/","https://www.instagram.com/p/DEkZ8b0tx3B/")</f>
        <v>https://www.instagram.com/p/DEkZ8b0tx3B/</v>
      </c>
      <c r="L208" t="s">
        <v>1630</v>
      </c>
      <c r="N208" s="3" t="str">
        <f>HYPERLINK("https://app.hypeauditor.com/my-network/influencer/2029579/analytics/instagram/elitesetup","https://app.hypeauditor.com/my-network/influencer/2029579/analytics/instagram/elitesetup")</f>
        <v>https://app.hypeauditor.com/my-network/influencer/2029579/analytics/instagram/elitesetup</v>
      </c>
      <c r="O208" s="3"/>
      <c r="P208" t="s">
        <v>65</v>
      </c>
      <c r="Q208" t="s">
        <v>116</v>
      </c>
      <c r="R208" t="s">
        <v>97</v>
      </c>
      <c r="S208" t="s">
        <v>54</v>
      </c>
      <c r="W208" t="s">
        <v>55</v>
      </c>
      <c r="Y208" t="s">
        <v>54</v>
      </c>
      <c r="AA208" t="s">
        <v>55</v>
      </c>
      <c r="AE208" t="s">
        <v>55</v>
      </c>
      <c r="AG208" t="s">
        <v>54</v>
      </c>
      <c r="AI208" t="s">
        <v>55</v>
      </c>
      <c r="AK208" t="s">
        <v>55</v>
      </c>
      <c r="AM208" t="s">
        <v>55</v>
      </c>
      <c r="AO208" t="s">
        <v>55</v>
      </c>
      <c r="AQ208" t="s">
        <v>54</v>
      </c>
      <c r="AT208" t="s">
        <v>54</v>
      </c>
      <c r="AU208">
        <v>71.5</v>
      </c>
      <c r="AW208" t="s">
        <v>54</v>
      </c>
      <c r="BD208" t="s">
        <v>1638</v>
      </c>
      <c r="BG208" t="s">
        <v>1639</v>
      </c>
      <c r="BH208" t="s">
        <v>1640</v>
      </c>
      <c r="BI208" t="s">
        <v>2702</v>
      </c>
      <c r="BJ208" s="3" t="str">
        <f>HYPERLINK("https://www.instagram.com/p/DEkZ8b0tx3B/","https://www.instagram.com/p/DEkZ8b0tx3B/")</f>
        <v>https://www.instagram.com/p/DEkZ8b0tx3B/</v>
      </c>
    </row>
    <row r="209" ht="25.5" customHeight="1" spans="1:62">
      <c r="A209" t="s">
        <v>2831</v>
      </c>
      <c r="B209" t="s">
        <v>1701</v>
      </c>
      <c r="C209" t="s">
        <v>2832</v>
      </c>
      <c r="D209" t="s">
        <v>1627</v>
      </c>
      <c r="F209" s="2">
        <v>45664</v>
      </c>
      <c r="H209" t="s">
        <v>2833</v>
      </c>
      <c r="I209" t="s">
        <v>363</v>
      </c>
      <c r="J209" t="s">
        <v>1644</v>
      </c>
      <c r="K209" s="3" t="str">
        <f>HYPERLINK("https://vm.tiktok.com/ZMkfBjVWS/","https://vm.tiktok.com/ZMkfBjVWS/")</f>
        <v>https://vm.tiktok.com/ZMkfBjVWS/</v>
      </c>
      <c r="L209" t="s">
        <v>1630</v>
      </c>
      <c r="N209" s="3" t="str">
        <f>HYPERLINK("https://app.hypeauditor.com/my-network/influencer/7915557/analytics/tiktok/harveyrenn","https://app.hypeauditor.com/my-network/influencer/7915557/analytics/tiktok/harveyrenn")</f>
        <v>https://app.hypeauditor.com/my-network/influencer/7915557/analytics/tiktok/harveyrenn</v>
      </c>
      <c r="O209" s="3" t="str">
        <f>HYPERLINK("https://www.tiktok.com/@harveyrenn","https://www.tiktok.com/@harveyrenn")</f>
        <v>https://www.tiktok.com/@harveyrenn</v>
      </c>
      <c r="P209" t="s">
        <v>56</v>
      </c>
      <c r="Q209" t="s">
        <v>57</v>
      </c>
      <c r="R209" t="s">
        <v>1887</v>
      </c>
      <c r="S209" t="s">
        <v>54</v>
      </c>
      <c r="T209">
        <v>1200000</v>
      </c>
      <c r="U209" t="s">
        <v>117</v>
      </c>
      <c r="W209" t="s">
        <v>55</v>
      </c>
      <c r="Y209" t="s">
        <v>54</v>
      </c>
      <c r="AA209" t="s">
        <v>55</v>
      </c>
      <c r="AE209" t="s">
        <v>55</v>
      </c>
      <c r="AG209" t="s">
        <v>54</v>
      </c>
      <c r="AI209" t="s">
        <v>55</v>
      </c>
      <c r="AK209" t="s">
        <v>55</v>
      </c>
      <c r="AM209" t="s">
        <v>55</v>
      </c>
      <c r="AO209" t="s">
        <v>55</v>
      </c>
      <c r="AQ209" t="s">
        <v>54</v>
      </c>
      <c r="AR209">
        <v>15000</v>
      </c>
      <c r="AS209">
        <v>0.0774</v>
      </c>
      <c r="AT209" t="s">
        <v>2834</v>
      </c>
      <c r="AU209">
        <v>70</v>
      </c>
      <c r="AW209" t="s">
        <v>2835</v>
      </c>
      <c r="AX209" t="s">
        <v>2625</v>
      </c>
      <c r="AY209" t="s">
        <v>2626</v>
      </c>
      <c r="AZ209" t="s">
        <v>2836</v>
      </c>
      <c r="BA209" t="s">
        <v>2837</v>
      </c>
      <c r="BD209" t="s">
        <v>1638</v>
      </c>
      <c r="BE209" t="s">
        <v>2836</v>
      </c>
      <c r="BG209" t="s">
        <v>1639</v>
      </c>
      <c r="BH209" t="s">
        <v>1640</v>
      </c>
      <c r="BJ209" s="3" t="str">
        <f>HYPERLINK("https://vm.tiktok.com/ZMkfBjVWS/","https://vm.tiktok.com/ZMkfBjVWS/")</f>
        <v>https://vm.tiktok.com/ZMkfBjVWS/</v>
      </c>
    </row>
    <row r="210" ht="25.5" customHeight="1" spans="1:62">
      <c r="A210" t="s">
        <v>2838</v>
      </c>
      <c r="B210" t="s">
        <v>1625</v>
      </c>
      <c r="C210" t="s">
        <v>2839</v>
      </c>
      <c r="D210" t="s">
        <v>1627</v>
      </c>
      <c r="F210" s="2">
        <v>45670</v>
      </c>
      <c r="H210" t="s">
        <v>2774</v>
      </c>
      <c r="I210" t="s">
        <v>2840</v>
      </c>
      <c r="J210" t="s">
        <v>1644</v>
      </c>
      <c r="K210" s="3" t="str">
        <f>HYPERLINK("https://www.tiktok.com/@mr_de2/video/7459916747353771270?_t=ZS-8t4nv2pyQaY&amp;_r=1","https://www.tiktok.com/@mr_de2/video/7459916747353771270?_t=ZS-8t4nv2pyQaY&amp;_r=1")</f>
        <v>https://www.tiktok.com/@mr_de2/video/7459916747353771270?_t=ZS-8t4nv2pyQaY&amp;_r=1</v>
      </c>
      <c r="L210" t="s">
        <v>1630</v>
      </c>
      <c r="N210" s="3" t="str">
        <f>HYPERLINK("https://app.hypeauditor.com/my-network/influencer/24571437/analytics/tiktok/mr_de2","https://app.hypeauditor.com/my-network/influencer/24571437/analytics/tiktok/mr_de2")</f>
        <v>https://app.hypeauditor.com/my-network/influencer/24571437/analytics/tiktok/mr_de2</v>
      </c>
      <c r="O210" s="3"/>
      <c r="P210" t="s">
        <v>56</v>
      </c>
      <c r="Q210" t="s">
        <v>57</v>
      </c>
      <c r="R210" t="s">
        <v>1753</v>
      </c>
      <c r="S210" t="s">
        <v>54</v>
      </c>
      <c r="T210">
        <v>68200</v>
      </c>
      <c r="U210" t="s">
        <v>55</v>
      </c>
      <c r="W210" t="s">
        <v>55</v>
      </c>
      <c r="Y210" t="s">
        <v>54</v>
      </c>
      <c r="AA210" t="s">
        <v>55</v>
      </c>
      <c r="AE210" t="s">
        <v>55</v>
      </c>
      <c r="AG210" t="s">
        <v>54</v>
      </c>
      <c r="AI210" t="s">
        <v>55</v>
      </c>
      <c r="AK210" t="s">
        <v>55</v>
      </c>
      <c r="AM210" t="s">
        <v>55</v>
      </c>
      <c r="AO210" t="s">
        <v>55</v>
      </c>
      <c r="AQ210" t="s">
        <v>54</v>
      </c>
      <c r="AR210">
        <v>9000</v>
      </c>
      <c r="AS210">
        <v>0.07</v>
      </c>
      <c r="AT210" t="s">
        <v>2841</v>
      </c>
      <c r="AU210">
        <v>70</v>
      </c>
      <c r="AW210" t="s">
        <v>2842</v>
      </c>
      <c r="AX210" t="s">
        <v>431</v>
      </c>
      <c r="AY210" t="s">
        <v>2843</v>
      </c>
      <c r="AZ210" t="s">
        <v>1836</v>
      </c>
      <c r="BA210" t="s">
        <v>1884</v>
      </c>
      <c r="BD210" t="s">
        <v>1638</v>
      </c>
      <c r="BE210" t="s">
        <v>1836</v>
      </c>
      <c r="BG210" t="s">
        <v>1639</v>
      </c>
      <c r="BH210" t="s">
        <v>1640</v>
      </c>
      <c r="BJ210" s="3" t="str">
        <f>HYPERLINK("https://www.tiktok.com/@mr_de2/video/7459916747353771270?_t=ZS-8t4nv2pyQaY&amp;_r=1","https://www.tiktok.com/@mr_de2/video/7459916747353771270?_t=ZS-8t4nv2pyQaY&amp;_r=1")</f>
        <v>https://www.tiktok.com/@mr_de2/video/7459916747353771270?_t=ZS-8t4nv2pyQaY&amp;_r=1</v>
      </c>
    </row>
    <row r="211" ht="25.5" customHeight="1" spans="1:62">
      <c r="A211" t="s">
        <v>2844</v>
      </c>
      <c r="B211" t="s">
        <v>1625</v>
      </c>
      <c r="C211" t="s">
        <v>2845</v>
      </c>
      <c r="D211" t="s">
        <v>1627</v>
      </c>
      <c r="F211" s="2"/>
      <c r="H211" t="s">
        <v>1663</v>
      </c>
      <c r="I211" t="s">
        <v>2846</v>
      </c>
      <c r="J211" t="s">
        <v>1644</v>
      </c>
      <c r="K211" s="3" t="str">
        <f>HYPERLINK("https://www.tiktok.com/@xerviatv/video/7459108024041409797?is_from_webapp=1&amp;web_id=7446609952652690990","https://www.tiktok.com/@xerviatv/video/7459108024041409797?is_from_webapp=1&amp;web_id=7446609952652690990")</f>
        <v>https://www.tiktok.com/@xerviatv/video/7459108024041409797?is_from_webapp=1&amp;web_id=7446609952652690990</v>
      </c>
      <c r="L211" t="s">
        <v>1630</v>
      </c>
      <c r="N211" s="3" t="str">
        <f>HYPERLINK("https://app.hypeauditor.com/my-network/influencer/30419442/analytics/tiktok/xerviatv","https://app.hypeauditor.com/my-network/influencer/30419442/analytics/tiktok/xerviatv")</f>
        <v>https://app.hypeauditor.com/my-network/influencer/30419442/analytics/tiktok/xerviatv</v>
      </c>
      <c r="O211" s="3" t="str">
        <f>HYPERLINK("https://www.tiktok.com/@xerviatv","https://www.tiktok.com/@xerviatv")</f>
        <v>https://www.tiktok.com/@xerviatv</v>
      </c>
      <c r="P211" t="s">
        <v>56</v>
      </c>
      <c r="Q211" t="s">
        <v>57</v>
      </c>
      <c r="R211" t="s">
        <v>1753</v>
      </c>
      <c r="S211" t="s">
        <v>54</v>
      </c>
      <c r="T211">
        <v>106900</v>
      </c>
      <c r="U211" t="s">
        <v>2847</v>
      </c>
      <c r="W211" t="s">
        <v>55</v>
      </c>
      <c r="Y211" t="s">
        <v>54</v>
      </c>
      <c r="AA211" t="s">
        <v>55</v>
      </c>
      <c r="AE211" t="s">
        <v>55</v>
      </c>
      <c r="AG211" t="s">
        <v>54</v>
      </c>
      <c r="AI211" t="s">
        <v>55</v>
      </c>
      <c r="AK211" t="s">
        <v>55</v>
      </c>
      <c r="AM211" t="s">
        <v>55</v>
      </c>
      <c r="AO211" t="s">
        <v>55</v>
      </c>
      <c r="AQ211" t="s">
        <v>54</v>
      </c>
      <c r="AR211">
        <v>33000</v>
      </c>
      <c r="AS211">
        <v>0.05</v>
      </c>
      <c r="AT211" t="s">
        <v>2848</v>
      </c>
      <c r="AU211">
        <v>70</v>
      </c>
      <c r="AW211" t="s">
        <v>2849</v>
      </c>
      <c r="AX211" t="s">
        <v>1069</v>
      </c>
      <c r="AY211" t="s">
        <v>1070</v>
      </c>
      <c r="AZ211" t="s">
        <v>2172</v>
      </c>
      <c r="BA211" t="s">
        <v>789</v>
      </c>
      <c r="BD211" t="s">
        <v>1638</v>
      </c>
      <c r="BE211" t="s">
        <v>2172</v>
      </c>
      <c r="BG211" t="s">
        <v>1639</v>
      </c>
      <c r="BH211" t="s">
        <v>1640</v>
      </c>
      <c r="BJ211" s="3" t="str">
        <f>HYPERLINK("https://www.tiktok.com/@xerviatv/video/7459108024041409797?is_from_webapp=1&amp;web_id=7446609952652690990","https://www.tiktok.com/@xerviatv/video/7459108024041409797?is_from_webapp=1&amp;web_id=7446609952652690990")</f>
        <v>https://www.tiktok.com/@xerviatv/video/7459108024041409797?is_from_webapp=1&amp;web_id=7446609952652690990</v>
      </c>
    </row>
    <row r="212" ht="25.5" customHeight="1" spans="1:62">
      <c r="A212" t="s">
        <v>2850</v>
      </c>
      <c r="B212" t="s">
        <v>1701</v>
      </c>
      <c r="C212" t="s">
        <v>2851</v>
      </c>
      <c r="F212" s="2"/>
      <c r="H212" t="s">
        <v>1663</v>
      </c>
      <c r="J212" t="s">
        <v>1644</v>
      </c>
      <c r="K212" s="3"/>
      <c r="L212" t="s">
        <v>1645</v>
      </c>
      <c r="N212" s="3"/>
      <c r="O212" s="3" t="str">
        <f>HYPERLINK("https://www.tiktok.com/@10ivaan/video/7390405029208935713?lang=en","https://www.tiktok.com/@10ivaan/video/7390405029208935713?lang=en")</f>
        <v>https://www.tiktok.com/@10ivaan/video/7390405029208935713?lang=en</v>
      </c>
      <c r="P212" t="s">
        <v>56</v>
      </c>
      <c r="Q212" t="s">
        <v>57</v>
      </c>
      <c r="R212" t="s">
        <v>1652</v>
      </c>
      <c r="S212" t="s">
        <v>54</v>
      </c>
      <c r="T212">
        <v>148900</v>
      </c>
      <c r="U212" t="s">
        <v>1066</v>
      </c>
      <c r="W212" t="s">
        <v>55</v>
      </c>
      <c r="Y212" t="s">
        <v>54</v>
      </c>
      <c r="AA212" t="s">
        <v>55</v>
      </c>
      <c r="AE212" t="s">
        <v>55</v>
      </c>
      <c r="AG212" t="s">
        <v>54</v>
      </c>
      <c r="AI212" t="s">
        <v>55</v>
      </c>
      <c r="AK212" t="s">
        <v>55</v>
      </c>
      <c r="AM212" t="s">
        <v>55</v>
      </c>
      <c r="AO212" t="s">
        <v>55</v>
      </c>
      <c r="AQ212" t="s">
        <v>54</v>
      </c>
      <c r="AR212">
        <v>33000</v>
      </c>
      <c r="AS212">
        <v>0.1205</v>
      </c>
      <c r="AT212" t="s">
        <v>1067</v>
      </c>
      <c r="AU212">
        <v>70</v>
      </c>
      <c r="AW212" t="s">
        <v>1068</v>
      </c>
      <c r="AX212" t="s">
        <v>1069</v>
      </c>
      <c r="AY212" t="s">
        <v>1070</v>
      </c>
      <c r="AZ212" t="s">
        <v>1071</v>
      </c>
      <c r="BA212" t="s">
        <v>1072</v>
      </c>
      <c r="BD212" t="s">
        <v>1638</v>
      </c>
      <c r="BE212" t="s">
        <v>1071</v>
      </c>
      <c r="BG212" t="s">
        <v>1639</v>
      </c>
      <c r="BH212" t="s">
        <v>1640</v>
      </c>
      <c r="BJ212" s="3"/>
    </row>
    <row r="213" ht="25.5" customHeight="1" spans="1:62">
      <c r="A213" t="s">
        <v>2852</v>
      </c>
      <c r="B213" t="s">
        <v>1625</v>
      </c>
      <c r="C213" t="s">
        <v>2853</v>
      </c>
      <c r="D213" t="s">
        <v>1627</v>
      </c>
      <c r="F213" s="2"/>
      <c r="G213" t="s">
        <v>2854</v>
      </c>
      <c r="H213" t="s">
        <v>1663</v>
      </c>
      <c r="I213" t="s">
        <v>2855</v>
      </c>
      <c r="J213" t="s">
        <v>1644</v>
      </c>
      <c r="K213" s="3" t="str">
        <f>HYPERLINK("https://www.instagram.com/p/DE5D8_mN0P4/?img_index=1","https://www.instagram.com/p/DE5D8_mN0P4/?img_index=1")</f>
        <v>https://www.instagram.com/p/DE5D8_mN0P4/?img_index=1</v>
      </c>
      <c r="L213" t="s">
        <v>1630</v>
      </c>
      <c r="M213" t="s">
        <v>2009</v>
      </c>
      <c r="N213" s="3" t="str">
        <f>HYPERLINK("https://app.hypeauditor.com/my-network/influencer/225837/analytics/instagram/empire_growth","https://app.hypeauditor.com/my-network/influencer/225837/analytics/instagram/empire_growth")</f>
        <v>https://app.hypeauditor.com/my-network/influencer/225837/analytics/instagram/empire_growth</v>
      </c>
      <c r="O213" s="3" t="str">
        <f>HYPERLINK("https://www.instagram.com/empire_growth/","https://www.instagram.com/empire_growth/")</f>
        <v>https://www.instagram.com/empire_growth/</v>
      </c>
      <c r="P213" t="s">
        <v>65</v>
      </c>
      <c r="Q213" t="s">
        <v>66</v>
      </c>
      <c r="R213" t="s">
        <v>1631</v>
      </c>
      <c r="S213" t="s">
        <v>54</v>
      </c>
      <c r="T213">
        <v>680000</v>
      </c>
      <c r="U213" t="s">
        <v>2856</v>
      </c>
      <c r="V213">
        <v>0.345</v>
      </c>
      <c r="W213" t="s">
        <v>2857</v>
      </c>
      <c r="X213" t="s">
        <v>166</v>
      </c>
      <c r="Y213" t="s">
        <v>59</v>
      </c>
      <c r="Z213">
        <v>0.1667</v>
      </c>
      <c r="AA213" t="s">
        <v>185</v>
      </c>
      <c r="AB213" t="s">
        <v>2763</v>
      </c>
      <c r="AC213" t="s">
        <v>54</v>
      </c>
      <c r="AD213">
        <v>0.654</v>
      </c>
      <c r="AE213" t="s">
        <v>2858</v>
      </c>
      <c r="AF213" t="s">
        <v>1668</v>
      </c>
      <c r="AG213" t="s">
        <v>59</v>
      </c>
      <c r="AH213">
        <v>0.2602</v>
      </c>
      <c r="AI213" t="s">
        <v>2859</v>
      </c>
      <c r="AJ213">
        <v>0.694</v>
      </c>
      <c r="AK213" t="s">
        <v>2860</v>
      </c>
      <c r="AL213">
        <v>0.52</v>
      </c>
      <c r="AM213" t="s">
        <v>2861</v>
      </c>
      <c r="AN213">
        <v>0.8861</v>
      </c>
      <c r="AO213" t="s">
        <v>2862</v>
      </c>
      <c r="AP213" t="s">
        <v>1668</v>
      </c>
      <c r="AQ213" t="s">
        <v>59</v>
      </c>
      <c r="AR213">
        <v>81900</v>
      </c>
      <c r="AS213">
        <v>0.0022</v>
      </c>
      <c r="AT213" t="s">
        <v>2863</v>
      </c>
      <c r="AU213">
        <v>63.3</v>
      </c>
      <c r="AW213" t="s">
        <v>2864</v>
      </c>
      <c r="AX213" t="s">
        <v>2683</v>
      </c>
      <c r="AY213" t="s">
        <v>2865</v>
      </c>
      <c r="AZ213" t="s">
        <v>2172</v>
      </c>
      <c r="BA213" t="s">
        <v>2866</v>
      </c>
      <c r="BD213" t="s">
        <v>1638</v>
      </c>
      <c r="BE213" t="s">
        <v>2172</v>
      </c>
      <c r="BG213" t="s">
        <v>1639</v>
      </c>
      <c r="BH213" t="s">
        <v>1640</v>
      </c>
      <c r="BJ213" s="3" t="str">
        <f>HYPERLINK("https://www.instagram.com/p/DE5D8_mN0P4/?img_index=1","https://www.instagram.com/p/DE5D8_mN0P4/?img_index=1")</f>
        <v>https://www.instagram.com/p/DE5D8_mN0P4/?img_index=1</v>
      </c>
    </row>
    <row r="214" ht="25.5" customHeight="1" spans="1:62">
      <c r="A214" t="s">
        <v>2867</v>
      </c>
      <c r="B214" t="s">
        <v>1625</v>
      </c>
      <c r="C214" t="s">
        <v>2868</v>
      </c>
      <c r="D214" t="s">
        <v>1627</v>
      </c>
      <c r="F214" s="2"/>
      <c r="H214" t="s">
        <v>1806</v>
      </c>
      <c r="I214" t="s">
        <v>2869</v>
      </c>
      <c r="J214" t="s">
        <v>1644</v>
      </c>
      <c r="K214" s="3" t="str">
        <f>HYPERLINK("https://vm.tiktok.com/ZMkH8b6rc/","https://vm.tiktok.com/ZMkH8b6rc/")</f>
        <v>https://vm.tiktok.com/ZMkH8b6rc/</v>
      </c>
      <c r="L214" t="s">
        <v>1630</v>
      </c>
      <c r="N214" s="3" t="str">
        <f>HYPERLINK("https://app.hypeauditor.com/my-network/influencer/32743829/analytics/tiktok/oso.tech","https://app.hypeauditor.com/my-network/influencer/32743829/analytics/tiktok/oso.tech")</f>
        <v>https://app.hypeauditor.com/my-network/influencer/32743829/analytics/tiktok/oso.tech</v>
      </c>
      <c r="O214" s="3"/>
      <c r="P214" t="s">
        <v>56</v>
      </c>
      <c r="Q214" t="s">
        <v>57</v>
      </c>
      <c r="R214" t="s">
        <v>1753</v>
      </c>
      <c r="S214" t="s">
        <v>54</v>
      </c>
      <c r="T214">
        <v>83000</v>
      </c>
      <c r="U214" t="s">
        <v>55</v>
      </c>
      <c r="W214" t="s">
        <v>55</v>
      </c>
      <c r="Y214" t="s">
        <v>54</v>
      </c>
      <c r="AA214" t="s">
        <v>55</v>
      </c>
      <c r="AE214" t="s">
        <v>55</v>
      </c>
      <c r="AG214" t="s">
        <v>54</v>
      </c>
      <c r="AI214" t="s">
        <v>55</v>
      </c>
      <c r="AK214" t="s">
        <v>55</v>
      </c>
      <c r="AM214" t="s">
        <v>55</v>
      </c>
      <c r="AO214" t="s">
        <v>55</v>
      </c>
      <c r="AQ214" t="s">
        <v>54</v>
      </c>
      <c r="AR214">
        <v>8000</v>
      </c>
      <c r="AS214">
        <v>0.057</v>
      </c>
      <c r="AT214" t="s">
        <v>1394</v>
      </c>
      <c r="AU214">
        <v>60</v>
      </c>
      <c r="AW214" t="s">
        <v>1395</v>
      </c>
      <c r="AX214" t="s">
        <v>1906</v>
      </c>
      <c r="AY214" t="s">
        <v>1907</v>
      </c>
      <c r="AZ214" t="s">
        <v>2870</v>
      </c>
      <c r="BA214" t="s">
        <v>2871</v>
      </c>
      <c r="BD214" t="s">
        <v>1638</v>
      </c>
      <c r="BE214" t="s">
        <v>2870</v>
      </c>
      <c r="BG214" t="s">
        <v>1639</v>
      </c>
      <c r="BH214" t="s">
        <v>1640</v>
      </c>
      <c r="BJ214" s="3" t="str">
        <f>HYPERLINK("https://vm.tiktok.com/ZMkH8b6rc/","https://vm.tiktok.com/ZMkH8b6rc/")</f>
        <v>https://vm.tiktok.com/ZMkH8b6rc/</v>
      </c>
    </row>
    <row r="215" ht="25.5" customHeight="1" spans="1:62">
      <c r="A215" t="s">
        <v>2872</v>
      </c>
      <c r="B215" t="s">
        <v>1625</v>
      </c>
      <c r="C215" t="s">
        <v>2873</v>
      </c>
      <c r="D215" t="s">
        <v>1627</v>
      </c>
      <c r="F215" s="2"/>
      <c r="H215" t="s">
        <v>2281</v>
      </c>
      <c r="I215" t="s">
        <v>2874</v>
      </c>
      <c r="J215" t="s">
        <v>1644</v>
      </c>
      <c r="K215" s="3" t="str">
        <f>HYPERLINK("https://www.tiktok.com/@ramseschet/video/7460721813128006917?_t=ZM-8t8FAV33NYs&amp;_r=1","https://www.tiktok.com/@ramseschet/video/7460721813128006917?_t=ZM-8t8FAV33NYs&amp;_r=1")</f>
        <v>https://www.tiktok.com/@ramseschet/video/7460721813128006917?_t=ZM-8t8FAV33NYs&amp;_r=1</v>
      </c>
      <c r="L215" t="s">
        <v>1630</v>
      </c>
      <c r="N215" s="3" t="str">
        <f>HYPERLINK("https://app.hypeauditor.com/my-network/influencer/32886945/analytics/tiktok/ramseschet","https://app.hypeauditor.com/my-network/influencer/32886945/analytics/tiktok/ramseschet")</f>
        <v>https://app.hypeauditor.com/my-network/influencer/32886945/analytics/tiktok/ramseschet</v>
      </c>
      <c r="O215" s="3"/>
      <c r="P215" t="s">
        <v>56</v>
      </c>
      <c r="Q215" t="s">
        <v>57</v>
      </c>
      <c r="R215" t="s">
        <v>1753</v>
      </c>
      <c r="S215" t="s">
        <v>54</v>
      </c>
      <c r="T215">
        <v>9193</v>
      </c>
      <c r="U215" t="s">
        <v>55</v>
      </c>
      <c r="W215" t="s">
        <v>55</v>
      </c>
      <c r="Y215" t="s">
        <v>54</v>
      </c>
      <c r="AA215" t="s">
        <v>55</v>
      </c>
      <c r="AE215" t="s">
        <v>55</v>
      </c>
      <c r="AG215" t="s">
        <v>54</v>
      </c>
      <c r="AI215" t="s">
        <v>55</v>
      </c>
      <c r="AK215" t="s">
        <v>55</v>
      </c>
      <c r="AM215" t="s">
        <v>55</v>
      </c>
      <c r="AO215" t="s">
        <v>55</v>
      </c>
      <c r="AQ215" t="s">
        <v>54</v>
      </c>
      <c r="AR215">
        <v>7000</v>
      </c>
      <c r="AS215">
        <v>0.05</v>
      </c>
      <c r="AT215" t="s">
        <v>2875</v>
      </c>
      <c r="AU215">
        <v>60</v>
      </c>
      <c r="AW215" t="s">
        <v>2876</v>
      </c>
      <c r="AX215" t="s">
        <v>2877</v>
      </c>
      <c r="AY215" t="s">
        <v>2878</v>
      </c>
      <c r="AZ215" t="s">
        <v>2265</v>
      </c>
      <c r="BA215" t="s">
        <v>2266</v>
      </c>
      <c r="BD215" t="s">
        <v>1638</v>
      </c>
      <c r="BE215" t="s">
        <v>2265</v>
      </c>
      <c r="BG215" t="s">
        <v>1639</v>
      </c>
      <c r="BH215" t="s">
        <v>1640</v>
      </c>
      <c r="BJ215" s="3" t="str">
        <f>HYPERLINK("https://www.tiktok.com/@ramseschet/video/7460721813128006917?_t=ZM-8t8FAV33NYs&amp;_r=1","https://www.tiktok.com/@ramseschet/video/7460721813128006917?_t=ZM-8t8FAV33NYs&amp;_r=1")</f>
        <v>https://www.tiktok.com/@ramseschet/video/7460721813128006917?_t=ZM-8t8FAV33NYs&amp;_r=1</v>
      </c>
    </row>
    <row r="216" ht="25.5" customHeight="1" spans="1:62">
      <c r="A216" t="s">
        <v>2879</v>
      </c>
      <c r="B216" t="s">
        <v>1625</v>
      </c>
      <c r="C216" t="s">
        <v>2880</v>
      </c>
      <c r="F216" s="2"/>
      <c r="H216" t="s">
        <v>1663</v>
      </c>
      <c r="I216" t="s">
        <v>2881</v>
      </c>
      <c r="J216" t="s">
        <v>1644</v>
      </c>
      <c r="K216" s="3"/>
      <c r="L216" t="s">
        <v>1645</v>
      </c>
      <c r="N216" s="3" t="str">
        <f>HYPERLINK("https://app.hypeauditor.com/my-network/influencer/30701990/analytics/tiktok/merrm.s","https://app.hypeauditor.com/my-network/influencer/30701990/analytics/tiktok/merrm.s")</f>
        <v>https://app.hypeauditor.com/my-network/influencer/30701990/analytics/tiktok/merrm.s</v>
      </c>
      <c r="O216" s="3"/>
      <c r="P216" t="s">
        <v>56</v>
      </c>
      <c r="Q216" t="s">
        <v>57</v>
      </c>
      <c r="S216" t="s">
        <v>54</v>
      </c>
      <c r="W216" t="s">
        <v>55</v>
      </c>
      <c r="Y216" t="s">
        <v>54</v>
      </c>
      <c r="AA216" t="s">
        <v>55</v>
      </c>
      <c r="AE216" t="s">
        <v>55</v>
      </c>
      <c r="AG216" t="s">
        <v>54</v>
      </c>
      <c r="AI216" t="s">
        <v>55</v>
      </c>
      <c r="AK216" t="s">
        <v>55</v>
      </c>
      <c r="AM216" t="s">
        <v>55</v>
      </c>
      <c r="AO216" t="s">
        <v>55</v>
      </c>
      <c r="AQ216" t="s">
        <v>54</v>
      </c>
      <c r="AT216" t="s">
        <v>54</v>
      </c>
      <c r="AU216">
        <v>60</v>
      </c>
      <c r="AW216" t="s">
        <v>54</v>
      </c>
      <c r="BD216" t="s">
        <v>1625</v>
      </c>
      <c r="BG216" t="s">
        <v>1639</v>
      </c>
      <c r="BH216" t="s">
        <v>1640</v>
      </c>
      <c r="BJ216" s="3"/>
    </row>
    <row r="217" ht="25.5" customHeight="1" spans="1:62">
      <c r="A217" t="s">
        <v>2882</v>
      </c>
      <c r="B217" t="s">
        <v>1625</v>
      </c>
      <c r="C217" t="s">
        <v>2883</v>
      </c>
      <c r="D217" t="s">
        <v>1627</v>
      </c>
      <c r="F217" s="2"/>
      <c r="H217" t="s">
        <v>1663</v>
      </c>
      <c r="I217" t="s">
        <v>2884</v>
      </c>
      <c r="J217" t="s">
        <v>1725</v>
      </c>
      <c r="K217" s="3" t="str">
        <f>HYPERLINK("https://www.tiktok.com/@cpstest_/video/7460883069554216214","https://www.tiktok.com/@cpstest_/video/7460883069554216214")</f>
        <v>https://www.tiktok.com/@cpstest_/video/7460883069554216214</v>
      </c>
      <c r="L217" t="s">
        <v>1630</v>
      </c>
      <c r="N217" s="3" t="str">
        <f>HYPERLINK("https://app.hypeauditor.com/my-network/influencer/7153143/analytics/tiktok/cpstest_","https://app.hypeauditor.com/my-network/influencer/7153143/analytics/tiktok/cpstest_")</f>
        <v>https://app.hypeauditor.com/my-network/influencer/7153143/analytics/tiktok/cpstest_</v>
      </c>
      <c r="O217" s="3" t="str">
        <f>HYPERLINK("https://www.tiktok.com/@cpstest_","https://www.tiktok.com/@cpstest_")</f>
        <v>https://www.tiktok.com/@cpstest_</v>
      </c>
      <c r="P217" t="s">
        <v>56</v>
      </c>
      <c r="Q217" t="s">
        <v>57</v>
      </c>
      <c r="R217" t="s">
        <v>1703</v>
      </c>
      <c r="S217" t="s">
        <v>54</v>
      </c>
      <c r="T217">
        <v>41500</v>
      </c>
      <c r="U217" t="s">
        <v>55</v>
      </c>
      <c r="W217" t="s">
        <v>55</v>
      </c>
      <c r="Y217" t="s">
        <v>54</v>
      </c>
      <c r="AA217" t="s">
        <v>55</v>
      </c>
      <c r="AE217" t="s">
        <v>55</v>
      </c>
      <c r="AG217" t="s">
        <v>54</v>
      </c>
      <c r="AI217" t="s">
        <v>55</v>
      </c>
      <c r="AK217" t="s">
        <v>55</v>
      </c>
      <c r="AM217" t="s">
        <v>55</v>
      </c>
      <c r="AO217" t="s">
        <v>55</v>
      </c>
      <c r="AQ217" t="s">
        <v>54</v>
      </c>
      <c r="AR217">
        <v>7000</v>
      </c>
      <c r="AS217">
        <v>0.05</v>
      </c>
      <c r="AT217" t="s">
        <v>2875</v>
      </c>
      <c r="AU217">
        <v>60</v>
      </c>
      <c r="AW217" t="s">
        <v>2876</v>
      </c>
      <c r="AX217" t="s">
        <v>2877</v>
      </c>
      <c r="AY217" t="s">
        <v>2878</v>
      </c>
      <c r="AZ217" t="s">
        <v>2265</v>
      </c>
      <c r="BA217" t="s">
        <v>2266</v>
      </c>
      <c r="BD217" t="s">
        <v>1638</v>
      </c>
      <c r="BE217" t="s">
        <v>2265</v>
      </c>
      <c r="BG217" t="s">
        <v>1639</v>
      </c>
      <c r="BH217" t="s">
        <v>1640</v>
      </c>
      <c r="BJ217" s="3" t="str">
        <f>HYPERLINK("https://www.tiktok.com/@cpstest_/video/7460883069554216214","https://www.tiktok.com/@cpstest_/video/7460883069554216214")</f>
        <v>https://www.tiktok.com/@cpstest_/video/7460883069554216214</v>
      </c>
    </row>
    <row r="218" ht="25.5" customHeight="1" spans="1:62">
      <c r="A218" t="s">
        <v>2885</v>
      </c>
      <c r="B218" t="s">
        <v>1625</v>
      </c>
      <c r="C218" t="s">
        <v>2886</v>
      </c>
      <c r="D218" t="s">
        <v>1627</v>
      </c>
      <c r="F218" s="2"/>
      <c r="H218" t="s">
        <v>2473</v>
      </c>
      <c r="I218" t="s">
        <v>2887</v>
      </c>
      <c r="J218" t="s">
        <v>1644</v>
      </c>
      <c r="K218" s="3" t="str">
        <f>HYPERLINK("https://www.tiktok.com/@omarcidfilm/video/7462209005075647749?_r=1&amp;_t=ZM-8tF03bdybRt","https://www.tiktok.com/@omarcidfilm/video/7462209005075647749?_r=1&amp;_t=ZM-8tF03bdybRt")</f>
        <v>https://www.tiktok.com/@omarcidfilm/video/7462209005075647749?_r=1&amp;_t=ZM-8tF03bdybRt</v>
      </c>
      <c r="L218" t="s">
        <v>1630</v>
      </c>
      <c r="N218" s="3" t="str">
        <f>HYPERLINK("https://app.hypeauditor.com/my-network/influencer/32550712/analytics/tiktok/omarcidfilm","https://app.hypeauditor.com/my-network/influencer/32550712/analytics/tiktok/omarcidfilm")</f>
        <v>https://app.hypeauditor.com/my-network/influencer/32550712/analytics/tiktok/omarcidfilm</v>
      </c>
      <c r="O218" s="3" t="str">
        <f>HYPERLINK("https://www.tiktok.com/@omarcidfilm","https://www.tiktok.com/@omarcidfilm")</f>
        <v>https://www.tiktok.com/@omarcidfilm</v>
      </c>
      <c r="P218" t="s">
        <v>56</v>
      </c>
      <c r="Q218" t="s">
        <v>57</v>
      </c>
      <c r="R218" t="s">
        <v>1753</v>
      </c>
      <c r="S218" t="s">
        <v>54</v>
      </c>
      <c r="T218">
        <v>35000</v>
      </c>
      <c r="U218" t="s">
        <v>55</v>
      </c>
      <c r="W218" t="s">
        <v>55</v>
      </c>
      <c r="Y218" t="s">
        <v>54</v>
      </c>
      <c r="AA218" t="s">
        <v>55</v>
      </c>
      <c r="AE218" t="s">
        <v>55</v>
      </c>
      <c r="AG218" t="s">
        <v>54</v>
      </c>
      <c r="AI218" t="s">
        <v>55</v>
      </c>
      <c r="AK218" t="s">
        <v>55</v>
      </c>
      <c r="AM218" t="s">
        <v>55</v>
      </c>
      <c r="AO218" t="s">
        <v>55</v>
      </c>
      <c r="AQ218" t="s">
        <v>54</v>
      </c>
      <c r="AR218">
        <v>20000</v>
      </c>
      <c r="AS218">
        <v>0.0654</v>
      </c>
      <c r="AT218" t="s">
        <v>2888</v>
      </c>
      <c r="AU218">
        <v>60</v>
      </c>
      <c r="AW218" t="s">
        <v>2889</v>
      </c>
      <c r="AX218" t="s">
        <v>2271</v>
      </c>
      <c r="AY218" t="s">
        <v>2272</v>
      </c>
      <c r="AZ218" t="s">
        <v>2890</v>
      </c>
      <c r="BA218" t="s">
        <v>2891</v>
      </c>
      <c r="BD218" t="s">
        <v>1638</v>
      </c>
      <c r="BE218" t="s">
        <v>2890</v>
      </c>
      <c r="BG218" t="s">
        <v>1639</v>
      </c>
      <c r="BH218" t="s">
        <v>1640</v>
      </c>
      <c r="BJ218" s="3" t="str">
        <f>HYPERLINK("https://www.tiktok.com/@omarcidfilm/video/7462209005075647749?_r=1&amp;_t=ZM-8tF03bdybRt","https://www.tiktok.com/@omarcidfilm/video/7462209005075647749?_r=1&amp;_t=ZM-8tF03bdybRt")</f>
        <v>https://www.tiktok.com/@omarcidfilm/video/7462209005075647749?_r=1&amp;_t=ZM-8tF03bdybRt</v>
      </c>
    </row>
    <row r="219" ht="25.5" customHeight="1" spans="1:62">
      <c r="A219" t="s">
        <v>2892</v>
      </c>
      <c r="B219" t="s">
        <v>1625</v>
      </c>
      <c r="C219" t="s">
        <v>2893</v>
      </c>
      <c r="D219" t="s">
        <v>1627</v>
      </c>
      <c r="F219" s="2"/>
      <c r="H219" t="s">
        <v>1691</v>
      </c>
      <c r="I219" t="s">
        <v>2894</v>
      </c>
      <c r="J219" t="s">
        <v>1629</v>
      </c>
      <c r="K219" s="3" t="str">
        <f>HYPERLINK("https://www.youtube.com/shorts/7wfFkTFW2pI","https://www.youtube.com/shorts/7wfFkTFW2pI")</f>
        <v>https://www.youtube.com/shorts/7wfFkTFW2pI</v>
      </c>
      <c r="L219" t="s">
        <v>1630</v>
      </c>
      <c r="N219" s="3" t="str">
        <f>HYPERLINK("https://app.hypeauditor.com/recruiting/influencer-discovery?hash=15472b6563da7f36aa493014e7f98f83&amp;search_hash=a88c5a492713aab651f65767280fbe0f","https://app.hypeauditor.com/recruiting/influencer-discovery?hash=15472b6563da7f36aa493014e7f98f83&amp;search_hash=a88c5a492713aab651f65767280fbe0f")</f>
        <v>https://app.hypeauditor.com/recruiting/influencer-discovery?hash=15472b6563da7f36aa493014e7f98f83&amp;search_hash=a88c5a492713aab651f65767280fbe0f</v>
      </c>
      <c r="O219" s="3" t="str">
        <f>HYPERLINK("https://www.youtube.com/channel/UCsKcX2PhFNFJQo2bRexFExQ","https://www.youtube.com/channel/UCsKcX2PhFNFJQo2bRexFExQ")</f>
        <v>https://www.youtube.com/channel/UCsKcX2PhFNFJQo2bRexFExQ</v>
      </c>
      <c r="P219" t="s">
        <v>269</v>
      </c>
      <c r="Q219" t="s">
        <v>423</v>
      </c>
      <c r="S219" t="s">
        <v>54</v>
      </c>
      <c r="T219">
        <v>15200</v>
      </c>
      <c r="U219" t="s">
        <v>55</v>
      </c>
      <c r="W219" t="s">
        <v>55</v>
      </c>
      <c r="Y219" t="s">
        <v>54</v>
      </c>
      <c r="AA219" t="s">
        <v>55</v>
      </c>
      <c r="AE219" t="s">
        <v>55</v>
      </c>
      <c r="AG219" t="s">
        <v>54</v>
      </c>
      <c r="AI219" t="s">
        <v>55</v>
      </c>
      <c r="AK219" t="s">
        <v>55</v>
      </c>
      <c r="AM219" t="s">
        <v>55</v>
      </c>
      <c r="AO219" t="s">
        <v>55</v>
      </c>
      <c r="AQ219" t="s">
        <v>54</v>
      </c>
      <c r="AR219">
        <v>8500</v>
      </c>
      <c r="AS219">
        <v>0.04</v>
      </c>
      <c r="AT219" t="s">
        <v>2895</v>
      </c>
      <c r="AU219">
        <v>60</v>
      </c>
      <c r="AW219" t="s">
        <v>2896</v>
      </c>
      <c r="AX219" t="s">
        <v>2897</v>
      </c>
      <c r="AY219" t="s">
        <v>2898</v>
      </c>
      <c r="AZ219" t="s">
        <v>2216</v>
      </c>
      <c r="BA219" t="s">
        <v>2899</v>
      </c>
      <c r="BD219" t="s">
        <v>1638</v>
      </c>
      <c r="BE219" t="s">
        <v>2216</v>
      </c>
      <c r="BG219" t="s">
        <v>1639</v>
      </c>
      <c r="BH219" t="s">
        <v>1640</v>
      </c>
      <c r="BJ219" s="3" t="str">
        <f>HYPERLINK("https://www.youtube.com/shorts/7wfFkTFW2pI","https://www.youtube.com/shorts/7wfFkTFW2pI")</f>
        <v>https://www.youtube.com/shorts/7wfFkTFW2pI</v>
      </c>
    </row>
    <row r="220" ht="25.5" customHeight="1" spans="1:62">
      <c r="A220" t="s">
        <v>2900</v>
      </c>
      <c r="B220" t="s">
        <v>1625</v>
      </c>
      <c r="C220" t="s">
        <v>2893</v>
      </c>
      <c r="F220" s="2"/>
      <c r="I220" t="s">
        <v>2901</v>
      </c>
      <c r="J220" t="s">
        <v>1629</v>
      </c>
      <c r="K220" s="3" t="str">
        <f>HYPERLINK("https://www.tiktok.com/@bacillandociencia/video/7468459231151131910","https://www.tiktok.com/@bacillandociencia/video/7468459231151131910")</f>
        <v>https://www.tiktok.com/@bacillandociencia/video/7468459231151131910</v>
      </c>
      <c r="L220" t="s">
        <v>1630</v>
      </c>
      <c r="N220" s="3" t="str">
        <f>HYPERLINK("https://app.hypeauditor.com/","https://app.hypeauditor.com/")</f>
        <v>https://app.hypeauditor.com/</v>
      </c>
      <c r="O220" s="3" t="str">
        <f>HYPERLINK("https://www.tiktok.com/@bacillandociencia","https://www.tiktok.com/@bacillandociencia")</f>
        <v>https://www.tiktok.com/@bacillandociencia</v>
      </c>
      <c r="P220" t="s">
        <v>56</v>
      </c>
      <c r="Q220" t="s">
        <v>57</v>
      </c>
      <c r="S220" t="s">
        <v>54</v>
      </c>
      <c r="T220">
        <v>11400</v>
      </c>
      <c r="U220" t="s">
        <v>55</v>
      </c>
      <c r="W220" t="s">
        <v>55</v>
      </c>
      <c r="Y220" t="s">
        <v>54</v>
      </c>
      <c r="AA220" t="s">
        <v>55</v>
      </c>
      <c r="AE220" t="s">
        <v>55</v>
      </c>
      <c r="AG220" t="s">
        <v>54</v>
      </c>
      <c r="AI220" t="s">
        <v>55</v>
      </c>
      <c r="AK220" t="s">
        <v>55</v>
      </c>
      <c r="AM220" t="s">
        <v>55</v>
      </c>
      <c r="AO220" t="s">
        <v>55</v>
      </c>
      <c r="AQ220" t="s">
        <v>54</v>
      </c>
      <c r="AR220">
        <v>15000</v>
      </c>
      <c r="AS220">
        <v>0.03</v>
      </c>
      <c r="AT220" t="s">
        <v>2902</v>
      </c>
      <c r="AU220">
        <v>60</v>
      </c>
      <c r="AW220" t="s">
        <v>2903</v>
      </c>
      <c r="AX220" t="s">
        <v>2462</v>
      </c>
      <c r="AY220" t="s">
        <v>2463</v>
      </c>
      <c r="AZ220" t="s">
        <v>1876</v>
      </c>
      <c r="BA220" t="s">
        <v>2166</v>
      </c>
      <c r="BD220" t="s">
        <v>1638</v>
      </c>
      <c r="BE220" t="s">
        <v>1876</v>
      </c>
      <c r="BG220" t="s">
        <v>1639</v>
      </c>
      <c r="BH220" t="s">
        <v>1640</v>
      </c>
      <c r="BJ220" s="3" t="str">
        <f>HYPERLINK("https://www.tiktok.com/@bacillandociencia/video/7468459231151131910","https://www.tiktok.com/@bacillandociencia/video/7468459231151131910")</f>
        <v>https://www.tiktok.com/@bacillandociencia/video/7468459231151131910</v>
      </c>
    </row>
    <row r="221" ht="25.5" customHeight="1" spans="1:62">
      <c r="A221" t="s">
        <v>2904</v>
      </c>
      <c r="B221" t="s">
        <v>1625</v>
      </c>
      <c r="C221" t="s">
        <v>2905</v>
      </c>
      <c r="D221" t="s">
        <v>1769</v>
      </c>
      <c r="F221" s="2"/>
      <c r="H221" t="s">
        <v>1663</v>
      </c>
      <c r="I221" t="s">
        <v>2906</v>
      </c>
      <c r="J221" t="s">
        <v>1644</v>
      </c>
      <c r="K221" s="3" t="str">
        <f>HYPERLINK("https://vm.tiktok.com/ZMk5edmus/","https://vm.tiktok.com/ZMk5edmus/")</f>
        <v>https://vm.tiktok.com/ZMk5edmus/</v>
      </c>
      <c r="L221" t="s">
        <v>1630</v>
      </c>
      <c r="N221" s="3" t="str">
        <f>HYPERLINK("https://app.hypeauditor.com/my-network/influencer/30045535/analytics/tiktok/ale_sancas","https://app.hypeauditor.com/my-network/influencer/30045535/analytics/tiktok/ale_sancas")</f>
        <v>https://app.hypeauditor.com/my-network/influencer/30045535/analytics/tiktok/ale_sancas</v>
      </c>
      <c r="O221" s="3" t="str">
        <f>HYPERLINK("https://www.tiktok.com/@ale_sancas","https://www.tiktok.com/@ale_sancas")</f>
        <v>https://www.tiktok.com/@ale_sancas</v>
      </c>
      <c r="P221" t="s">
        <v>56</v>
      </c>
      <c r="Q221" t="s">
        <v>57</v>
      </c>
      <c r="R221" t="s">
        <v>1753</v>
      </c>
      <c r="S221" t="s">
        <v>54</v>
      </c>
      <c r="T221">
        <v>27900</v>
      </c>
      <c r="U221" t="s">
        <v>55</v>
      </c>
      <c r="W221" t="s">
        <v>55</v>
      </c>
      <c r="Y221" t="s">
        <v>54</v>
      </c>
      <c r="AA221" t="s">
        <v>55</v>
      </c>
      <c r="AE221" t="s">
        <v>55</v>
      </c>
      <c r="AG221" t="s">
        <v>54</v>
      </c>
      <c r="AI221" t="s">
        <v>55</v>
      </c>
      <c r="AK221" t="s">
        <v>55</v>
      </c>
      <c r="AM221" t="s">
        <v>55</v>
      </c>
      <c r="AO221" t="s">
        <v>55</v>
      </c>
      <c r="AQ221" t="s">
        <v>54</v>
      </c>
      <c r="AR221">
        <v>7000</v>
      </c>
      <c r="AS221">
        <v>0.067</v>
      </c>
      <c r="AT221" t="s">
        <v>2907</v>
      </c>
      <c r="AU221">
        <v>55</v>
      </c>
      <c r="AW221" t="s">
        <v>2908</v>
      </c>
      <c r="AX221" t="s">
        <v>2909</v>
      </c>
      <c r="AY221" t="s">
        <v>2910</v>
      </c>
      <c r="AZ221" t="s">
        <v>958</v>
      </c>
      <c r="BA221" t="s">
        <v>2911</v>
      </c>
      <c r="BD221" t="s">
        <v>1638</v>
      </c>
      <c r="BE221" t="s">
        <v>958</v>
      </c>
      <c r="BG221" t="s">
        <v>1639</v>
      </c>
      <c r="BH221" t="s">
        <v>1640</v>
      </c>
      <c r="BJ221" s="3" t="str">
        <f>HYPERLINK("https://vm.tiktok.com/ZMk5edmus/","https://vm.tiktok.com/ZMk5edmus/")</f>
        <v>https://vm.tiktok.com/ZMk5edmus/</v>
      </c>
    </row>
    <row r="222" ht="25.5" customHeight="1" spans="1:62">
      <c r="A222" t="s">
        <v>81</v>
      </c>
      <c r="B222" t="s">
        <v>1701</v>
      </c>
      <c r="C222" t="s">
        <v>2912</v>
      </c>
      <c r="D222" t="s">
        <v>1627</v>
      </c>
      <c r="F222" s="2">
        <v>45664</v>
      </c>
      <c r="H222" t="s">
        <v>1723</v>
      </c>
      <c r="I222" t="s">
        <v>87</v>
      </c>
      <c r="J222" t="s">
        <v>1725</v>
      </c>
      <c r="K222" s="3" t="str">
        <f>HYPERLINK("https://www.instagram.com/p/DEhtiPXP8br/?img_index=1","https://www.instagram.com/p/DEhtiPXP8br/?img_index=1")</f>
        <v>https://www.instagram.com/p/DEhtiPXP8br/?img_index=1</v>
      </c>
      <c r="L222" t="s">
        <v>1630</v>
      </c>
      <c r="N222" s="3" t="str">
        <f>HYPERLINK("https://app.hypeauditor.com/my-network/influencer/5175258/analytics/instagram/ceomindset.official","https://app.hypeauditor.com/my-network/influencer/5175258/analytics/instagram/ceomindset.official")</f>
        <v>https://app.hypeauditor.com/my-network/influencer/5175258/analytics/instagram/ceomindset.official</v>
      </c>
      <c r="O222" s="3" t="str">
        <f>HYPERLINK("https://www.instagram.com/ceomindset.official/","https://www.instagram.com/ceomindset.official/")</f>
        <v>https://www.instagram.com/ceomindset.official/</v>
      </c>
      <c r="P222" t="s">
        <v>65</v>
      </c>
      <c r="Q222" t="s">
        <v>66</v>
      </c>
      <c r="R222" t="s">
        <v>1631</v>
      </c>
      <c r="S222" t="s">
        <v>54</v>
      </c>
      <c r="T222">
        <v>68700</v>
      </c>
      <c r="U222" t="s">
        <v>55</v>
      </c>
      <c r="W222" t="s">
        <v>55</v>
      </c>
      <c r="Y222" t="s">
        <v>54</v>
      </c>
      <c r="AA222" t="s">
        <v>55</v>
      </c>
      <c r="AE222" t="s">
        <v>55</v>
      </c>
      <c r="AG222" t="s">
        <v>54</v>
      </c>
      <c r="AI222" t="s">
        <v>55</v>
      </c>
      <c r="AK222" t="s">
        <v>55</v>
      </c>
      <c r="AM222" t="s">
        <v>55</v>
      </c>
      <c r="AO222" t="s">
        <v>55</v>
      </c>
      <c r="AQ222" t="s">
        <v>54</v>
      </c>
      <c r="AR222">
        <v>10000</v>
      </c>
      <c r="AS222">
        <v>0.0079</v>
      </c>
      <c r="AT222" t="s">
        <v>83</v>
      </c>
      <c r="AU222">
        <v>50</v>
      </c>
      <c r="AW222" t="s">
        <v>84</v>
      </c>
      <c r="AX222" t="s">
        <v>600</v>
      </c>
      <c r="AY222" t="s">
        <v>601</v>
      </c>
      <c r="AZ222" t="s">
        <v>85</v>
      </c>
      <c r="BA222" t="s">
        <v>86</v>
      </c>
      <c r="BD222" t="s">
        <v>1638</v>
      </c>
      <c r="BE222" t="s">
        <v>85</v>
      </c>
      <c r="BG222" t="s">
        <v>1639</v>
      </c>
      <c r="BH222" t="s">
        <v>1640</v>
      </c>
      <c r="BJ222" s="3" t="str">
        <f>HYPERLINK("https://www.instagram.com/p/DEhtiPXP8br/?img_index=1","https://www.instagram.com/p/DEhtiPXP8br/?img_index=1")</f>
        <v>https://www.instagram.com/p/DEhtiPXP8br/?img_index=1</v>
      </c>
    </row>
    <row r="223" ht="25.5" customHeight="1" spans="1:62">
      <c r="A223" t="s">
        <v>2040</v>
      </c>
      <c r="B223" t="s">
        <v>1625</v>
      </c>
      <c r="F223" s="2"/>
      <c r="H223" t="s">
        <v>1806</v>
      </c>
      <c r="J223" t="s">
        <v>1629</v>
      </c>
      <c r="K223" s="3" t="str">
        <f>HYPERLINK("https://www.facebook.com/share/r/1BLJMup7Td/","https://www.facebook.com/share/r/1BLJMup7Td/")</f>
        <v>https://www.facebook.com/share/r/1BLJMup7Td/</v>
      </c>
      <c r="L223" t="s">
        <v>1630</v>
      </c>
      <c r="N223" s="3"/>
      <c r="O223" s="3" t="str">
        <f>HYPERLINK("https://www.facebook.com/edu.jaico","https://www.facebook.com/edu.jaico")</f>
        <v>https://www.facebook.com/edu.jaico</v>
      </c>
      <c r="P223" t="s">
        <v>1116</v>
      </c>
      <c r="Q223" t="s">
        <v>2742</v>
      </c>
      <c r="R223" t="s">
        <v>97</v>
      </c>
      <c r="S223" t="s">
        <v>54</v>
      </c>
      <c r="W223" t="s">
        <v>55</v>
      </c>
      <c r="Y223" t="s">
        <v>54</v>
      </c>
      <c r="AA223" t="s">
        <v>55</v>
      </c>
      <c r="AE223" t="s">
        <v>55</v>
      </c>
      <c r="AG223" t="s">
        <v>54</v>
      </c>
      <c r="AI223" t="s">
        <v>55</v>
      </c>
      <c r="AK223" t="s">
        <v>55</v>
      </c>
      <c r="AM223" t="s">
        <v>55</v>
      </c>
      <c r="AO223" t="s">
        <v>55</v>
      </c>
      <c r="AQ223" t="s">
        <v>54</v>
      </c>
      <c r="AT223" t="s">
        <v>54</v>
      </c>
      <c r="AU223">
        <v>50</v>
      </c>
      <c r="AW223" t="s">
        <v>54</v>
      </c>
      <c r="BD223" t="s">
        <v>1638</v>
      </c>
      <c r="BG223" t="s">
        <v>1639</v>
      </c>
      <c r="BH223" t="s">
        <v>1640</v>
      </c>
      <c r="BI223" t="s">
        <v>2040</v>
      </c>
      <c r="BJ223" s="3" t="str">
        <f>HYPERLINK("https://www.facebook.com/share/r/1BLJMup7Td/","https://www.facebook.com/share/r/1BLJMup7Td/")</f>
        <v>https://www.facebook.com/share/r/1BLJMup7Td/</v>
      </c>
    </row>
    <row r="224" ht="25.5" customHeight="1" spans="1:62">
      <c r="A224" t="s">
        <v>2913</v>
      </c>
      <c r="B224" t="s">
        <v>1701</v>
      </c>
      <c r="C224" t="s">
        <v>2914</v>
      </c>
      <c r="D224" t="s">
        <v>1627</v>
      </c>
      <c r="F224" s="2"/>
      <c r="G224" t="s">
        <v>2915</v>
      </c>
      <c r="H224" t="s">
        <v>2916</v>
      </c>
      <c r="J224" t="s">
        <v>1644</v>
      </c>
      <c r="K224" s="3" t="str">
        <f>HYPERLINK("https://www.instagram.com/p/DFLWnnDzMbp/","https://www.instagram.com/p/DFLWnnDzMbp/")</f>
        <v>https://www.instagram.com/p/DFLWnnDzMbp/</v>
      </c>
      <c r="L224" t="s">
        <v>1630</v>
      </c>
      <c r="N224" s="3" t="str">
        <f>HYPERLINK("https://app.hypeauditor.com/my-network/influencer/4248028/analytics/instagram/techtabloid","https://app.hypeauditor.com/my-network/influencer/4248028/analytics/instagram/techtabloid")</f>
        <v>https://app.hypeauditor.com/my-network/influencer/4248028/analytics/instagram/techtabloid</v>
      </c>
      <c r="O224" s="3" t="str">
        <f>HYPERLINK("https://www.instagram.com/techtabloid/","https://www.instagram.com/techtabloid/")</f>
        <v>https://www.instagram.com/techtabloid/</v>
      </c>
      <c r="P224" t="s">
        <v>65</v>
      </c>
      <c r="Q224" t="s">
        <v>66</v>
      </c>
      <c r="R224" t="s">
        <v>97</v>
      </c>
      <c r="S224" t="s">
        <v>54</v>
      </c>
      <c r="T224">
        <v>142000</v>
      </c>
      <c r="U224" t="s">
        <v>572</v>
      </c>
      <c r="W224" t="s">
        <v>55</v>
      </c>
      <c r="Y224" t="s">
        <v>54</v>
      </c>
      <c r="AA224" t="s">
        <v>55</v>
      </c>
      <c r="AB224" t="s">
        <v>2917</v>
      </c>
      <c r="AC224" t="s">
        <v>2918</v>
      </c>
      <c r="AE224" t="s">
        <v>55</v>
      </c>
      <c r="AG224" t="s">
        <v>54</v>
      </c>
      <c r="AI224" t="s">
        <v>55</v>
      </c>
      <c r="AK224" t="s">
        <v>55</v>
      </c>
      <c r="AM224" t="s">
        <v>55</v>
      </c>
      <c r="AO224" t="s">
        <v>55</v>
      </c>
      <c r="AQ224" t="s">
        <v>54</v>
      </c>
      <c r="AR224">
        <v>15000</v>
      </c>
      <c r="AS224">
        <v>0.012</v>
      </c>
      <c r="AT224" t="s">
        <v>2919</v>
      </c>
      <c r="AU224">
        <v>50</v>
      </c>
      <c r="AW224" t="s">
        <v>2920</v>
      </c>
      <c r="AX224" t="s">
        <v>2161</v>
      </c>
      <c r="AY224" t="s">
        <v>2696</v>
      </c>
      <c r="AZ224" t="s">
        <v>2921</v>
      </c>
      <c r="BA224" t="s">
        <v>2922</v>
      </c>
      <c r="BD224" t="s">
        <v>1638</v>
      </c>
      <c r="BE224" t="s">
        <v>2921</v>
      </c>
      <c r="BG224" t="s">
        <v>1639</v>
      </c>
      <c r="BH224" t="s">
        <v>1640</v>
      </c>
      <c r="BJ224" s="3" t="str">
        <f>HYPERLINK("https://www.instagram.com/p/DFLWnnDzMbp/","https://www.instagram.com/p/DFLWnnDzMbp/")</f>
        <v>https://www.instagram.com/p/DFLWnnDzMbp/</v>
      </c>
    </row>
    <row r="225" ht="25.5" customHeight="1" spans="1:62">
      <c r="A225" t="s">
        <v>2923</v>
      </c>
      <c r="B225" t="s">
        <v>1625</v>
      </c>
      <c r="C225" t="s">
        <v>2924</v>
      </c>
      <c r="D225" t="s">
        <v>1769</v>
      </c>
      <c r="F225" s="2"/>
      <c r="H225" t="s">
        <v>1663</v>
      </c>
      <c r="I225" t="s">
        <v>2925</v>
      </c>
      <c r="J225" t="s">
        <v>2309</v>
      </c>
      <c r="K225" s="3" t="str">
        <f>HYPERLINK("https://www.tiktok.com/@anamalibuu/video/7460926313520581921","https://www.tiktok.com/@anamalibuu/video/7460926313520581921")</f>
        <v>https://www.tiktok.com/@anamalibuu/video/7460926313520581921</v>
      </c>
      <c r="L225" t="s">
        <v>1630</v>
      </c>
      <c r="N225" s="3" t="str">
        <f>HYPERLINK("https://app.hypeauditor.com/my-network/influencer/455696/analytics/tiktok/anamalibuu","https://app.hypeauditor.com/my-network/influencer/455696/analytics/tiktok/anamalibuu")</f>
        <v>https://app.hypeauditor.com/my-network/influencer/455696/analytics/tiktok/anamalibuu</v>
      </c>
      <c r="O225" s="3"/>
      <c r="P225" t="s">
        <v>56</v>
      </c>
      <c r="Q225" t="s">
        <v>57</v>
      </c>
      <c r="R225" t="s">
        <v>1631</v>
      </c>
      <c r="S225" t="s">
        <v>54</v>
      </c>
      <c r="T225">
        <v>6428</v>
      </c>
      <c r="U225" t="s">
        <v>55</v>
      </c>
      <c r="W225" t="s">
        <v>55</v>
      </c>
      <c r="Y225" t="s">
        <v>54</v>
      </c>
      <c r="AA225" t="s">
        <v>55</v>
      </c>
      <c r="AE225" t="s">
        <v>55</v>
      </c>
      <c r="AG225" t="s">
        <v>54</v>
      </c>
      <c r="AI225" t="s">
        <v>55</v>
      </c>
      <c r="AK225" t="s">
        <v>55</v>
      </c>
      <c r="AM225" t="s">
        <v>55</v>
      </c>
      <c r="AO225" t="s">
        <v>55</v>
      </c>
      <c r="AQ225" t="s">
        <v>54</v>
      </c>
      <c r="AR225">
        <v>5500</v>
      </c>
      <c r="AS225">
        <v>0.06</v>
      </c>
      <c r="AT225" t="s">
        <v>2926</v>
      </c>
      <c r="AU225">
        <v>50</v>
      </c>
      <c r="AW225" t="s">
        <v>2927</v>
      </c>
      <c r="AX225" t="s">
        <v>662</v>
      </c>
      <c r="AY225" t="s">
        <v>663</v>
      </c>
      <c r="AZ225" t="s">
        <v>1719</v>
      </c>
      <c r="BA225" t="s">
        <v>2928</v>
      </c>
      <c r="BD225" t="s">
        <v>1638</v>
      </c>
      <c r="BE225" t="s">
        <v>1719</v>
      </c>
      <c r="BG225" t="s">
        <v>1639</v>
      </c>
      <c r="BH225" t="s">
        <v>1640</v>
      </c>
      <c r="BJ225" s="3" t="str">
        <f>HYPERLINK("https://www.tiktok.com/@anamalibuu/video/7460926313520581921","https://www.tiktok.com/@anamalibuu/video/7460926313520581921")</f>
        <v>https://www.tiktok.com/@anamalibuu/video/7460926313520581921</v>
      </c>
    </row>
    <row r="226" ht="25.5" customHeight="1" spans="1:62">
      <c r="A226" t="s">
        <v>2929</v>
      </c>
      <c r="B226" t="s">
        <v>1625</v>
      </c>
      <c r="C226" t="s">
        <v>2930</v>
      </c>
      <c r="F226" s="2"/>
      <c r="H226" t="s">
        <v>2124</v>
      </c>
      <c r="J226" t="s">
        <v>1725</v>
      </c>
      <c r="K226" s="3"/>
      <c r="L226" t="s">
        <v>1645</v>
      </c>
      <c r="N226" s="3" t="str">
        <f>HYPERLINK("https://app.hypeauditor.com/my-network/influencer/32835438/analytics/tiktok/mozuly","https://app.hypeauditor.com/my-network/influencer/32835438/analytics/tiktok/mozuly")</f>
        <v>https://app.hypeauditor.com/my-network/influencer/32835438/analytics/tiktok/mozuly</v>
      </c>
      <c r="O226" s="3"/>
      <c r="P226" t="s">
        <v>56</v>
      </c>
      <c r="Q226" t="s">
        <v>57</v>
      </c>
      <c r="R226" t="s">
        <v>58</v>
      </c>
      <c r="S226" t="s">
        <v>59</v>
      </c>
      <c r="W226" t="s">
        <v>55</v>
      </c>
      <c r="Y226" t="s">
        <v>54</v>
      </c>
      <c r="AA226" t="s">
        <v>55</v>
      </c>
      <c r="AE226" t="s">
        <v>55</v>
      </c>
      <c r="AG226" t="s">
        <v>54</v>
      </c>
      <c r="AI226" t="s">
        <v>55</v>
      </c>
      <c r="AK226" t="s">
        <v>55</v>
      </c>
      <c r="AM226" t="s">
        <v>55</v>
      </c>
      <c r="AO226" t="s">
        <v>55</v>
      </c>
      <c r="AQ226" t="s">
        <v>54</v>
      </c>
      <c r="AT226" t="s">
        <v>54</v>
      </c>
      <c r="AU226">
        <v>50</v>
      </c>
      <c r="AW226" t="s">
        <v>54</v>
      </c>
      <c r="BD226" t="s">
        <v>1830</v>
      </c>
      <c r="BG226" t="s">
        <v>1639</v>
      </c>
      <c r="BH226" t="s">
        <v>1640</v>
      </c>
      <c r="BJ226" s="3"/>
    </row>
    <row r="227" ht="25.5" customHeight="1" spans="1:62">
      <c r="A227" t="s">
        <v>2931</v>
      </c>
      <c r="B227" t="s">
        <v>1625</v>
      </c>
      <c r="C227" t="s">
        <v>2932</v>
      </c>
      <c r="D227" t="s">
        <v>1627</v>
      </c>
      <c r="F227" s="2"/>
      <c r="H227" t="s">
        <v>1806</v>
      </c>
      <c r="I227" t="s">
        <v>2933</v>
      </c>
      <c r="J227" t="s">
        <v>1644</v>
      </c>
      <c r="K227" s="3" t="str">
        <f>HYPERLINK("https://www.tiktok.com/@alfvarezm/video/7460584430847986976","https://www.tiktok.com/@alfvarezm/video/7460584430847986976")</f>
        <v>https://www.tiktok.com/@alfvarezm/video/7460584430847986976</v>
      </c>
      <c r="L227" t="s">
        <v>1630</v>
      </c>
      <c r="N227" s="3" t="str">
        <f>HYPERLINK("https://app.hypeauditor.com/my-network/influencer/13417165/analytics/tiktok/alfvarezm","https://app.hypeauditor.com/my-network/influencer/13417165/analytics/tiktok/alfvarezm")</f>
        <v>https://app.hypeauditor.com/my-network/influencer/13417165/analytics/tiktok/alfvarezm</v>
      </c>
      <c r="O227" s="3" t="str">
        <f>HYPERLINK("https://www.tiktok.com/@alfvarezm","https://www.tiktok.com/@alfvarezm")</f>
        <v>https://www.tiktok.com/@alfvarezm</v>
      </c>
      <c r="P227" t="s">
        <v>56</v>
      </c>
      <c r="Q227" t="s">
        <v>57</v>
      </c>
      <c r="R227" t="s">
        <v>1652</v>
      </c>
      <c r="S227" t="s">
        <v>54</v>
      </c>
      <c r="T227">
        <v>21000</v>
      </c>
      <c r="U227" t="s">
        <v>55</v>
      </c>
      <c r="W227" t="s">
        <v>55</v>
      </c>
      <c r="Y227" t="s">
        <v>54</v>
      </c>
      <c r="AA227" t="s">
        <v>55</v>
      </c>
      <c r="AE227" t="s">
        <v>55</v>
      </c>
      <c r="AG227" t="s">
        <v>54</v>
      </c>
      <c r="AI227" t="s">
        <v>55</v>
      </c>
      <c r="AK227" t="s">
        <v>55</v>
      </c>
      <c r="AM227" t="s">
        <v>55</v>
      </c>
      <c r="AO227" t="s">
        <v>55</v>
      </c>
      <c r="AQ227" t="s">
        <v>54</v>
      </c>
      <c r="AR227">
        <v>10000</v>
      </c>
      <c r="AS227">
        <v>0.03</v>
      </c>
      <c r="AT227" t="s">
        <v>2934</v>
      </c>
      <c r="AU227">
        <v>50</v>
      </c>
      <c r="AW227" t="s">
        <v>2935</v>
      </c>
      <c r="AX227" t="s">
        <v>600</v>
      </c>
      <c r="AY227" t="s">
        <v>601</v>
      </c>
      <c r="AZ227" t="s">
        <v>2102</v>
      </c>
      <c r="BA227" t="s">
        <v>2241</v>
      </c>
      <c r="BD227" t="s">
        <v>1638</v>
      </c>
      <c r="BE227" t="s">
        <v>2102</v>
      </c>
      <c r="BG227" t="s">
        <v>1639</v>
      </c>
      <c r="BH227" t="s">
        <v>1640</v>
      </c>
      <c r="BJ227" s="3" t="str">
        <f>HYPERLINK("https://www.tiktok.com/@alfvarezm/video/7460584430847986976","https://www.tiktok.com/@alfvarezm/video/7460584430847986976")</f>
        <v>https://www.tiktok.com/@alfvarezm/video/7460584430847986976</v>
      </c>
    </row>
    <row r="228" ht="25.5" customHeight="1" spans="1:62">
      <c r="A228" t="s">
        <v>186</v>
      </c>
      <c r="B228" t="s">
        <v>1701</v>
      </c>
      <c r="C228" t="s">
        <v>2936</v>
      </c>
      <c r="F228" s="2"/>
      <c r="H228" t="s">
        <v>1900</v>
      </c>
      <c r="I228" t="s">
        <v>192</v>
      </c>
      <c r="J228" t="s">
        <v>53</v>
      </c>
      <c r="K228" s="3"/>
      <c r="L228" t="s">
        <v>1645</v>
      </c>
      <c r="N228" s="3" t="str">
        <f>HYPERLINK("https://app.hypeauditor.com/my-network/influencer/32738023/analytics/tiktok/ohshenza","https://app.hypeauditor.com/my-network/influencer/32738023/analytics/tiktok/ohshenza")</f>
        <v>https://app.hypeauditor.com/my-network/influencer/32738023/analytics/tiktok/ohshenza</v>
      </c>
      <c r="O228" s="3" t="str">
        <f>HYPERLINK("https://www.tiktok.com/@ohshenza","https://www.tiktok.com/@ohshenza")</f>
        <v>https://www.tiktok.com/@ohshenza</v>
      </c>
      <c r="P228" t="s">
        <v>56</v>
      </c>
      <c r="Q228" t="s">
        <v>57</v>
      </c>
      <c r="R228" t="s">
        <v>1887</v>
      </c>
      <c r="S228" t="s">
        <v>54</v>
      </c>
      <c r="T228">
        <v>12000</v>
      </c>
      <c r="U228" t="s">
        <v>55</v>
      </c>
      <c r="W228" t="s">
        <v>55</v>
      </c>
      <c r="Y228" t="s">
        <v>54</v>
      </c>
      <c r="AA228" t="s">
        <v>55</v>
      </c>
      <c r="AE228" t="s">
        <v>55</v>
      </c>
      <c r="AG228" t="s">
        <v>54</v>
      </c>
      <c r="AI228" t="s">
        <v>55</v>
      </c>
      <c r="AK228" t="s">
        <v>55</v>
      </c>
      <c r="AM228" t="s">
        <v>55</v>
      </c>
      <c r="AO228" t="s">
        <v>55</v>
      </c>
      <c r="AQ228" t="s">
        <v>54</v>
      </c>
      <c r="AR228">
        <v>1500</v>
      </c>
      <c r="AS228">
        <v>0.0842</v>
      </c>
      <c r="AT228" t="s">
        <v>187</v>
      </c>
      <c r="AU228">
        <v>50</v>
      </c>
      <c r="AW228" t="s">
        <v>188</v>
      </c>
      <c r="AX228" t="s">
        <v>189</v>
      </c>
      <c r="AY228" t="s">
        <v>55</v>
      </c>
      <c r="AZ228" t="s">
        <v>190</v>
      </c>
      <c r="BA228" t="s">
        <v>55</v>
      </c>
      <c r="BD228" t="s">
        <v>1638</v>
      </c>
      <c r="BE228" t="s">
        <v>190</v>
      </c>
      <c r="BG228" t="s">
        <v>1639</v>
      </c>
      <c r="BH228" t="s">
        <v>1640</v>
      </c>
      <c r="BJ228" s="3"/>
    </row>
    <row r="229" ht="25.5" customHeight="1" spans="1:62">
      <c r="A229" t="s">
        <v>2937</v>
      </c>
      <c r="B229" t="s">
        <v>1625</v>
      </c>
      <c r="C229" t="s">
        <v>2938</v>
      </c>
      <c r="D229" t="s">
        <v>1627</v>
      </c>
      <c r="F229" s="2"/>
      <c r="H229" t="s">
        <v>2473</v>
      </c>
      <c r="I229" t="s">
        <v>2939</v>
      </c>
      <c r="J229" t="s">
        <v>1629</v>
      </c>
      <c r="K229" s="3" t="str">
        <f>HYPERLINK("https://www.tiktok.com/@reniuxd/video/7460348548731702534?is_from_webapp=1&amp;web_id=7058821991600506373","https://www.tiktok.com/@reniuxd/video/7460348548731702534?is_from_webapp=1&amp;web_id=7058821991600506373")</f>
        <v>https://www.tiktok.com/@reniuxd/video/7460348548731702534?is_from_webapp=1&amp;web_id=7058821991600506373</v>
      </c>
      <c r="L229" t="s">
        <v>1630</v>
      </c>
      <c r="N229" s="3" t="str">
        <f>HYPERLINK("https://app.hypeauditor.com/my-network/influencer/26751561/analytics/tiktok/reniuxd","https://app.hypeauditor.com/my-network/influencer/26751561/analytics/tiktok/reniuxd")</f>
        <v>https://app.hypeauditor.com/my-network/influencer/26751561/analytics/tiktok/reniuxd</v>
      </c>
      <c r="O229" s="3" t="str">
        <f>HYPERLINK("https://www.tiktok.com/@reniuxd","https://www.tiktok.com/@reniuxd")</f>
        <v>https://www.tiktok.com/@reniuxd</v>
      </c>
      <c r="P229" t="s">
        <v>56</v>
      </c>
      <c r="Q229" t="s">
        <v>57</v>
      </c>
      <c r="R229" t="s">
        <v>1753</v>
      </c>
      <c r="S229" t="s">
        <v>54</v>
      </c>
      <c r="T229">
        <v>682200</v>
      </c>
      <c r="U229" t="s">
        <v>2940</v>
      </c>
      <c r="W229" t="s">
        <v>55</v>
      </c>
      <c r="Y229" t="s">
        <v>54</v>
      </c>
      <c r="AA229" t="s">
        <v>55</v>
      </c>
      <c r="AE229" t="s">
        <v>55</v>
      </c>
      <c r="AG229" t="s">
        <v>54</v>
      </c>
      <c r="AI229" t="s">
        <v>55</v>
      </c>
      <c r="AK229" t="s">
        <v>55</v>
      </c>
      <c r="AM229" t="s">
        <v>55</v>
      </c>
      <c r="AO229" t="s">
        <v>55</v>
      </c>
      <c r="AQ229" t="s">
        <v>54</v>
      </c>
      <c r="AR229">
        <v>6000</v>
      </c>
      <c r="AS229">
        <v>0.05</v>
      </c>
      <c r="AT229" t="s">
        <v>2934</v>
      </c>
      <c r="AU229">
        <v>50</v>
      </c>
      <c r="AW229" t="s">
        <v>2935</v>
      </c>
      <c r="AX229" t="s">
        <v>1774</v>
      </c>
      <c r="AY229" t="s">
        <v>1775</v>
      </c>
      <c r="AZ229" t="s">
        <v>2102</v>
      </c>
      <c r="BA229" t="s">
        <v>2241</v>
      </c>
      <c r="BD229" t="s">
        <v>1638</v>
      </c>
      <c r="BE229" t="s">
        <v>2102</v>
      </c>
      <c r="BG229" t="s">
        <v>1639</v>
      </c>
      <c r="BH229" t="s">
        <v>1640</v>
      </c>
      <c r="BJ229" s="3" t="str">
        <f>HYPERLINK("https://www.tiktok.com/@reniuxd/video/7460348548731702534?is_from_webapp=1&amp;web_id=7058821991600506373","https://www.tiktok.com/@reniuxd/video/7460348548731702534?is_from_webapp=1&amp;web_id=7058821991600506373")</f>
        <v>https://www.tiktok.com/@reniuxd/video/7460348548731702534?is_from_webapp=1&amp;web_id=7058821991600506373</v>
      </c>
    </row>
    <row r="230" ht="25.5" customHeight="1" spans="1:62">
      <c r="A230" t="s">
        <v>2941</v>
      </c>
      <c r="B230" t="s">
        <v>1625</v>
      </c>
      <c r="C230" t="s">
        <v>2942</v>
      </c>
      <c r="F230" s="2"/>
      <c r="H230" t="s">
        <v>1806</v>
      </c>
      <c r="I230" t="s">
        <v>2943</v>
      </c>
      <c r="J230" t="s">
        <v>1629</v>
      </c>
      <c r="K230" s="3"/>
      <c r="L230" t="s">
        <v>1645</v>
      </c>
      <c r="N230" s="3" t="str">
        <f>HYPERLINK("https://app.hypeauditor.com/my-network/influencer/20446930/analytics/tiktok/apwilsim","https://app.hypeauditor.com/my-network/influencer/20446930/analytics/tiktok/apwilsim")</f>
        <v>https://app.hypeauditor.com/my-network/influencer/20446930/analytics/tiktok/apwilsim</v>
      </c>
      <c r="O230" s="3"/>
      <c r="P230" t="s">
        <v>56</v>
      </c>
      <c r="Q230" t="s">
        <v>57</v>
      </c>
      <c r="S230" t="s">
        <v>54</v>
      </c>
      <c r="W230" t="s">
        <v>55</v>
      </c>
      <c r="Y230" t="s">
        <v>54</v>
      </c>
      <c r="AA230" t="s">
        <v>55</v>
      </c>
      <c r="AE230" t="s">
        <v>55</v>
      </c>
      <c r="AG230" t="s">
        <v>54</v>
      </c>
      <c r="AI230" t="s">
        <v>55</v>
      </c>
      <c r="AK230" t="s">
        <v>55</v>
      </c>
      <c r="AM230" t="s">
        <v>55</v>
      </c>
      <c r="AO230" t="s">
        <v>55</v>
      </c>
      <c r="AQ230" t="s">
        <v>54</v>
      </c>
      <c r="AT230" t="s">
        <v>54</v>
      </c>
      <c r="AU230">
        <v>50</v>
      </c>
      <c r="AW230" t="s">
        <v>54</v>
      </c>
      <c r="BD230" t="s">
        <v>1625</v>
      </c>
      <c r="BG230" t="s">
        <v>1639</v>
      </c>
      <c r="BH230" t="s">
        <v>1640</v>
      </c>
      <c r="BJ230" s="3"/>
    </row>
    <row r="231" ht="25.5" customHeight="1" spans="1:62">
      <c r="A231" t="s">
        <v>2944</v>
      </c>
      <c r="B231" t="s">
        <v>1625</v>
      </c>
      <c r="C231" t="s">
        <v>2851</v>
      </c>
      <c r="D231" t="s">
        <v>1627</v>
      </c>
      <c r="F231" s="2"/>
      <c r="H231" t="s">
        <v>1806</v>
      </c>
      <c r="I231" t="s">
        <v>2945</v>
      </c>
      <c r="J231" t="s">
        <v>1629</v>
      </c>
      <c r="K231" s="3" t="str">
        <f>HYPERLINK("https://vm.tiktok.com/ZGdShpC6r/","https://vm.tiktok.com/ZGdShpC6r/")</f>
        <v>https://vm.tiktok.com/ZGdShpC6r/</v>
      </c>
      <c r="L231" t="s">
        <v>1630</v>
      </c>
      <c r="N231" s="3" t="str">
        <f>HYPERLINK("https://app.hypeauditor.com/my-network/influencer/32886300/analytics/tiktok/rafalito89","https://app.hypeauditor.com/my-network/influencer/32886300/analytics/tiktok/rafalito89")</f>
        <v>https://app.hypeauditor.com/my-network/influencer/32886300/analytics/tiktok/rafalito89</v>
      </c>
      <c r="O231" s="3"/>
      <c r="P231" t="s">
        <v>56</v>
      </c>
      <c r="Q231" t="s">
        <v>57</v>
      </c>
      <c r="R231" t="s">
        <v>1652</v>
      </c>
      <c r="S231" t="s">
        <v>54</v>
      </c>
      <c r="T231">
        <v>41700</v>
      </c>
      <c r="U231" t="s">
        <v>55</v>
      </c>
      <c r="W231" t="s">
        <v>55</v>
      </c>
      <c r="Y231" t="s">
        <v>54</v>
      </c>
      <c r="AA231" t="s">
        <v>55</v>
      </c>
      <c r="AE231" t="s">
        <v>55</v>
      </c>
      <c r="AG231" t="s">
        <v>54</v>
      </c>
      <c r="AI231" t="s">
        <v>55</v>
      </c>
      <c r="AK231" t="s">
        <v>55</v>
      </c>
      <c r="AM231" t="s">
        <v>55</v>
      </c>
      <c r="AO231" t="s">
        <v>55</v>
      </c>
      <c r="AQ231" t="s">
        <v>54</v>
      </c>
      <c r="AR231">
        <v>10000</v>
      </c>
      <c r="AS231">
        <v>0.1</v>
      </c>
      <c r="AT231" t="s">
        <v>2577</v>
      </c>
      <c r="AU231">
        <v>50</v>
      </c>
      <c r="AW231" t="s">
        <v>2578</v>
      </c>
      <c r="AX231" t="s">
        <v>600</v>
      </c>
      <c r="AY231" t="s">
        <v>601</v>
      </c>
      <c r="AZ231" t="s">
        <v>2640</v>
      </c>
      <c r="BA231" t="s">
        <v>842</v>
      </c>
      <c r="BD231" t="s">
        <v>1638</v>
      </c>
      <c r="BE231" t="s">
        <v>2640</v>
      </c>
      <c r="BG231" t="s">
        <v>1639</v>
      </c>
      <c r="BH231" t="s">
        <v>1640</v>
      </c>
      <c r="BJ231" s="3" t="str">
        <f>HYPERLINK("https://vm.tiktok.com/ZGdShpC6r/","https://vm.tiktok.com/ZGdShpC6r/")</f>
        <v>https://vm.tiktok.com/ZGdShpC6r/</v>
      </c>
    </row>
    <row r="232" ht="25.5" customHeight="1" spans="1:62">
      <c r="A232" t="s">
        <v>2946</v>
      </c>
      <c r="B232" t="s">
        <v>1625</v>
      </c>
      <c r="C232" t="s">
        <v>2947</v>
      </c>
      <c r="F232" s="2"/>
      <c r="H232" t="s">
        <v>1806</v>
      </c>
      <c r="I232" t="s">
        <v>2948</v>
      </c>
      <c r="J232" t="s">
        <v>1629</v>
      </c>
      <c r="K232" s="3"/>
      <c r="L232" t="s">
        <v>1645</v>
      </c>
      <c r="N232" s="3" t="str">
        <f>HYPERLINK("https://app.hypeauditor.com/my-network/influencer/8080246/analytics/instagram/jorgeherreramx","https://app.hypeauditor.com/my-network/influencer/8080246/analytics/instagram/jorgeherreramx")</f>
        <v>https://app.hypeauditor.com/my-network/influencer/8080246/analytics/instagram/jorgeherreramx</v>
      </c>
      <c r="O232" s="3"/>
      <c r="P232" t="s">
        <v>56</v>
      </c>
      <c r="Q232" t="s">
        <v>57</v>
      </c>
      <c r="S232" t="s">
        <v>54</v>
      </c>
      <c r="W232" t="s">
        <v>55</v>
      </c>
      <c r="Y232" t="s">
        <v>54</v>
      </c>
      <c r="AA232" t="s">
        <v>55</v>
      </c>
      <c r="AE232" t="s">
        <v>55</v>
      </c>
      <c r="AG232" t="s">
        <v>54</v>
      </c>
      <c r="AI232" t="s">
        <v>55</v>
      </c>
      <c r="AK232" t="s">
        <v>55</v>
      </c>
      <c r="AM232" t="s">
        <v>55</v>
      </c>
      <c r="AO232" t="s">
        <v>55</v>
      </c>
      <c r="AQ232" t="s">
        <v>54</v>
      </c>
      <c r="AT232" t="s">
        <v>54</v>
      </c>
      <c r="AU232">
        <v>50</v>
      </c>
      <c r="AW232" t="s">
        <v>54</v>
      </c>
      <c r="BD232" t="s">
        <v>1625</v>
      </c>
      <c r="BG232" t="s">
        <v>1639</v>
      </c>
      <c r="BH232" t="s">
        <v>1640</v>
      </c>
      <c r="BJ232" s="3"/>
    </row>
    <row r="233" ht="25.5" customHeight="1" spans="1:62">
      <c r="A233" t="s">
        <v>2949</v>
      </c>
      <c r="B233" t="s">
        <v>1625</v>
      </c>
      <c r="C233" t="s">
        <v>1690</v>
      </c>
      <c r="D233" t="s">
        <v>1627</v>
      </c>
      <c r="F233" s="2"/>
      <c r="J233" t="s">
        <v>1644</v>
      </c>
      <c r="K233" s="3" t="str">
        <f>HYPERLINK("https://www.tiktok.com/@legend54ytft/video/7457314482839129349?_r=1&amp;_t=ZM-8ssqPUX36Yv","https://www.tiktok.com/@legend54ytft/video/7457314482839129349?_r=1&amp;_t=ZM-8ssqPUX36Yv")</f>
        <v>https://www.tiktok.com/@legend54ytft/video/7457314482839129349?_r=1&amp;_t=ZM-8ssqPUX36Yv</v>
      </c>
      <c r="L233" t="s">
        <v>1630</v>
      </c>
      <c r="N233" s="3" t="str">
        <f>HYPERLINK("https://app.hypeauditor.com/my-network/influencer/30806480/analytics/tiktok/legend54ytft","https://app.hypeauditor.com/my-network/influencer/30806480/analytics/tiktok/legend54ytft")</f>
        <v>https://app.hypeauditor.com/my-network/influencer/30806480/analytics/tiktok/legend54ytft</v>
      </c>
      <c r="O233" s="3" t="str">
        <f>HYPERLINK("https://www.tiktok.com/@legend54ytft","https://www.tiktok.com/@legend54ytft")</f>
        <v>https://www.tiktok.com/@legend54ytft</v>
      </c>
      <c r="P233" t="s">
        <v>56</v>
      </c>
      <c r="Q233" t="s">
        <v>57</v>
      </c>
      <c r="R233" t="s">
        <v>1753</v>
      </c>
      <c r="S233" t="s">
        <v>54</v>
      </c>
      <c r="T233">
        <v>244200</v>
      </c>
      <c r="U233" t="s">
        <v>2950</v>
      </c>
      <c r="W233" t="s">
        <v>55</v>
      </c>
      <c r="Y233" t="s">
        <v>54</v>
      </c>
      <c r="AA233" t="s">
        <v>55</v>
      </c>
      <c r="AE233" t="s">
        <v>55</v>
      </c>
      <c r="AG233" t="s">
        <v>54</v>
      </c>
      <c r="AI233" t="s">
        <v>55</v>
      </c>
      <c r="AK233" t="s">
        <v>55</v>
      </c>
      <c r="AM233" t="s">
        <v>55</v>
      </c>
      <c r="AO233" t="s">
        <v>55</v>
      </c>
      <c r="AQ233" t="s">
        <v>54</v>
      </c>
      <c r="AR233">
        <v>10000</v>
      </c>
      <c r="AS233">
        <v>0.0432</v>
      </c>
      <c r="AT233" t="s">
        <v>2951</v>
      </c>
      <c r="AU233">
        <v>50</v>
      </c>
      <c r="AW233" t="s">
        <v>2952</v>
      </c>
      <c r="AX233" t="s">
        <v>600</v>
      </c>
      <c r="AY233" t="s">
        <v>601</v>
      </c>
      <c r="AZ233" t="s">
        <v>2953</v>
      </c>
      <c r="BA233" t="s">
        <v>2954</v>
      </c>
      <c r="BD233" t="s">
        <v>1638</v>
      </c>
      <c r="BE233" t="s">
        <v>2953</v>
      </c>
      <c r="BG233" t="s">
        <v>1639</v>
      </c>
      <c r="BH233" t="s">
        <v>1640</v>
      </c>
      <c r="BJ233" s="3" t="str">
        <f>HYPERLINK("https://www.tiktok.com/@legend54ytft/video/7457314482839129349?_r=1&amp;_t=ZM-8ssqPUX36Yv","https://www.tiktok.com/@legend54ytft/video/7457314482839129349?_r=1&amp;_t=ZM-8ssqPUX36Yv")</f>
        <v>https://www.tiktok.com/@legend54ytft/video/7457314482839129349?_r=1&amp;_t=ZM-8ssqPUX36Yv</v>
      </c>
    </row>
    <row r="234" ht="25.5" customHeight="1" spans="1:62">
      <c r="A234" t="s">
        <v>2955</v>
      </c>
      <c r="B234" t="s">
        <v>1625</v>
      </c>
      <c r="C234" t="s">
        <v>2956</v>
      </c>
      <c r="D234" t="s">
        <v>1627</v>
      </c>
      <c r="F234" s="2"/>
      <c r="J234" t="s">
        <v>1644</v>
      </c>
      <c r="K234" s="3" t="str">
        <f>HYPERLINK("https://www.instagram.com/reel/DE4tbavN7DT/","https://www.instagram.com/reel/DE4tbavN7DT/")</f>
        <v>https://www.instagram.com/reel/DE4tbavN7DT/</v>
      </c>
      <c r="L234" t="s">
        <v>1630</v>
      </c>
      <c r="N234" s="3"/>
      <c r="O234" s="3" t="str">
        <f>HYPERLINK("https://www.instagram.com/markovichi_?igsh=Ymg0ZGtib2ZwZHE2&amp;utm_source=qr#","https://www.instagram.com/markovichi_?igsh=Ymg0ZGtib2ZwZHE2&amp;utm_source=qr#")</f>
        <v>https://www.instagram.com/markovichi_?igsh=Ymg0ZGtib2ZwZHE2&amp;utm_source=qr#</v>
      </c>
      <c r="P234" t="s">
        <v>65</v>
      </c>
      <c r="Q234" t="s">
        <v>116</v>
      </c>
      <c r="R234" t="s">
        <v>1652</v>
      </c>
      <c r="S234" t="s">
        <v>54</v>
      </c>
      <c r="T234">
        <v>22000</v>
      </c>
      <c r="U234" t="s">
        <v>55</v>
      </c>
      <c r="W234" t="s">
        <v>55</v>
      </c>
      <c r="Y234" t="s">
        <v>54</v>
      </c>
      <c r="AA234" t="s">
        <v>55</v>
      </c>
      <c r="AE234" t="s">
        <v>55</v>
      </c>
      <c r="AG234" t="s">
        <v>54</v>
      </c>
      <c r="AI234" t="s">
        <v>55</v>
      </c>
      <c r="AK234" t="s">
        <v>55</v>
      </c>
      <c r="AM234" t="s">
        <v>55</v>
      </c>
      <c r="AO234" t="s">
        <v>55</v>
      </c>
      <c r="AQ234" t="s">
        <v>54</v>
      </c>
      <c r="AR234">
        <v>6000</v>
      </c>
      <c r="AS234">
        <v>0.03</v>
      </c>
      <c r="AT234" t="s">
        <v>2957</v>
      </c>
      <c r="AU234">
        <v>50</v>
      </c>
      <c r="AW234" t="s">
        <v>2958</v>
      </c>
      <c r="AX234" t="s">
        <v>1774</v>
      </c>
      <c r="AY234" t="s">
        <v>1775</v>
      </c>
      <c r="AZ234" t="s">
        <v>2959</v>
      </c>
      <c r="BA234" t="s">
        <v>2960</v>
      </c>
      <c r="BD234" t="s">
        <v>1638</v>
      </c>
      <c r="BE234" t="s">
        <v>2959</v>
      </c>
      <c r="BG234" t="s">
        <v>1639</v>
      </c>
      <c r="BH234" t="s">
        <v>1640</v>
      </c>
      <c r="BJ234" s="3" t="str">
        <f>HYPERLINK("https://www.instagram.com/reel/DE4tbavN7DT/","https://www.instagram.com/reel/DE4tbavN7DT/")</f>
        <v>https://www.instagram.com/reel/DE4tbavN7DT/</v>
      </c>
    </row>
    <row r="235" ht="25.5" customHeight="1" spans="1:62">
      <c r="A235" t="s">
        <v>1154</v>
      </c>
      <c r="B235" t="s">
        <v>1625</v>
      </c>
      <c r="C235" t="s">
        <v>2961</v>
      </c>
      <c r="F235" s="2"/>
      <c r="I235" t="s">
        <v>2962</v>
      </c>
      <c r="J235" t="s">
        <v>1644</v>
      </c>
      <c r="K235" s="3" t="str">
        <f>HYPERLINK("https://www.instagram.com/share/reel/BAgSdRT1lu","https://www.instagram.com/share/reel/BAgSdRT1lu")</f>
        <v>https://www.instagram.com/share/reel/BAgSdRT1lu</v>
      </c>
      <c r="L235" t="s">
        <v>1630</v>
      </c>
      <c r="N235" s="3" t="str">
        <f>HYPERLINK("https://app.hypeauditor.com/my-network/influencer/32360792/analytics/tiktok/pedroveroneze","https://app.hypeauditor.com/my-network/influencer/32360792/analytics/tiktok/pedroveroneze")</f>
        <v>https://app.hypeauditor.com/my-network/influencer/32360792/analytics/tiktok/pedroveroneze</v>
      </c>
      <c r="O235" s="3" t="str">
        <f>HYPERLINK("https://www.tiktok.com/@pedroveroneze","https://www.tiktok.com/@pedroveroneze")</f>
        <v>https://www.tiktok.com/@pedroveroneze</v>
      </c>
      <c r="P235" t="s">
        <v>65</v>
      </c>
      <c r="Q235" t="s">
        <v>57</v>
      </c>
      <c r="R235" t="s">
        <v>1652</v>
      </c>
      <c r="S235" t="s">
        <v>54</v>
      </c>
      <c r="T235">
        <v>13300</v>
      </c>
      <c r="U235" t="s">
        <v>55</v>
      </c>
      <c r="W235" t="s">
        <v>55</v>
      </c>
      <c r="Y235" t="s">
        <v>54</v>
      </c>
      <c r="AA235" t="s">
        <v>55</v>
      </c>
      <c r="AE235" t="s">
        <v>55</v>
      </c>
      <c r="AG235" t="s">
        <v>54</v>
      </c>
      <c r="AI235" t="s">
        <v>55</v>
      </c>
      <c r="AK235" t="s">
        <v>55</v>
      </c>
      <c r="AM235" t="s">
        <v>55</v>
      </c>
      <c r="AO235" t="s">
        <v>55</v>
      </c>
      <c r="AQ235" t="s">
        <v>54</v>
      </c>
      <c r="AR235">
        <v>20000</v>
      </c>
      <c r="AS235">
        <v>0.035</v>
      </c>
      <c r="AT235" t="s">
        <v>2963</v>
      </c>
      <c r="AU235">
        <v>50</v>
      </c>
      <c r="AW235" t="s">
        <v>2964</v>
      </c>
      <c r="AX235" t="s">
        <v>1782</v>
      </c>
      <c r="AY235" t="s">
        <v>1783</v>
      </c>
      <c r="AZ235" t="s">
        <v>2965</v>
      </c>
      <c r="BA235" t="s">
        <v>2966</v>
      </c>
      <c r="BD235" t="s">
        <v>1638</v>
      </c>
      <c r="BE235" t="s">
        <v>2965</v>
      </c>
      <c r="BG235" t="s">
        <v>1639</v>
      </c>
      <c r="BH235" t="s">
        <v>1640</v>
      </c>
      <c r="BJ235" s="3" t="str">
        <f>HYPERLINK("https://www.instagram.com/share/reel/BAgSdRT1lu","https://www.instagram.com/share/reel/BAgSdRT1lu")</f>
        <v>https://www.instagram.com/share/reel/BAgSdRT1lu</v>
      </c>
    </row>
    <row r="236" ht="25.5" customHeight="1" spans="1:62">
      <c r="A236" t="s">
        <v>616</v>
      </c>
      <c r="B236" t="s">
        <v>1625</v>
      </c>
      <c r="F236" s="2"/>
      <c r="K236" s="3" t="str">
        <f>HYPERLINK("https://vm.tiktok.com/ZMkutcaQ1/","https://vm.tiktok.com/ZMkutcaQ1/")</f>
        <v>https://vm.tiktok.com/ZMkutcaQ1/</v>
      </c>
      <c r="L236" t="s">
        <v>1630</v>
      </c>
      <c r="N236" s="3"/>
      <c r="O236" s="3"/>
      <c r="P236" t="s">
        <v>56</v>
      </c>
      <c r="Q236" t="s">
        <v>57</v>
      </c>
      <c r="R236" t="s">
        <v>1703</v>
      </c>
      <c r="S236" t="s">
        <v>54</v>
      </c>
      <c r="W236" t="s">
        <v>55</v>
      </c>
      <c r="Y236" t="s">
        <v>54</v>
      </c>
      <c r="AA236" t="s">
        <v>55</v>
      </c>
      <c r="AE236" t="s">
        <v>55</v>
      </c>
      <c r="AG236" t="s">
        <v>54</v>
      </c>
      <c r="AI236" t="s">
        <v>55</v>
      </c>
      <c r="AK236" t="s">
        <v>55</v>
      </c>
      <c r="AM236" t="s">
        <v>55</v>
      </c>
      <c r="AO236" t="s">
        <v>55</v>
      </c>
      <c r="AQ236" t="s">
        <v>54</v>
      </c>
      <c r="AT236" t="s">
        <v>54</v>
      </c>
      <c r="AU236">
        <v>50</v>
      </c>
      <c r="AW236" t="s">
        <v>54</v>
      </c>
      <c r="BD236" t="s">
        <v>1638</v>
      </c>
      <c r="BG236" t="s">
        <v>1639</v>
      </c>
      <c r="BH236" t="s">
        <v>1640</v>
      </c>
      <c r="BI236" t="s">
        <v>616</v>
      </c>
      <c r="BJ236" s="3" t="str">
        <f>HYPERLINK("https://vm.tiktok.com/ZMkutcaQ1/","https://vm.tiktok.com/ZMkutcaQ1/")</f>
        <v>https://vm.tiktok.com/ZMkutcaQ1/</v>
      </c>
    </row>
    <row r="237" ht="25.5" customHeight="1" spans="1:62">
      <c r="A237" t="s">
        <v>2967</v>
      </c>
      <c r="B237" t="s">
        <v>1625</v>
      </c>
      <c r="C237" t="s">
        <v>2968</v>
      </c>
      <c r="D237" t="s">
        <v>1627</v>
      </c>
      <c r="F237" s="2"/>
      <c r="H237" t="s">
        <v>1663</v>
      </c>
      <c r="J237" t="s">
        <v>1644</v>
      </c>
      <c r="K237" s="3" t="str">
        <f>HYPERLINK("https://vm.tiktok.com/ZMk594Jjt/","https://vm.tiktok.com/ZMk594Jjt/")</f>
        <v>https://vm.tiktok.com/ZMk594Jjt/</v>
      </c>
      <c r="L237" t="s">
        <v>1630</v>
      </c>
      <c r="N237" s="3" t="str">
        <f>HYPERLINK("https://app.hypeauditor.com/my-network/influencer/27394305/analytics/tiktok/luchianouc","https://app.hypeauditor.com/my-network/influencer/27394305/analytics/tiktok/luchianouc")</f>
        <v>https://app.hypeauditor.com/my-network/influencer/27394305/analytics/tiktok/luchianouc</v>
      </c>
      <c r="O237" s="3"/>
      <c r="P237" t="s">
        <v>56</v>
      </c>
      <c r="Q237" t="s">
        <v>57</v>
      </c>
      <c r="R237" t="s">
        <v>97</v>
      </c>
      <c r="S237" t="s">
        <v>54</v>
      </c>
      <c r="W237" t="s">
        <v>55</v>
      </c>
      <c r="Y237" t="s">
        <v>54</v>
      </c>
      <c r="AA237" t="s">
        <v>55</v>
      </c>
      <c r="AE237" t="s">
        <v>55</v>
      </c>
      <c r="AG237" t="s">
        <v>54</v>
      </c>
      <c r="AI237" t="s">
        <v>55</v>
      </c>
      <c r="AK237" t="s">
        <v>55</v>
      </c>
      <c r="AM237" t="s">
        <v>55</v>
      </c>
      <c r="AO237" t="s">
        <v>55</v>
      </c>
      <c r="AQ237" t="s">
        <v>54</v>
      </c>
      <c r="AR237">
        <v>5600</v>
      </c>
      <c r="AS237">
        <v>0.0608</v>
      </c>
      <c r="AT237" t="s">
        <v>2969</v>
      </c>
      <c r="AU237">
        <v>40</v>
      </c>
      <c r="AW237" t="s">
        <v>2970</v>
      </c>
      <c r="AX237" t="s">
        <v>2061</v>
      </c>
      <c r="AY237" t="s">
        <v>1671</v>
      </c>
      <c r="AZ237" t="s">
        <v>958</v>
      </c>
      <c r="BA237" t="s">
        <v>2971</v>
      </c>
      <c r="BD237" t="s">
        <v>1638</v>
      </c>
      <c r="BE237" t="s">
        <v>958</v>
      </c>
      <c r="BG237" t="s">
        <v>1639</v>
      </c>
      <c r="BH237" t="s">
        <v>1640</v>
      </c>
      <c r="BJ237" s="3" t="str">
        <f>HYPERLINK("https://vm.tiktok.com/ZMk594Jjt/","https://vm.tiktok.com/ZMk594Jjt/")</f>
        <v>https://vm.tiktok.com/ZMk594Jjt/</v>
      </c>
    </row>
    <row r="238" ht="25.5" customHeight="1" spans="1:62">
      <c r="A238" t="s">
        <v>2972</v>
      </c>
      <c r="B238" t="s">
        <v>1830</v>
      </c>
      <c r="C238" t="s">
        <v>2973</v>
      </c>
      <c r="D238" t="s">
        <v>1627</v>
      </c>
      <c r="F238" s="2"/>
      <c r="H238" t="s">
        <v>1663</v>
      </c>
      <c r="I238" t="s">
        <v>2974</v>
      </c>
      <c r="J238" t="s">
        <v>1644</v>
      </c>
      <c r="K238" s="3" t="str">
        <f>HYPERLINK("https://www.tiktok.com/@andresnotes_/video/7460248640443993350?_r=1&amp;_t=ZS-8t6CVsxlyao","https://www.tiktok.com/@andresnotes_/video/7460248640443993350?_r=1&amp;_t=ZS-8t6CVsxlyao")</f>
        <v>https://www.tiktok.com/@andresnotes_/video/7460248640443993350?_r=1&amp;_t=ZS-8t6CVsxlyao</v>
      </c>
      <c r="L238" t="s">
        <v>1630</v>
      </c>
      <c r="N238" s="3" t="str">
        <f>HYPERLINK("https://app.hypeauditor.com/my-network/influencer/25976567/analytics/tiktok/andresnotes_","https://app.hypeauditor.com/my-network/influencer/25976567/analytics/tiktok/andresnotes_")</f>
        <v>https://app.hypeauditor.com/my-network/influencer/25976567/analytics/tiktok/andresnotes_</v>
      </c>
      <c r="O238" s="3" t="str">
        <f>HYPERLINK("https://www.tiktok.com/@andresnotes_","https://www.tiktok.com/@andresnotes_")</f>
        <v>https://www.tiktok.com/@andresnotes_</v>
      </c>
      <c r="P238" t="s">
        <v>56</v>
      </c>
      <c r="Q238" t="s">
        <v>57</v>
      </c>
      <c r="R238" t="s">
        <v>1753</v>
      </c>
      <c r="S238" t="s">
        <v>54</v>
      </c>
      <c r="T238">
        <v>132900</v>
      </c>
      <c r="U238" t="s">
        <v>2975</v>
      </c>
      <c r="W238" t="s">
        <v>55</v>
      </c>
      <c r="Y238" t="s">
        <v>54</v>
      </c>
      <c r="AA238" t="s">
        <v>55</v>
      </c>
      <c r="AE238" t="s">
        <v>55</v>
      </c>
      <c r="AG238" t="s">
        <v>54</v>
      </c>
      <c r="AI238" t="s">
        <v>55</v>
      </c>
      <c r="AK238" t="s">
        <v>55</v>
      </c>
      <c r="AM238" t="s">
        <v>55</v>
      </c>
      <c r="AO238" t="s">
        <v>55</v>
      </c>
      <c r="AQ238" t="s">
        <v>54</v>
      </c>
      <c r="AR238">
        <v>8000</v>
      </c>
      <c r="AS238">
        <v>0.05</v>
      </c>
      <c r="AT238" t="s">
        <v>2976</v>
      </c>
      <c r="AU238">
        <v>40</v>
      </c>
      <c r="AW238" t="s">
        <v>2977</v>
      </c>
      <c r="AX238" t="s">
        <v>600</v>
      </c>
      <c r="AY238" t="s">
        <v>601</v>
      </c>
      <c r="AZ238" t="s">
        <v>2076</v>
      </c>
      <c r="BA238" t="s">
        <v>2077</v>
      </c>
      <c r="BD238" t="s">
        <v>1638</v>
      </c>
      <c r="BE238" t="s">
        <v>2076</v>
      </c>
      <c r="BG238" t="s">
        <v>1639</v>
      </c>
      <c r="BH238" t="s">
        <v>1640</v>
      </c>
      <c r="BJ238" s="3" t="str">
        <f>HYPERLINK("https://www.tiktok.com/@andresnotes_/video/7460248640443993350?_r=1&amp;_t=ZS-8t6CVsxlyao","https://www.tiktok.com/@andresnotes_/video/7460248640443993350?_r=1&amp;_t=ZS-8t6CVsxlyao")</f>
        <v>https://www.tiktok.com/@andresnotes_/video/7460248640443993350?_r=1&amp;_t=ZS-8t6CVsxlyao</v>
      </c>
    </row>
    <row r="239" ht="25.5" customHeight="1" spans="1:62">
      <c r="A239" t="s">
        <v>2978</v>
      </c>
      <c r="B239" t="s">
        <v>1625</v>
      </c>
      <c r="C239" t="s">
        <v>2979</v>
      </c>
      <c r="D239" t="s">
        <v>1627</v>
      </c>
      <c r="F239" s="2"/>
      <c r="J239" t="s">
        <v>1644</v>
      </c>
      <c r="K239" s="3" t="str">
        <f>HYPERLINK("https://www.tiktok.com/@nahimtoowavy/video/7463030985957969185","https://www.tiktok.com/@nahimtoowavy/video/7463030985957969185")</f>
        <v>https://www.tiktok.com/@nahimtoowavy/video/7463030985957969185</v>
      </c>
      <c r="L239" t="s">
        <v>1630</v>
      </c>
      <c r="N239" s="3"/>
      <c r="O239" s="3" t="str">
        <f>HYPERLINK("http://nahimtoowavy","nahimtoowavy")</f>
        <v>nahimtoowavy</v>
      </c>
      <c r="P239" t="s">
        <v>56</v>
      </c>
      <c r="Q239" t="s">
        <v>57</v>
      </c>
      <c r="R239" t="s">
        <v>1887</v>
      </c>
      <c r="S239" t="s">
        <v>54</v>
      </c>
      <c r="T239">
        <v>15900</v>
      </c>
      <c r="U239" t="s">
        <v>55</v>
      </c>
      <c r="W239" t="s">
        <v>55</v>
      </c>
      <c r="Y239" t="s">
        <v>54</v>
      </c>
      <c r="AA239" t="s">
        <v>55</v>
      </c>
      <c r="AE239" t="s">
        <v>55</v>
      </c>
      <c r="AG239" t="s">
        <v>54</v>
      </c>
      <c r="AI239" t="s">
        <v>55</v>
      </c>
      <c r="AK239" t="s">
        <v>55</v>
      </c>
      <c r="AM239" t="s">
        <v>55</v>
      </c>
      <c r="AO239" t="s">
        <v>55</v>
      </c>
      <c r="AQ239" t="s">
        <v>54</v>
      </c>
      <c r="AR239">
        <v>10000</v>
      </c>
      <c r="AS239">
        <v>0.03</v>
      </c>
      <c r="AT239" t="s">
        <v>2934</v>
      </c>
      <c r="AU239">
        <v>40</v>
      </c>
      <c r="AW239" t="s">
        <v>2935</v>
      </c>
      <c r="AX239" t="s">
        <v>2462</v>
      </c>
      <c r="AY239" t="s">
        <v>2463</v>
      </c>
      <c r="AZ239" t="s">
        <v>1876</v>
      </c>
      <c r="BA239" t="s">
        <v>2166</v>
      </c>
      <c r="BD239" t="s">
        <v>1638</v>
      </c>
      <c r="BE239" t="s">
        <v>1876</v>
      </c>
      <c r="BG239" t="s">
        <v>1639</v>
      </c>
      <c r="BH239" t="s">
        <v>1640</v>
      </c>
      <c r="BJ239" s="3" t="str">
        <f>HYPERLINK("https://www.tiktok.com/@nahimtoowavy/video/7463030985957969185","https://www.tiktok.com/@nahimtoowavy/video/7463030985957969185")</f>
        <v>https://www.tiktok.com/@nahimtoowavy/video/7463030985957969185</v>
      </c>
    </row>
    <row r="240" ht="25.5" customHeight="1" spans="1:62">
      <c r="A240" t="s">
        <v>1126</v>
      </c>
      <c r="B240" t="s">
        <v>1830</v>
      </c>
      <c r="C240" t="s">
        <v>2980</v>
      </c>
      <c r="F240" s="2">
        <v>45686</v>
      </c>
      <c r="J240" t="s">
        <v>773</v>
      </c>
      <c r="K240" s="3" t="str">
        <f>HYPERLINK("https://www.tiktok.com/@siterij/video/7465366956657413398","https://www.tiktok.com/@siterij/video/7465366956657413398")</f>
        <v>https://www.tiktok.com/@siterij/video/7465366956657413398</v>
      </c>
      <c r="L240" t="s">
        <v>1630</v>
      </c>
      <c r="N240" s="3" t="str">
        <f>HYPERLINK("https://app.hypeauditor.com/my-network/influencer/32715157/analytics/tiktok/siterij","https://app.hypeauditor.com/my-network/influencer/32715157/analytics/tiktok/siterij")</f>
        <v>https://app.hypeauditor.com/my-network/influencer/32715157/analytics/tiktok/siterij</v>
      </c>
      <c r="O240" s="3" t="str">
        <f>HYPERLINK("https://www.tiktok.com/@siterij","https://www.tiktok.com/@siterij")</f>
        <v>https://www.tiktok.com/@siterij</v>
      </c>
      <c r="P240" t="s">
        <v>56</v>
      </c>
      <c r="Q240" t="s">
        <v>57</v>
      </c>
      <c r="R240" t="s">
        <v>1703</v>
      </c>
      <c r="S240" t="s">
        <v>54</v>
      </c>
      <c r="T240">
        <v>12200</v>
      </c>
      <c r="U240" t="s">
        <v>55</v>
      </c>
      <c r="W240" t="s">
        <v>55</v>
      </c>
      <c r="Y240" t="s">
        <v>54</v>
      </c>
      <c r="AA240" t="s">
        <v>55</v>
      </c>
      <c r="AE240" t="s">
        <v>55</v>
      </c>
      <c r="AG240" t="s">
        <v>54</v>
      </c>
      <c r="AI240" t="s">
        <v>55</v>
      </c>
      <c r="AK240" t="s">
        <v>55</v>
      </c>
      <c r="AM240" t="s">
        <v>55</v>
      </c>
      <c r="AO240" t="s">
        <v>55</v>
      </c>
      <c r="AQ240" t="s">
        <v>54</v>
      </c>
      <c r="AR240">
        <v>10000</v>
      </c>
      <c r="AS240">
        <v>0.04</v>
      </c>
      <c r="AT240" t="s">
        <v>2976</v>
      </c>
      <c r="AU240">
        <v>40</v>
      </c>
      <c r="AW240" t="s">
        <v>2977</v>
      </c>
      <c r="AX240" t="s">
        <v>2462</v>
      </c>
      <c r="AY240" t="s">
        <v>2463</v>
      </c>
      <c r="AZ240" t="s">
        <v>2076</v>
      </c>
      <c r="BA240" t="s">
        <v>2077</v>
      </c>
      <c r="BD240" t="s">
        <v>1638</v>
      </c>
      <c r="BE240" t="s">
        <v>2076</v>
      </c>
      <c r="BG240" t="s">
        <v>1639</v>
      </c>
      <c r="BH240" t="s">
        <v>1640</v>
      </c>
      <c r="BJ240" s="3" t="str">
        <f>HYPERLINK("https://www.tiktok.com/@siterij/video/7465366956657413398","https://www.tiktok.com/@siterij/video/7465366956657413398")</f>
        <v>https://www.tiktok.com/@siterij/video/7465366956657413398</v>
      </c>
    </row>
    <row r="241" ht="25.5" customHeight="1" spans="1:62">
      <c r="A241" t="s">
        <v>2981</v>
      </c>
      <c r="B241" t="s">
        <v>1625</v>
      </c>
      <c r="C241" t="s">
        <v>1688</v>
      </c>
      <c r="D241" t="s">
        <v>1627</v>
      </c>
      <c r="F241" s="2">
        <v>45682</v>
      </c>
      <c r="H241" t="s">
        <v>1806</v>
      </c>
      <c r="J241" t="s">
        <v>1644</v>
      </c>
      <c r="K241" s="3" t="str">
        <f>HYPERLINK("https://vm.tiktok.com/ZMkCVE7xQ/","https://vm.tiktok.com/ZMkCVE7xQ/")</f>
        <v>https://vm.tiktok.com/ZMkCVE7xQ/</v>
      </c>
      <c r="L241" t="s">
        <v>1630</v>
      </c>
      <c r="N241" s="3"/>
      <c r="O241" s="3" t="str">
        <f>HYPERLINK("https://www.tiktok.com/@dastudiess?lang=es","https://www.tiktok.com/@dastudiess?lang=es")</f>
        <v>https://www.tiktok.com/@dastudiess?lang=es</v>
      </c>
      <c r="P241" t="s">
        <v>56</v>
      </c>
      <c r="Q241" t="s">
        <v>57</v>
      </c>
      <c r="R241" t="s">
        <v>1753</v>
      </c>
      <c r="S241" t="s">
        <v>54</v>
      </c>
      <c r="T241">
        <v>78800</v>
      </c>
      <c r="U241" t="s">
        <v>55</v>
      </c>
      <c r="W241" t="s">
        <v>55</v>
      </c>
      <c r="Y241" t="s">
        <v>54</v>
      </c>
      <c r="AA241" t="s">
        <v>55</v>
      </c>
      <c r="AE241" t="s">
        <v>55</v>
      </c>
      <c r="AG241" t="s">
        <v>54</v>
      </c>
      <c r="AI241" t="s">
        <v>55</v>
      </c>
      <c r="AK241" t="s">
        <v>55</v>
      </c>
      <c r="AM241" t="s">
        <v>55</v>
      </c>
      <c r="AO241" t="s">
        <v>55</v>
      </c>
      <c r="AQ241" t="s">
        <v>54</v>
      </c>
      <c r="AR241">
        <v>14000</v>
      </c>
      <c r="AS241">
        <v>0.03</v>
      </c>
      <c r="AT241" t="s">
        <v>2982</v>
      </c>
      <c r="AU241">
        <v>35</v>
      </c>
      <c r="AW241" t="s">
        <v>2983</v>
      </c>
      <c r="AX241" t="s">
        <v>1782</v>
      </c>
      <c r="AY241" t="s">
        <v>1783</v>
      </c>
      <c r="AZ241" t="s">
        <v>1821</v>
      </c>
      <c r="BA241" t="s">
        <v>1822</v>
      </c>
      <c r="BD241" t="s">
        <v>1638</v>
      </c>
      <c r="BE241" t="s">
        <v>1821</v>
      </c>
      <c r="BG241" t="s">
        <v>1639</v>
      </c>
      <c r="BH241" t="s">
        <v>1640</v>
      </c>
      <c r="BJ241" s="3" t="str">
        <f>HYPERLINK("https://vm.tiktok.com/ZMkCVE7xQ/","https://vm.tiktok.com/ZMkCVE7xQ/")</f>
        <v>https://vm.tiktok.com/ZMkCVE7xQ/</v>
      </c>
    </row>
    <row r="242" ht="25.5" customHeight="1" spans="1:62">
      <c r="A242" t="s">
        <v>2984</v>
      </c>
      <c r="B242" t="s">
        <v>1625</v>
      </c>
      <c r="C242" t="s">
        <v>2985</v>
      </c>
      <c r="F242" s="2"/>
      <c r="H242" t="s">
        <v>1806</v>
      </c>
      <c r="I242" t="s">
        <v>2986</v>
      </c>
      <c r="J242" t="s">
        <v>1644</v>
      </c>
      <c r="K242" s="3"/>
      <c r="L242" t="s">
        <v>1645</v>
      </c>
      <c r="N242" s="3" t="str">
        <f>HYPERLINK("https://app.hypeauditor.com/my-network/influencer/19567842/analytics/tiktok/sebssgg","https://app.hypeauditor.com/my-network/influencer/19567842/analytics/tiktok/sebssgg")</f>
        <v>https://app.hypeauditor.com/my-network/influencer/19567842/analytics/tiktok/sebssgg</v>
      </c>
      <c r="O242" s="3"/>
      <c r="P242" t="s">
        <v>56</v>
      </c>
      <c r="Q242" t="s">
        <v>57</v>
      </c>
      <c r="S242" t="s">
        <v>54</v>
      </c>
      <c r="W242" t="s">
        <v>55</v>
      </c>
      <c r="Y242" t="s">
        <v>54</v>
      </c>
      <c r="AA242" t="s">
        <v>55</v>
      </c>
      <c r="AE242" t="s">
        <v>55</v>
      </c>
      <c r="AG242" t="s">
        <v>54</v>
      </c>
      <c r="AI242" t="s">
        <v>55</v>
      </c>
      <c r="AK242" t="s">
        <v>55</v>
      </c>
      <c r="AM242" t="s">
        <v>55</v>
      </c>
      <c r="AO242" t="s">
        <v>55</v>
      </c>
      <c r="AQ242" t="s">
        <v>54</v>
      </c>
      <c r="AT242" t="s">
        <v>54</v>
      </c>
      <c r="AU242">
        <v>35</v>
      </c>
      <c r="AW242" t="s">
        <v>54</v>
      </c>
      <c r="BD242" t="s">
        <v>1830</v>
      </c>
      <c r="BG242" t="s">
        <v>1639</v>
      </c>
      <c r="BH242" t="s">
        <v>1640</v>
      </c>
      <c r="BJ242" s="3"/>
    </row>
    <row r="243" ht="25.5" customHeight="1" spans="1:62">
      <c r="A243" t="s">
        <v>2987</v>
      </c>
      <c r="B243" t="s">
        <v>1625</v>
      </c>
      <c r="C243" t="s">
        <v>2988</v>
      </c>
      <c r="F243" s="2"/>
      <c r="J243" t="s">
        <v>1644</v>
      </c>
      <c r="K243" s="3"/>
      <c r="L243" t="s">
        <v>1645</v>
      </c>
      <c r="N243" s="3"/>
      <c r="O243" s="3"/>
      <c r="P243" t="s">
        <v>56</v>
      </c>
      <c r="Q243" t="s">
        <v>57</v>
      </c>
      <c r="S243" t="s">
        <v>54</v>
      </c>
      <c r="W243" t="s">
        <v>55</v>
      </c>
      <c r="Y243" t="s">
        <v>54</v>
      </c>
      <c r="AA243" t="s">
        <v>55</v>
      </c>
      <c r="AE243" t="s">
        <v>55</v>
      </c>
      <c r="AG243" t="s">
        <v>54</v>
      </c>
      <c r="AI243" t="s">
        <v>55</v>
      </c>
      <c r="AK243" t="s">
        <v>55</v>
      </c>
      <c r="AM243" t="s">
        <v>55</v>
      </c>
      <c r="AO243" t="s">
        <v>55</v>
      </c>
      <c r="AQ243" t="s">
        <v>54</v>
      </c>
      <c r="AT243" t="s">
        <v>54</v>
      </c>
      <c r="AU243">
        <v>35</v>
      </c>
      <c r="AW243" t="s">
        <v>54</v>
      </c>
      <c r="BD243" t="s">
        <v>1830</v>
      </c>
      <c r="BG243" t="s">
        <v>1639</v>
      </c>
      <c r="BH243" t="s">
        <v>1640</v>
      </c>
      <c r="BJ243" s="3"/>
    </row>
    <row r="244" ht="25.5" customHeight="1" spans="1:62">
      <c r="A244" t="s">
        <v>2989</v>
      </c>
      <c r="B244" t="s">
        <v>1625</v>
      </c>
      <c r="C244" t="s">
        <v>2990</v>
      </c>
      <c r="F244" s="2"/>
      <c r="H244" t="s">
        <v>2774</v>
      </c>
      <c r="J244" t="s">
        <v>1644</v>
      </c>
      <c r="K244" s="3"/>
      <c r="L244" t="s">
        <v>1645</v>
      </c>
      <c r="N244" s="3" t="str">
        <f>HYPERLINK("https://app.hypeauditor.com/my-network/influencer/14686345/analytics/tiktok/itzeljonny","https://app.hypeauditor.com/my-network/influencer/14686345/analytics/tiktok/itzeljonny")</f>
        <v>https://app.hypeauditor.com/my-network/influencer/14686345/analytics/tiktok/itzeljonny</v>
      </c>
      <c r="O244" s="3"/>
      <c r="P244" t="s">
        <v>56</v>
      </c>
      <c r="Q244" t="s">
        <v>57</v>
      </c>
      <c r="S244" t="s">
        <v>54</v>
      </c>
      <c r="W244" t="s">
        <v>55</v>
      </c>
      <c r="Y244" t="s">
        <v>54</v>
      </c>
      <c r="AA244" t="s">
        <v>55</v>
      </c>
      <c r="AE244" t="s">
        <v>55</v>
      </c>
      <c r="AG244" t="s">
        <v>54</v>
      </c>
      <c r="AI244" t="s">
        <v>55</v>
      </c>
      <c r="AK244" t="s">
        <v>55</v>
      </c>
      <c r="AM244" t="s">
        <v>55</v>
      </c>
      <c r="AO244" t="s">
        <v>55</v>
      </c>
      <c r="AQ244" t="s">
        <v>54</v>
      </c>
      <c r="AR244">
        <v>2260</v>
      </c>
      <c r="AT244" t="s">
        <v>54</v>
      </c>
      <c r="AU244">
        <v>30</v>
      </c>
      <c r="AW244" t="s">
        <v>54</v>
      </c>
      <c r="AX244" t="s">
        <v>2991</v>
      </c>
      <c r="AY244" t="s">
        <v>2992</v>
      </c>
      <c r="BD244" t="s">
        <v>1830</v>
      </c>
      <c r="BG244" t="s">
        <v>1639</v>
      </c>
      <c r="BH244" t="s">
        <v>1640</v>
      </c>
      <c r="BJ244" s="3"/>
    </row>
    <row r="245" ht="25.5" customHeight="1" spans="1:62">
      <c r="A245" t="s">
        <v>2993</v>
      </c>
      <c r="B245" t="s">
        <v>1625</v>
      </c>
      <c r="D245" t="s">
        <v>1627</v>
      </c>
      <c r="F245" s="2"/>
      <c r="H245" t="s">
        <v>1663</v>
      </c>
      <c r="I245" t="s">
        <v>2994</v>
      </c>
      <c r="J245" t="s">
        <v>1644</v>
      </c>
      <c r="K245" s="3" t="str">
        <f>HYPERLINK("https://www.tiktok.com/@sonnictech/video/7458742693624139014","https://www.tiktok.com/@sonnictech/video/7458742693624139014")</f>
        <v>https://www.tiktok.com/@sonnictech/video/7458742693624139014</v>
      </c>
      <c r="L245" t="s">
        <v>1630</v>
      </c>
      <c r="N245" s="3" t="str">
        <f>HYPERLINK("https://app.hypeauditor.com/my-network/influencer/7943274/analytics/tiktok/sonnictech","https://app.hypeauditor.com/my-network/influencer/7943274/analytics/tiktok/sonnictech")</f>
        <v>https://app.hypeauditor.com/my-network/influencer/7943274/analytics/tiktok/sonnictech</v>
      </c>
      <c r="O245" s="3"/>
      <c r="P245" t="s">
        <v>56</v>
      </c>
      <c r="Q245" t="s">
        <v>57</v>
      </c>
      <c r="R245" t="s">
        <v>1753</v>
      </c>
      <c r="S245" t="s">
        <v>54</v>
      </c>
      <c r="T245">
        <v>44200</v>
      </c>
      <c r="U245" t="s">
        <v>55</v>
      </c>
      <c r="W245" t="s">
        <v>55</v>
      </c>
      <c r="Y245" t="s">
        <v>54</v>
      </c>
      <c r="AA245" t="s">
        <v>55</v>
      </c>
      <c r="AE245" t="s">
        <v>55</v>
      </c>
      <c r="AG245" t="s">
        <v>54</v>
      </c>
      <c r="AI245" t="s">
        <v>55</v>
      </c>
      <c r="AK245" t="s">
        <v>55</v>
      </c>
      <c r="AM245" t="s">
        <v>55</v>
      </c>
      <c r="AO245" t="s">
        <v>55</v>
      </c>
      <c r="AQ245" t="s">
        <v>54</v>
      </c>
      <c r="AR245">
        <v>30000</v>
      </c>
      <c r="AS245">
        <v>0.03</v>
      </c>
      <c r="AT245" t="s">
        <v>1895</v>
      </c>
      <c r="AU245">
        <v>30</v>
      </c>
      <c r="AW245" t="s">
        <v>1896</v>
      </c>
      <c r="AX245" t="s">
        <v>2799</v>
      </c>
      <c r="AY245" t="s">
        <v>2800</v>
      </c>
      <c r="AZ245" t="s">
        <v>2995</v>
      </c>
      <c r="BA245" t="s">
        <v>2996</v>
      </c>
      <c r="BD245" t="s">
        <v>1638</v>
      </c>
      <c r="BE245" t="s">
        <v>2995</v>
      </c>
      <c r="BG245" t="s">
        <v>1639</v>
      </c>
      <c r="BH245" t="s">
        <v>1640</v>
      </c>
      <c r="BJ245" s="3" t="str">
        <f>HYPERLINK("https://www.tiktok.com/@sonnictech/video/7458742693624139014","https://www.tiktok.com/@sonnictech/video/7458742693624139014")</f>
        <v>https://www.tiktok.com/@sonnictech/video/7458742693624139014</v>
      </c>
    </row>
    <row r="246" ht="25.5" customHeight="1" spans="1:62">
      <c r="A246" t="s">
        <v>2997</v>
      </c>
      <c r="B246" t="s">
        <v>1625</v>
      </c>
      <c r="C246" t="s">
        <v>2998</v>
      </c>
      <c r="D246" t="s">
        <v>1627</v>
      </c>
      <c r="F246" s="2">
        <v>45664</v>
      </c>
      <c r="H246" t="s">
        <v>1861</v>
      </c>
      <c r="J246" t="s">
        <v>1644</v>
      </c>
      <c r="K246" s="3" t="str">
        <f>HYPERLINK("https://vm.tiktok.com/ZGdBpmC8Y/","https://vm.tiktok.com/ZGdBpmC8Y/")</f>
        <v>https://vm.tiktok.com/ZGdBpmC8Y/</v>
      </c>
      <c r="L246" t="s">
        <v>1630</v>
      </c>
      <c r="N246" s="3" t="str">
        <f>HYPERLINK("https://app.hypeauditor.com/my-network/influencer/32886374/analytics/tiktok/cristianguzmaan","https://app.hypeauditor.com/my-network/influencer/32886374/analytics/tiktok/cristianguzmaan")</f>
        <v>https://app.hypeauditor.com/my-network/influencer/32886374/analytics/tiktok/cristianguzmaan</v>
      </c>
      <c r="O246" s="3" t="str">
        <f>HYPERLINK("https://www.tiktok.com/@cristianguzmaan","https://www.tiktok.com/@cristianguzmaan")</f>
        <v>https://www.tiktok.com/@cristianguzmaan</v>
      </c>
      <c r="P246" t="s">
        <v>56</v>
      </c>
      <c r="Q246" t="s">
        <v>57</v>
      </c>
      <c r="R246" t="s">
        <v>1652</v>
      </c>
      <c r="S246" t="s">
        <v>54</v>
      </c>
      <c r="T246">
        <v>17500</v>
      </c>
      <c r="U246" t="s">
        <v>55</v>
      </c>
      <c r="W246" t="s">
        <v>55</v>
      </c>
      <c r="Y246" t="s">
        <v>54</v>
      </c>
      <c r="AA246" t="s">
        <v>55</v>
      </c>
      <c r="AE246" t="s">
        <v>55</v>
      </c>
      <c r="AG246" t="s">
        <v>54</v>
      </c>
      <c r="AI246" t="s">
        <v>55</v>
      </c>
      <c r="AK246" t="s">
        <v>55</v>
      </c>
      <c r="AM246" t="s">
        <v>55</v>
      </c>
      <c r="AO246" t="s">
        <v>55</v>
      </c>
      <c r="AQ246" t="s">
        <v>54</v>
      </c>
      <c r="AR246">
        <v>5000</v>
      </c>
      <c r="AS246">
        <v>0.0548</v>
      </c>
      <c r="AT246" t="s">
        <v>2999</v>
      </c>
      <c r="AU246">
        <v>30</v>
      </c>
      <c r="AW246" t="s">
        <v>3000</v>
      </c>
      <c r="AX246" t="s">
        <v>1410</v>
      </c>
      <c r="AY246" t="s">
        <v>1411</v>
      </c>
      <c r="AZ246" t="s">
        <v>3001</v>
      </c>
      <c r="BA246" t="s">
        <v>3002</v>
      </c>
      <c r="BD246" t="s">
        <v>1638</v>
      </c>
      <c r="BE246" t="s">
        <v>3001</v>
      </c>
      <c r="BG246" t="s">
        <v>1639</v>
      </c>
      <c r="BH246" t="s">
        <v>1640</v>
      </c>
      <c r="BJ246" s="3" t="str">
        <f>HYPERLINK("https://vm.tiktok.com/ZGdBpmC8Y/","https://vm.tiktok.com/ZGdBpmC8Y/")</f>
        <v>https://vm.tiktok.com/ZGdBpmC8Y/</v>
      </c>
    </row>
    <row r="247" ht="25.5" customHeight="1" spans="1:62">
      <c r="A247" t="s">
        <v>3003</v>
      </c>
      <c r="B247" t="s">
        <v>1625</v>
      </c>
      <c r="C247" t="s">
        <v>3004</v>
      </c>
      <c r="F247" s="2"/>
      <c r="H247" t="s">
        <v>1770</v>
      </c>
      <c r="J247" t="s">
        <v>1644</v>
      </c>
      <c r="K247" s="3"/>
      <c r="L247" t="s">
        <v>1645</v>
      </c>
      <c r="N247" s="3" t="str">
        <f>HYPERLINK("https://app.hypeauditor.com/my-network/influencer/32887090/analytics/tiktok/eldriip","https://app.hypeauditor.com/my-network/influencer/32887090/analytics/tiktok/eldriip")</f>
        <v>https://app.hypeauditor.com/my-network/influencer/32887090/analytics/tiktok/eldriip</v>
      </c>
      <c r="O247" s="3"/>
      <c r="P247" t="s">
        <v>56</v>
      </c>
      <c r="Q247" t="s">
        <v>57</v>
      </c>
      <c r="S247" t="s">
        <v>54</v>
      </c>
      <c r="W247" t="s">
        <v>55</v>
      </c>
      <c r="Y247" t="s">
        <v>54</v>
      </c>
      <c r="AA247" t="s">
        <v>55</v>
      </c>
      <c r="AE247" t="s">
        <v>55</v>
      </c>
      <c r="AG247" t="s">
        <v>54</v>
      </c>
      <c r="AI247" t="s">
        <v>55</v>
      </c>
      <c r="AK247" t="s">
        <v>55</v>
      </c>
      <c r="AM247" t="s">
        <v>55</v>
      </c>
      <c r="AO247" t="s">
        <v>55</v>
      </c>
      <c r="AQ247" t="s">
        <v>54</v>
      </c>
      <c r="AT247" t="s">
        <v>54</v>
      </c>
      <c r="AU247">
        <v>30</v>
      </c>
      <c r="AW247" t="s">
        <v>54</v>
      </c>
      <c r="BD247" t="s">
        <v>1625</v>
      </c>
      <c r="BG247" t="s">
        <v>1639</v>
      </c>
      <c r="BH247" t="s">
        <v>1640</v>
      </c>
      <c r="BJ247" s="3"/>
    </row>
    <row r="248" ht="25.5" customHeight="1" spans="1:62">
      <c r="A248" t="s">
        <v>3005</v>
      </c>
      <c r="B248" t="s">
        <v>1625</v>
      </c>
      <c r="C248" t="s">
        <v>3006</v>
      </c>
      <c r="F248" s="2"/>
      <c r="H248" t="s">
        <v>2106</v>
      </c>
      <c r="I248" t="s">
        <v>3007</v>
      </c>
      <c r="J248" t="s">
        <v>1629</v>
      </c>
      <c r="K248" s="3"/>
      <c r="L248" t="s">
        <v>1645</v>
      </c>
      <c r="N248" s="3" t="str">
        <f>HYPERLINK("https://app.hypeauditor.com/my-network/influencer/12248493/analytics/tiktok/tecnologiasbg","https://app.hypeauditor.com/my-network/influencer/12248493/analytics/tiktok/tecnologiasbg")</f>
        <v>https://app.hypeauditor.com/my-network/influencer/12248493/analytics/tiktok/tecnologiasbg</v>
      </c>
      <c r="O248" s="3"/>
      <c r="P248" t="s">
        <v>56</v>
      </c>
      <c r="Q248" t="s">
        <v>57</v>
      </c>
      <c r="S248" t="s">
        <v>54</v>
      </c>
      <c r="W248" t="s">
        <v>55</v>
      </c>
      <c r="Y248" t="s">
        <v>54</v>
      </c>
      <c r="AA248" t="s">
        <v>55</v>
      </c>
      <c r="AE248" t="s">
        <v>55</v>
      </c>
      <c r="AG248" t="s">
        <v>54</v>
      </c>
      <c r="AI248" t="s">
        <v>55</v>
      </c>
      <c r="AK248" t="s">
        <v>55</v>
      </c>
      <c r="AM248" t="s">
        <v>55</v>
      </c>
      <c r="AO248" t="s">
        <v>55</v>
      </c>
      <c r="AQ248" t="s">
        <v>54</v>
      </c>
      <c r="AT248" t="s">
        <v>54</v>
      </c>
      <c r="AU248">
        <v>30</v>
      </c>
      <c r="AW248" t="s">
        <v>54</v>
      </c>
      <c r="BD248" t="s">
        <v>1638</v>
      </c>
      <c r="BG248" t="s">
        <v>1639</v>
      </c>
      <c r="BH248" t="s">
        <v>1640</v>
      </c>
      <c r="BJ248" s="3"/>
    </row>
    <row r="249" ht="25.5" customHeight="1" spans="1:62">
      <c r="A249" t="s">
        <v>3008</v>
      </c>
      <c r="B249" t="s">
        <v>1625</v>
      </c>
      <c r="C249" t="s">
        <v>3009</v>
      </c>
      <c r="F249" s="2">
        <v>45690</v>
      </c>
      <c r="H249" t="s">
        <v>2281</v>
      </c>
      <c r="I249" t="s">
        <v>3010</v>
      </c>
      <c r="J249" t="s">
        <v>1629</v>
      </c>
      <c r="K249" s="3" t="str">
        <f>HYPERLINK("https://vm.tiktok.com/ZMkgtoskF/","https://vm.tiktok.com/ZMkgtoskF/")</f>
        <v>https://vm.tiktok.com/ZMkgtoskF/</v>
      </c>
      <c r="L249" t="s">
        <v>1630</v>
      </c>
      <c r="N249" s="3" t="str">
        <f>HYPERLINK("https://app.hypeauditor.com/my-network/influencer/12252719/analytics/tiktok/studygram_dig","https://app.hypeauditor.com/my-network/influencer/12252719/analytics/tiktok/studygram_dig")</f>
        <v>https://app.hypeauditor.com/my-network/influencer/12252719/analytics/tiktok/studygram_dig</v>
      </c>
      <c r="O249" s="3"/>
      <c r="P249" t="s">
        <v>56</v>
      </c>
      <c r="Q249" t="s">
        <v>57</v>
      </c>
      <c r="S249" t="s">
        <v>54</v>
      </c>
      <c r="T249">
        <v>267000</v>
      </c>
      <c r="U249" t="s">
        <v>428</v>
      </c>
      <c r="W249" t="s">
        <v>55</v>
      </c>
      <c r="Y249" t="s">
        <v>54</v>
      </c>
      <c r="AA249" t="s">
        <v>55</v>
      </c>
      <c r="AE249" t="s">
        <v>55</v>
      </c>
      <c r="AG249" t="s">
        <v>54</v>
      </c>
      <c r="AI249" t="s">
        <v>55</v>
      </c>
      <c r="AK249" t="s">
        <v>55</v>
      </c>
      <c r="AM249" t="s">
        <v>55</v>
      </c>
      <c r="AO249" t="s">
        <v>55</v>
      </c>
      <c r="AQ249" t="s">
        <v>54</v>
      </c>
      <c r="AR249">
        <v>20000</v>
      </c>
      <c r="AS249">
        <v>0.015</v>
      </c>
      <c r="AT249" t="s">
        <v>2934</v>
      </c>
      <c r="AU249">
        <v>30</v>
      </c>
      <c r="AW249" t="s">
        <v>2935</v>
      </c>
      <c r="AX249" t="s">
        <v>3011</v>
      </c>
      <c r="AY249" t="s">
        <v>3012</v>
      </c>
      <c r="AZ249" t="s">
        <v>2076</v>
      </c>
      <c r="BA249" t="s">
        <v>2077</v>
      </c>
      <c r="BD249" t="s">
        <v>1638</v>
      </c>
      <c r="BE249" t="s">
        <v>2076</v>
      </c>
      <c r="BG249" t="s">
        <v>1639</v>
      </c>
      <c r="BH249" t="s">
        <v>1640</v>
      </c>
      <c r="BJ249" s="3" t="str">
        <f>HYPERLINK("https://vm.tiktok.com/ZMkgtoskF/","https://vm.tiktok.com/ZMkgtoskF/")</f>
        <v>https://vm.tiktok.com/ZMkgtoskF/</v>
      </c>
    </row>
    <row r="250" ht="25.5" customHeight="1" spans="1:62">
      <c r="A250" t="s">
        <v>3013</v>
      </c>
      <c r="B250" t="s">
        <v>1625</v>
      </c>
      <c r="C250" t="s">
        <v>2893</v>
      </c>
      <c r="F250" s="2"/>
      <c r="H250" t="s">
        <v>1806</v>
      </c>
      <c r="I250" t="s">
        <v>3014</v>
      </c>
      <c r="J250" t="s">
        <v>1629</v>
      </c>
      <c r="K250" s="3" t="str">
        <f>HYPERLINK("https://www.tiktok.com/@alvarogllz/video/7468330927215643926","https://www.tiktok.com/@alvarogllz/video/7468330927215643926")</f>
        <v>https://www.tiktok.com/@alvarogllz/video/7468330927215643926</v>
      </c>
      <c r="L250" t="s">
        <v>1630</v>
      </c>
      <c r="N250" s="3" t="str">
        <f>HYPERLINK("https://app.hypeauditor.com/my-network/influencer/28042358/analytics/tiktok/alvarogllz","https://app.hypeauditor.com/my-network/influencer/28042358/analytics/tiktok/alvarogllz")</f>
        <v>https://app.hypeauditor.com/my-network/influencer/28042358/analytics/tiktok/alvarogllz</v>
      </c>
      <c r="O250" s="3" t="str">
        <f>HYPERLINK("https://www.tiktok.com/@alvarogllz","https://www.tiktok.com/@alvarogllz")</f>
        <v>https://www.tiktok.com/@alvarogllz</v>
      </c>
      <c r="P250" t="s">
        <v>56</v>
      </c>
      <c r="Q250" t="s">
        <v>57</v>
      </c>
      <c r="S250" t="s">
        <v>54</v>
      </c>
      <c r="T250">
        <v>53100</v>
      </c>
      <c r="U250" t="s">
        <v>55</v>
      </c>
      <c r="W250" t="s">
        <v>55</v>
      </c>
      <c r="Y250" t="s">
        <v>54</v>
      </c>
      <c r="AA250" t="s">
        <v>55</v>
      </c>
      <c r="AE250" t="s">
        <v>55</v>
      </c>
      <c r="AG250" t="s">
        <v>54</v>
      </c>
      <c r="AI250" t="s">
        <v>55</v>
      </c>
      <c r="AK250" t="s">
        <v>55</v>
      </c>
      <c r="AM250" t="s">
        <v>55</v>
      </c>
      <c r="AO250" t="s">
        <v>55</v>
      </c>
      <c r="AQ250" t="s">
        <v>54</v>
      </c>
      <c r="AR250">
        <v>6000</v>
      </c>
      <c r="AS250">
        <v>0.035</v>
      </c>
      <c r="AT250" t="s">
        <v>3015</v>
      </c>
      <c r="AU250">
        <v>30</v>
      </c>
      <c r="AW250" t="s">
        <v>3016</v>
      </c>
      <c r="AX250" t="s">
        <v>600</v>
      </c>
      <c r="AY250" t="s">
        <v>601</v>
      </c>
      <c r="AZ250" t="s">
        <v>2454</v>
      </c>
      <c r="BA250" t="s">
        <v>2455</v>
      </c>
      <c r="BD250" t="s">
        <v>1638</v>
      </c>
      <c r="BE250" t="s">
        <v>2454</v>
      </c>
      <c r="BG250" t="s">
        <v>1639</v>
      </c>
      <c r="BH250" t="s">
        <v>1640</v>
      </c>
      <c r="BJ250" s="3" t="str">
        <f>HYPERLINK("https://www.tiktok.com/@alvarogllz/video/7468330927215643926","https://www.tiktok.com/@alvarogllz/video/7468330927215643926")</f>
        <v>https://www.tiktok.com/@alvarogllz/video/7468330927215643926</v>
      </c>
    </row>
    <row r="251" ht="25.5" customHeight="1" spans="1:62">
      <c r="A251" t="s">
        <v>3017</v>
      </c>
      <c r="B251" t="s">
        <v>1625</v>
      </c>
      <c r="C251" t="s">
        <v>3018</v>
      </c>
      <c r="D251" t="s">
        <v>1627</v>
      </c>
      <c r="F251" s="2"/>
      <c r="H251" t="s">
        <v>1663</v>
      </c>
      <c r="I251" t="s">
        <v>3019</v>
      </c>
      <c r="J251" t="s">
        <v>1644</v>
      </c>
      <c r="K251" s="3" t="str">
        <f>HYPERLINK("https://www.tiktok.com/@dannstudyy/video/7457600554458418438","https://www.tiktok.com/@dannstudyy/video/7457600554458418438")</f>
        <v>https://www.tiktok.com/@dannstudyy/video/7457600554458418438</v>
      </c>
      <c r="L251" t="s">
        <v>1630</v>
      </c>
      <c r="N251" s="3" t="str">
        <f>HYPERLINK("https://app.hypeauditor.com/my-network/influencer/29027361/analytics/tiktok/dannstudyy","https://app.hypeauditor.com/my-network/influencer/29027361/analytics/tiktok/dannstudyy")</f>
        <v>https://app.hypeauditor.com/my-network/influencer/29027361/analytics/tiktok/dannstudyy</v>
      </c>
      <c r="O251" s="3" t="str">
        <f>HYPERLINK("https://www.tiktok.com/@dannstudyy","https://www.tiktok.com/@dannstudyy")</f>
        <v>https://www.tiktok.com/@dannstudyy</v>
      </c>
      <c r="P251" t="s">
        <v>56</v>
      </c>
      <c r="Q251" t="s">
        <v>57</v>
      </c>
      <c r="R251" t="s">
        <v>1753</v>
      </c>
      <c r="S251" t="s">
        <v>54</v>
      </c>
      <c r="T251">
        <v>37900</v>
      </c>
      <c r="U251" t="s">
        <v>55</v>
      </c>
      <c r="W251" t="s">
        <v>55</v>
      </c>
      <c r="Y251" t="s">
        <v>54</v>
      </c>
      <c r="AA251" t="s">
        <v>55</v>
      </c>
      <c r="AE251" t="s">
        <v>55</v>
      </c>
      <c r="AG251" t="s">
        <v>54</v>
      </c>
      <c r="AI251" t="s">
        <v>55</v>
      </c>
      <c r="AK251" t="s">
        <v>55</v>
      </c>
      <c r="AM251" t="s">
        <v>55</v>
      </c>
      <c r="AO251" t="s">
        <v>55</v>
      </c>
      <c r="AQ251" t="s">
        <v>54</v>
      </c>
      <c r="AR251">
        <v>5000</v>
      </c>
      <c r="AS251">
        <v>0.04</v>
      </c>
      <c r="AT251" t="s">
        <v>3020</v>
      </c>
      <c r="AU251">
        <v>30</v>
      </c>
      <c r="AW251" t="s">
        <v>3021</v>
      </c>
      <c r="AX251" t="s">
        <v>1410</v>
      </c>
      <c r="AY251" t="s">
        <v>1411</v>
      </c>
      <c r="AZ251" t="s">
        <v>2161</v>
      </c>
      <c r="BA251" t="s">
        <v>2273</v>
      </c>
      <c r="BD251" t="s">
        <v>1638</v>
      </c>
      <c r="BE251" t="s">
        <v>2161</v>
      </c>
      <c r="BG251" t="s">
        <v>1639</v>
      </c>
      <c r="BH251" t="s">
        <v>1640</v>
      </c>
      <c r="BJ251" s="3" t="str">
        <f>HYPERLINK("https://www.tiktok.com/@dannstudyy/video/7457600554458418438","https://www.tiktok.com/@dannstudyy/video/7457600554458418438")</f>
        <v>https://www.tiktok.com/@dannstudyy/video/7457600554458418438</v>
      </c>
    </row>
    <row r="252" ht="25.5" customHeight="1" spans="1:62">
      <c r="A252" t="s">
        <v>3022</v>
      </c>
      <c r="B252" t="s">
        <v>1625</v>
      </c>
      <c r="C252" t="s">
        <v>3023</v>
      </c>
      <c r="D252" t="s">
        <v>1769</v>
      </c>
      <c r="F252" s="2"/>
      <c r="H252" t="s">
        <v>1806</v>
      </c>
      <c r="I252" t="s">
        <v>3024</v>
      </c>
      <c r="J252" t="s">
        <v>1629</v>
      </c>
      <c r="K252" s="3" t="str">
        <f>HYPERLINK("https://www.tiktok.com/@mattsmedia_/video/7457917705211874593","https://www.tiktok.com/@mattsmedia_/video/7457917705211874593")</f>
        <v>https://www.tiktok.com/@mattsmedia_/video/7457917705211874593</v>
      </c>
      <c r="L252" t="s">
        <v>1630</v>
      </c>
      <c r="N252" s="3" t="str">
        <f>HYPERLINK("https://app.hypeauditor.com/my-network/influencer/32835427/analytics/tiktok/mattsmedia_","https://app.hypeauditor.com/my-network/influencer/32835427/analytics/tiktok/mattsmedia_")</f>
        <v>https://app.hypeauditor.com/my-network/influencer/32835427/analytics/tiktok/mattsmedia_</v>
      </c>
      <c r="O252" s="3"/>
      <c r="P252" t="s">
        <v>56</v>
      </c>
      <c r="Q252" t="s">
        <v>57</v>
      </c>
      <c r="R252" t="s">
        <v>1887</v>
      </c>
      <c r="S252" t="s">
        <v>54</v>
      </c>
      <c r="W252" t="s">
        <v>55</v>
      </c>
      <c r="Y252" t="s">
        <v>54</v>
      </c>
      <c r="AA252" t="s">
        <v>55</v>
      </c>
      <c r="AE252" t="s">
        <v>55</v>
      </c>
      <c r="AG252" t="s">
        <v>54</v>
      </c>
      <c r="AI252" t="s">
        <v>55</v>
      </c>
      <c r="AK252" t="s">
        <v>55</v>
      </c>
      <c r="AM252" t="s">
        <v>55</v>
      </c>
      <c r="AO252" t="s">
        <v>55</v>
      </c>
      <c r="AQ252" t="s">
        <v>54</v>
      </c>
      <c r="AT252" t="s">
        <v>54</v>
      </c>
      <c r="AU252">
        <v>30</v>
      </c>
      <c r="AW252" t="s">
        <v>54</v>
      </c>
      <c r="BD252" t="s">
        <v>1638</v>
      </c>
      <c r="BG252" t="s">
        <v>1639</v>
      </c>
      <c r="BH252" t="s">
        <v>1640</v>
      </c>
      <c r="BJ252" s="3" t="str">
        <f>HYPERLINK("https://www.tiktok.com/@mattsmedia_/video/7457917705211874593","https://www.tiktok.com/@mattsmedia_/video/7457917705211874593")</f>
        <v>https://www.tiktok.com/@mattsmedia_/video/7457917705211874593</v>
      </c>
    </row>
    <row r="253" ht="25.5" customHeight="1" spans="1:62">
      <c r="A253" t="s">
        <v>3025</v>
      </c>
      <c r="B253" t="s">
        <v>1625</v>
      </c>
      <c r="C253" t="s">
        <v>2377</v>
      </c>
      <c r="F253" s="2"/>
      <c r="H253" t="s">
        <v>1806</v>
      </c>
      <c r="I253" t="s">
        <v>3026</v>
      </c>
      <c r="J253" t="s">
        <v>1644</v>
      </c>
      <c r="K253" s="3"/>
      <c r="L253" t="s">
        <v>1645</v>
      </c>
      <c r="N253" s="3" t="str">
        <f>HYPERLINK("https://app.hypeauditor.com/my-network/influencer/964935/analytics/tiktok/eldobleuu_","https://app.hypeauditor.com/my-network/influencer/964935/analytics/tiktok/eldobleuu_")</f>
        <v>https://app.hypeauditor.com/my-network/influencer/964935/analytics/tiktok/eldobleuu_</v>
      </c>
      <c r="O253" s="3" t="str">
        <f>HYPERLINK("https://www.tiktok.com/@eldobleuu_","https://www.tiktok.com/@eldobleuu_")</f>
        <v>https://www.tiktok.com/@eldobleuu_</v>
      </c>
      <c r="P253" t="s">
        <v>56</v>
      </c>
      <c r="Q253" t="s">
        <v>57</v>
      </c>
      <c r="S253" t="s">
        <v>54</v>
      </c>
      <c r="W253" t="s">
        <v>55</v>
      </c>
      <c r="Y253" t="s">
        <v>54</v>
      </c>
      <c r="AA253" t="s">
        <v>55</v>
      </c>
      <c r="AE253" t="s">
        <v>55</v>
      </c>
      <c r="AG253" t="s">
        <v>54</v>
      </c>
      <c r="AI253" t="s">
        <v>55</v>
      </c>
      <c r="AK253" t="s">
        <v>55</v>
      </c>
      <c r="AM253" t="s">
        <v>55</v>
      </c>
      <c r="AO253" t="s">
        <v>55</v>
      </c>
      <c r="AQ253" t="s">
        <v>54</v>
      </c>
      <c r="AT253" t="s">
        <v>54</v>
      </c>
      <c r="AU253">
        <v>30</v>
      </c>
      <c r="AW253" t="s">
        <v>54</v>
      </c>
      <c r="BD253" t="s">
        <v>1830</v>
      </c>
      <c r="BG253" t="s">
        <v>1639</v>
      </c>
      <c r="BH253" t="s">
        <v>1640</v>
      </c>
      <c r="BJ253" s="3"/>
    </row>
    <row r="254" ht="25.5" customHeight="1" spans="1:62">
      <c r="A254" t="s">
        <v>3027</v>
      </c>
      <c r="B254" t="s">
        <v>1625</v>
      </c>
      <c r="C254" t="s">
        <v>1690</v>
      </c>
      <c r="D254" t="s">
        <v>1627</v>
      </c>
      <c r="F254" s="2">
        <v>45664</v>
      </c>
      <c r="H254" t="s">
        <v>1663</v>
      </c>
      <c r="I254" t="s">
        <v>3028</v>
      </c>
      <c r="J254" t="s">
        <v>1644</v>
      </c>
      <c r="K254" s="3" t="str">
        <f>HYPERLINK("https://www.tiktok.com/@tech4u_/video/7457260201675148576","https://www.tiktok.com/@tech4u_/video/7457260201675148576")</f>
        <v>https://www.tiktok.com/@tech4u_/video/7457260201675148576</v>
      </c>
      <c r="L254" t="s">
        <v>1630</v>
      </c>
      <c r="N254" s="3" t="str">
        <f>HYPERLINK("https://app.hypeauditor.com/my-network/influencer/32835450/analytics/tiktok/tech4u_","https://app.hypeauditor.com/my-network/influencer/32835450/analytics/tiktok/tech4u_")</f>
        <v>https://app.hypeauditor.com/my-network/influencer/32835450/analytics/tiktok/tech4u_</v>
      </c>
      <c r="O254" s="3" t="str">
        <f>HYPERLINK("https://www.tiktok.com/@tech4u_","https://www.tiktok.com/@tech4u_")</f>
        <v>https://www.tiktok.com/@tech4u_</v>
      </c>
      <c r="P254" t="s">
        <v>56</v>
      </c>
      <c r="Q254" t="s">
        <v>57</v>
      </c>
      <c r="R254" t="s">
        <v>1887</v>
      </c>
      <c r="S254" t="s">
        <v>54</v>
      </c>
      <c r="T254">
        <v>6873</v>
      </c>
      <c r="U254" t="s">
        <v>55</v>
      </c>
      <c r="W254" t="s">
        <v>55</v>
      </c>
      <c r="Y254" t="s">
        <v>54</v>
      </c>
      <c r="AA254" t="s">
        <v>55</v>
      </c>
      <c r="AE254" t="s">
        <v>55</v>
      </c>
      <c r="AG254" t="s">
        <v>54</v>
      </c>
      <c r="AI254" t="s">
        <v>55</v>
      </c>
      <c r="AK254" t="s">
        <v>55</v>
      </c>
      <c r="AM254" t="s">
        <v>55</v>
      </c>
      <c r="AO254" t="s">
        <v>55</v>
      </c>
      <c r="AQ254" t="s">
        <v>54</v>
      </c>
      <c r="AR254">
        <v>3000</v>
      </c>
      <c r="AS254">
        <v>0.0902</v>
      </c>
      <c r="AT254" t="s">
        <v>3029</v>
      </c>
      <c r="AU254">
        <v>30</v>
      </c>
      <c r="AW254" t="s">
        <v>3030</v>
      </c>
      <c r="AX254" t="s">
        <v>139</v>
      </c>
      <c r="AY254" t="s">
        <v>140</v>
      </c>
      <c r="AZ254" t="s">
        <v>1254</v>
      </c>
      <c r="BA254" t="s">
        <v>3031</v>
      </c>
      <c r="BD254" t="s">
        <v>1638</v>
      </c>
      <c r="BE254" t="s">
        <v>1254</v>
      </c>
      <c r="BG254" t="s">
        <v>1639</v>
      </c>
      <c r="BH254" t="s">
        <v>1640</v>
      </c>
      <c r="BJ254" s="3" t="str">
        <f>HYPERLINK("https://www.tiktok.com/@tech4u_/video/7457260201675148576","https://www.tiktok.com/@tech4u_/video/7457260201675148576")</f>
        <v>https://www.tiktok.com/@tech4u_/video/7457260201675148576</v>
      </c>
    </row>
    <row r="255" ht="25.5" customHeight="1" spans="1:62">
      <c r="A255" t="s">
        <v>3032</v>
      </c>
      <c r="B255" t="s">
        <v>1625</v>
      </c>
      <c r="C255" t="s">
        <v>3033</v>
      </c>
      <c r="D255" t="s">
        <v>1627</v>
      </c>
      <c r="F255" s="2"/>
      <c r="I255" t="s">
        <v>3034</v>
      </c>
      <c r="J255" t="s">
        <v>1725</v>
      </c>
      <c r="K255" s="3"/>
      <c r="L255" t="s">
        <v>1630</v>
      </c>
      <c r="N255" s="3"/>
      <c r="O255" s="3" t="str">
        <f>HYPERLINK("https://www.tiktok.com/@brodz.tech6","https://www.tiktok.com/@brodz.tech6")</f>
        <v>https://www.tiktok.com/@brodz.tech6</v>
      </c>
      <c r="P255" t="s">
        <v>56</v>
      </c>
      <c r="Q255" t="s">
        <v>57</v>
      </c>
      <c r="R255" t="s">
        <v>1913</v>
      </c>
      <c r="S255" t="s">
        <v>54</v>
      </c>
      <c r="T255">
        <v>1243</v>
      </c>
      <c r="U255" t="s">
        <v>55</v>
      </c>
      <c r="W255" t="s">
        <v>55</v>
      </c>
      <c r="Y255" t="s">
        <v>54</v>
      </c>
      <c r="AA255" t="s">
        <v>55</v>
      </c>
      <c r="AE255" t="s">
        <v>55</v>
      </c>
      <c r="AG255" t="s">
        <v>54</v>
      </c>
      <c r="AI255" t="s">
        <v>55</v>
      </c>
      <c r="AK255" t="s">
        <v>55</v>
      </c>
      <c r="AM255" t="s">
        <v>55</v>
      </c>
      <c r="AO255" t="s">
        <v>55</v>
      </c>
      <c r="AQ255" t="s">
        <v>54</v>
      </c>
      <c r="AR255">
        <v>5000</v>
      </c>
      <c r="AS255">
        <v>0.05</v>
      </c>
      <c r="AT255" t="s">
        <v>3035</v>
      </c>
      <c r="AU255">
        <v>30</v>
      </c>
      <c r="AW255" t="s">
        <v>3036</v>
      </c>
      <c r="AX255" t="s">
        <v>1410</v>
      </c>
      <c r="AY255" t="s">
        <v>1411</v>
      </c>
      <c r="AZ255" t="s">
        <v>1982</v>
      </c>
      <c r="BA255" t="s">
        <v>1983</v>
      </c>
      <c r="BD255" t="s">
        <v>1830</v>
      </c>
      <c r="BE255" t="s">
        <v>1982</v>
      </c>
      <c r="BG255" t="s">
        <v>1639</v>
      </c>
      <c r="BH255" t="s">
        <v>1640</v>
      </c>
      <c r="BJ255" s="3"/>
    </row>
    <row r="256" ht="25.5" customHeight="1" spans="1:62">
      <c r="A256" t="s">
        <v>3037</v>
      </c>
      <c r="B256" t="s">
        <v>1625</v>
      </c>
      <c r="C256" t="s">
        <v>3038</v>
      </c>
      <c r="F256" s="2"/>
      <c r="H256" t="s">
        <v>1663</v>
      </c>
      <c r="I256" t="s">
        <v>3039</v>
      </c>
      <c r="J256" t="s">
        <v>1629</v>
      </c>
      <c r="K256" s="3"/>
      <c r="L256" t="s">
        <v>1645</v>
      </c>
      <c r="N256" s="3" t="str">
        <f>HYPERLINK("https://app.hypeauditor.com/my-network/influencer/2669212/analytics/tiktok/jeylinioficial","https://app.hypeauditor.com/my-network/influencer/2669212/analytics/tiktok/jeylinioficial")</f>
        <v>https://app.hypeauditor.com/my-network/influencer/2669212/analytics/tiktok/jeylinioficial</v>
      </c>
      <c r="O256" s="3"/>
      <c r="P256" t="s">
        <v>56</v>
      </c>
      <c r="Q256" t="s">
        <v>57</v>
      </c>
      <c r="S256" t="s">
        <v>54</v>
      </c>
      <c r="W256" t="s">
        <v>55</v>
      </c>
      <c r="Y256" t="s">
        <v>54</v>
      </c>
      <c r="AA256" t="s">
        <v>55</v>
      </c>
      <c r="AE256" t="s">
        <v>55</v>
      </c>
      <c r="AG256" t="s">
        <v>54</v>
      </c>
      <c r="AI256" t="s">
        <v>55</v>
      </c>
      <c r="AK256" t="s">
        <v>55</v>
      </c>
      <c r="AM256" t="s">
        <v>55</v>
      </c>
      <c r="AO256" t="s">
        <v>55</v>
      </c>
      <c r="AQ256" t="s">
        <v>54</v>
      </c>
      <c r="AT256" t="s">
        <v>54</v>
      </c>
      <c r="AU256">
        <v>25</v>
      </c>
      <c r="AW256" t="s">
        <v>54</v>
      </c>
      <c r="BD256" t="s">
        <v>1625</v>
      </c>
      <c r="BG256" t="s">
        <v>1639</v>
      </c>
      <c r="BH256" t="s">
        <v>1640</v>
      </c>
      <c r="BJ256" s="3"/>
    </row>
    <row r="257" ht="25.5" customHeight="1" spans="1:62">
      <c r="A257" t="s">
        <v>3040</v>
      </c>
      <c r="B257" t="s">
        <v>1625</v>
      </c>
      <c r="C257" t="s">
        <v>3041</v>
      </c>
      <c r="D257" t="s">
        <v>1627</v>
      </c>
      <c r="F257" s="2">
        <v>45664</v>
      </c>
      <c r="J257" t="s">
        <v>1644</v>
      </c>
      <c r="K257" s="3" t="str">
        <f>HYPERLINK("https://www.tiktok.com/@cozywith_m/video/7457116206827621640","https://www.tiktok.com/@cozywith_m/video/7457116206827621640")</f>
        <v>https://www.tiktok.com/@cozywith_m/video/7457116206827621640</v>
      </c>
      <c r="L257" t="s">
        <v>1630</v>
      </c>
      <c r="N257" s="3" t="str">
        <f>HYPERLINK("https://app.hypeauditor.com/my-network/influencer/32696192/analytics/instagram/cozywith_m","https://app.hypeauditor.com/my-network/influencer/32696192/analytics/instagram/cozywith_m")</f>
        <v>https://app.hypeauditor.com/my-network/influencer/32696192/analytics/instagram/cozywith_m</v>
      </c>
      <c r="O257" s="3" t="str">
        <f>HYPERLINK("https://www.instagram.com/cozywith_m/","https://www.instagram.com/cozywith_m/")</f>
        <v>https://www.instagram.com/cozywith_m/</v>
      </c>
      <c r="P257" t="s">
        <v>56</v>
      </c>
      <c r="Q257" t="s">
        <v>57</v>
      </c>
      <c r="R257" t="s">
        <v>97</v>
      </c>
      <c r="S257" t="s">
        <v>54</v>
      </c>
      <c r="T257">
        <v>1932</v>
      </c>
      <c r="U257" t="s">
        <v>55</v>
      </c>
      <c r="W257" t="s">
        <v>55</v>
      </c>
      <c r="Y257" t="s">
        <v>54</v>
      </c>
      <c r="AA257" t="s">
        <v>55</v>
      </c>
      <c r="AE257" t="s">
        <v>55</v>
      </c>
      <c r="AG257" t="s">
        <v>54</v>
      </c>
      <c r="AI257" t="s">
        <v>55</v>
      </c>
      <c r="AK257" t="s">
        <v>55</v>
      </c>
      <c r="AM257" t="s">
        <v>55</v>
      </c>
      <c r="AO257" t="s">
        <v>55</v>
      </c>
      <c r="AQ257" t="s">
        <v>54</v>
      </c>
      <c r="AR257">
        <v>8000</v>
      </c>
      <c r="AS257">
        <v>0.07</v>
      </c>
      <c r="AT257" t="s">
        <v>3042</v>
      </c>
      <c r="AU257">
        <v>25</v>
      </c>
      <c r="AW257" t="s">
        <v>3043</v>
      </c>
      <c r="AX257" t="s">
        <v>178</v>
      </c>
      <c r="AY257" t="s">
        <v>179</v>
      </c>
      <c r="AZ257" t="s">
        <v>308</v>
      </c>
      <c r="BA257" t="s">
        <v>3044</v>
      </c>
      <c r="BD257" t="s">
        <v>1638</v>
      </c>
      <c r="BE257" t="s">
        <v>308</v>
      </c>
      <c r="BG257" t="s">
        <v>1639</v>
      </c>
      <c r="BH257" t="s">
        <v>1640</v>
      </c>
      <c r="BJ257" s="3" t="str">
        <f>HYPERLINK("https://www.tiktok.com/@cozywith_m/video/7457116206827621640","https://www.tiktok.com/@cozywith_m/video/7457116206827621640")</f>
        <v>https://www.tiktok.com/@cozywith_m/video/7457116206827621640</v>
      </c>
    </row>
    <row r="258" ht="25.5" customHeight="1" spans="1:62">
      <c r="A258" t="s">
        <v>3045</v>
      </c>
      <c r="B258" t="s">
        <v>1625</v>
      </c>
      <c r="C258" t="s">
        <v>2985</v>
      </c>
      <c r="F258" s="2"/>
      <c r="I258" t="s">
        <v>3046</v>
      </c>
      <c r="J258" t="s">
        <v>1644</v>
      </c>
      <c r="K258" s="3"/>
      <c r="L258" t="s">
        <v>1645</v>
      </c>
      <c r="N258" s="3" t="str">
        <f>HYPERLINK("https://app.hypeauditor.com/my-network/influencer/32886347/analytics/tiktok/victordlx","https://app.hypeauditor.com/my-network/influencer/32886347/analytics/tiktok/victordlx")</f>
        <v>https://app.hypeauditor.com/my-network/influencer/32886347/analytics/tiktok/victordlx</v>
      </c>
      <c r="O258" s="3"/>
      <c r="P258" t="s">
        <v>56</v>
      </c>
      <c r="Q258" t="s">
        <v>57</v>
      </c>
      <c r="S258" t="s">
        <v>54</v>
      </c>
      <c r="W258" t="s">
        <v>55</v>
      </c>
      <c r="Y258" t="s">
        <v>54</v>
      </c>
      <c r="AA258" t="s">
        <v>55</v>
      </c>
      <c r="AE258" t="s">
        <v>55</v>
      </c>
      <c r="AG258" t="s">
        <v>54</v>
      </c>
      <c r="AI258" t="s">
        <v>55</v>
      </c>
      <c r="AK258" t="s">
        <v>55</v>
      </c>
      <c r="AM258" t="s">
        <v>55</v>
      </c>
      <c r="AO258" t="s">
        <v>55</v>
      </c>
      <c r="AQ258" t="s">
        <v>54</v>
      </c>
      <c r="AT258" t="s">
        <v>54</v>
      </c>
      <c r="AU258">
        <v>25</v>
      </c>
      <c r="AW258" t="s">
        <v>54</v>
      </c>
      <c r="BD258" t="s">
        <v>1625</v>
      </c>
      <c r="BG258" t="s">
        <v>1639</v>
      </c>
      <c r="BH258" t="s">
        <v>1640</v>
      </c>
      <c r="BJ258" s="3"/>
    </row>
    <row r="259" ht="25.5" customHeight="1" spans="1:62">
      <c r="A259" t="s">
        <v>3047</v>
      </c>
      <c r="B259" t="s">
        <v>1625</v>
      </c>
      <c r="F259" s="2"/>
      <c r="J259" t="s">
        <v>1644</v>
      </c>
      <c r="K259" s="3" t="str">
        <f>HYPERLINK("https://www.instagram.com/reel/DEhdkXByZK5/","https://www.instagram.com/reel/DEhdkXByZK5/")</f>
        <v>https://www.instagram.com/reel/DEhdkXByZK5/</v>
      </c>
      <c r="L259" t="s">
        <v>1630</v>
      </c>
      <c r="N259" s="3"/>
      <c r="O259" s="3"/>
      <c r="P259" t="s">
        <v>65</v>
      </c>
      <c r="Q259" t="s">
        <v>116</v>
      </c>
      <c r="R259" t="s">
        <v>97</v>
      </c>
      <c r="S259" t="s">
        <v>54</v>
      </c>
      <c r="W259" t="s">
        <v>55</v>
      </c>
      <c r="Y259" t="s">
        <v>54</v>
      </c>
      <c r="AA259" t="s">
        <v>55</v>
      </c>
      <c r="AE259" t="s">
        <v>55</v>
      </c>
      <c r="AG259" t="s">
        <v>54</v>
      </c>
      <c r="AI259" t="s">
        <v>55</v>
      </c>
      <c r="AK259" t="s">
        <v>55</v>
      </c>
      <c r="AM259" t="s">
        <v>55</v>
      </c>
      <c r="AO259" t="s">
        <v>55</v>
      </c>
      <c r="AQ259" t="s">
        <v>54</v>
      </c>
      <c r="AT259" t="s">
        <v>54</v>
      </c>
      <c r="AU259">
        <v>25</v>
      </c>
      <c r="AW259" t="s">
        <v>54</v>
      </c>
      <c r="BD259" t="s">
        <v>1638</v>
      </c>
      <c r="BG259" t="s">
        <v>1639</v>
      </c>
      <c r="BH259" t="s">
        <v>1640</v>
      </c>
      <c r="BI259" t="s">
        <v>3040</v>
      </c>
      <c r="BJ259" s="3" t="str">
        <f>HYPERLINK("https://www.instagram.com/reel/DEhdkXByZK5/","https://www.instagram.com/reel/DEhdkXByZK5/")</f>
        <v>https://www.instagram.com/reel/DEhdkXByZK5/</v>
      </c>
    </row>
    <row r="260" ht="25.5" customHeight="1" spans="1:62">
      <c r="A260" t="s">
        <v>3048</v>
      </c>
      <c r="B260" t="s">
        <v>1625</v>
      </c>
      <c r="F260" s="2"/>
      <c r="J260" t="s">
        <v>1644</v>
      </c>
      <c r="K260" s="3" t="str">
        <f>HYPERLINK("https://www.instagram.com/p/DEpQSVNSBUw/?igsh=ZG95cDN3ejJlM2c2","https://www.instagram.com/p/DEpQSVNSBUw/?igsh=ZG95cDN3ejJlM2c2")</f>
        <v>https://www.instagram.com/p/DEpQSVNSBUw/?igsh=ZG95cDN3ejJlM2c2</v>
      </c>
      <c r="L260" t="s">
        <v>1630</v>
      </c>
      <c r="N260" s="3"/>
      <c r="O260" s="3"/>
      <c r="P260" t="s">
        <v>65</v>
      </c>
      <c r="Q260" t="s">
        <v>66</v>
      </c>
      <c r="R260" t="s">
        <v>97</v>
      </c>
      <c r="S260" t="s">
        <v>54</v>
      </c>
      <c r="W260" t="s">
        <v>55</v>
      </c>
      <c r="Y260" t="s">
        <v>54</v>
      </c>
      <c r="AA260" t="s">
        <v>55</v>
      </c>
      <c r="AE260" t="s">
        <v>55</v>
      </c>
      <c r="AG260" t="s">
        <v>54</v>
      </c>
      <c r="AI260" t="s">
        <v>55</v>
      </c>
      <c r="AK260" t="s">
        <v>55</v>
      </c>
      <c r="AM260" t="s">
        <v>55</v>
      </c>
      <c r="AO260" t="s">
        <v>55</v>
      </c>
      <c r="AQ260" t="s">
        <v>54</v>
      </c>
      <c r="AT260" t="s">
        <v>54</v>
      </c>
      <c r="AU260">
        <v>25</v>
      </c>
      <c r="AW260" t="s">
        <v>54</v>
      </c>
      <c r="BD260" t="s">
        <v>1638</v>
      </c>
      <c r="BG260" t="s">
        <v>1639</v>
      </c>
      <c r="BH260" t="s">
        <v>1640</v>
      </c>
      <c r="BI260" t="s">
        <v>3040</v>
      </c>
      <c r="BJ260" s="3" t="str">
        <f>HYPERLINK("https://www.instagram.com/p/DEpQSVNSBUw/?igsh=ZG95cDN3ejJlM2c2","https://www.instagram.com/p/DEpQSVNSBUw/?igsh=ZG95cDN3ejJlM2c2")</f>
        <v>https://www.instagram.com/p/DEpQSVNSBUw/?igsh=ZG95cDN3ejJlM2c2</v>
      </c>
    </row>
    <row r="261" ht="25.5" customHeight="1" spans="1:62">
      <c r="A261" t="s">
        <v>3049</v>
      </c>
      <c r="B261" t="s">
        <v>1625</v>
      </c>
      <c r="F261" s="2"/>
      <c r="J261" t="s">
        <v>1644</v>
      </c>
      <c r="K261" s="3" t="str">
        <f>HYPERLINK("https://vt.tiktok.com/ZS6u4Txke/","https://vt.tiktok.com/ZS6u4Txke/")</f>
        <v>https://vt.tiktok.com/ZS6u4Txke/</v>
      </c>
      <c r="L261" t="s">
        <v>1630</v>
      </c>
      <c r="N261" s="3"/>
      <c r="O261" s="3"/>
      <c r="P261" t="s">
        <v>56</v>
      </c>
      <c r="Q261" t="s">
        <v>3050</v>
      </c>
      <c r="R261" t="s">
        <v>97</v>
      </c>
      <c r="S261" t="s">
        <v>54</v>
      </c>
      <c r="W261" t="s">
        <v>55</v>
      </c>
      <c r="Y261" t="s">
        <v>54</v>
      </c>
      <c r="AA261" t="s">
        <v>55</v>
      </c>
      <c r="AE261" t="s">
        <v>55</v>
      </c>
      <c r="AG261" t="s">
        <v>54</v>
      </c>
      <c r="AI261" t="s">
        <v>55</v>
      </c>
      <c r="AK261" t="s">
        <v>55</v>
      </c>
      <c r="AM261" t="s">
        <v>55</v>
      </c>
      <c r="AO261" t="s">
        <v>55</v>
      </c>
      <c r="AQ261" t="s">
        <v>54</v>
      </c>
      <c r="AT261" t="s">
        <v>54</v>
      </c>
      <c r="AU261">
        <v>25</v>
      </c>
      <c r="AW261" t="s">
        <v>54</v>
      </c>
      <c r="BD261" t="s">
        <v>1638</v>
      </c>
      <c r="BG261" t="s">
        <v>1639</v>
      </c>
      <c r="BH261" t="s">
        <v>1640</v>
      </c>
      <c r="BI261" t="s">
        <v>3040</v>
      </c>
      <c r="BJ261" s="3" t="str">
        <f>HYPERLINK("https://vt.tiktok.com/ZS6u4Txke/","https://vt.tiktok.com/ZS6u4Txke/")</f>
        <v>https://vt.tiktok.com/ZS6u4Txke/</v>
      </c>
    </row>
    <row r="262" ht="25.5" customHeight="1" spans="1:62">
      <c r="A262" t="s">
        <v>3051</v>
      </c>
      <c r="B262" t="s">
        <v>1625</v>
      </c>
      <c r="C262" t="s">
        <v>3052</v>
      </c>
      <c r="F262" s="2"/>
      <c r="H262" t="s">
        <v>1663</v>
      </c>
      <c r="J262" t="s">
        <v>1644</v>
      </c>
      <c r="K262" s="3"/>
      <c r="L262" t="s">
        <v>1645</v>
      </c>
      <c r="N262" s="3" t="str">
        <f>HYPERLINK("https://app.hypeauditor.com/my-network/influencer/749326/analytics/youtube/UChdUc4VYNENgaH83bulaJ8g","https://app.hypeauditor.com/my-network/influencer/749326/analytics/youtube/UChdUc4VYNENgaH83bulaJ8g")</f>
        <v>https://app.hypeauditor.com/my-network/influencer/749326/analytics/youtube/UChdUc4VYNENgaH83bulaJ8g</v>
      </c>
      <c r="O262" s="3"/>
      <c r="P262" t="s">
        <v>56</v>
      </c>
      <c r="Q262" t="s">
        <v>57</v>
      </c>
      <c r="S262" t="s">
        <v>54</v>
      </c>
      <c r="W262" t="s">
        <v>55</v>
      </c>
      <c r="Y262" t="s">
        <v>54</v>
      </c>
      <c r="AA262" t="s">
        <v>55</v>
      </c>
      <c r="AE262" t="s">
        <v>55</v>
      </c>
      <c r="AG262" t="s">
        <v>54</v>
      </c>
      <c r="AI262" t="s">
        <v>55</v>
      </c>
      <c r="AK262" t="s">
        <v>55</v>
      </c>
      <c r="AM262" t="s">
        <v>55</v>
      </c>
      <c r="AO262" t="s">
        <v>55</v>
      </c>
      <c r="AQ262" t="s">
        <v>54</v>
      </c>
      <c r="AT262" t="s">
        <v>54</v>
      </c>
      <c r="AU262">
        <v>20</v>
      </c>
      <c r="AW262" t="s">
        <v>54</v>
      </c>
      <c r="BD262" t="s">
        <v>1830</v>
      </c>
      <c r="BG262" t="s">
        <v>1639</v>
      </c>
      <c r="BH262" t="s">
        <v>1640</v>
      </c>
      <c r="BJ262" s="3"/>
    </row>
    <row r="263" ht="25.5" customHeight="1" spans="1:62">
      <c r="A263" t="s">
        <v>3053</v>
      </c>
      <c r="B263" t="s">
        <v>1638</v>
      </c>
      <c r="C263" t="s">
        <v>3054</v>
      </c>
      <c r="F263" s="2"/>
      <c r="H263" t="s">
        <v>1663</v>
      </c>
      <c r="I263" t="s">
        <v>3055</v>
      </c>
      <c r="J263" t="s">
        <v>1644</v>
      </c>
      <c r="K263" s="3"/>
      <c r="L263" t="s">
        <v>1645</v>
      </c>
      <c r="N263" s="3" t="str">
        <f>HYPERLINK("https://app.hypeauditor.com/my-network/influencer/32661479/analytics/tiktok/f4ncy_nails","https://app.hypeauditor.com/my-network/influencer/32661479/analytics/tiktok/f4ncy_nails")</f>
        <v>https://app.hypeauditor.com/my-network/influencer/32661479/analytics/tiktok/f4ncy_nails</v>
      </c>
      <c r="O263" s="3"/>
      <c r="P263" t="s">
        <v>56</v>
      </c>
      <c r="Q263" t="s">
        <v>57</v>
      </c>
      <c r="S263" t="s">
        <v>54</v>
      </c>
      <c r="W263" t="s">
        <v>55</v>
      </c>
      <c r="Y263" t="s">
        <v>54</v>
      </c>
      <c r="AA263" t="s">
        <v>55</v>
      </c>
      <c r="AE263" t="s">
        <v>55</v>
      </c>
      <c r="AG263" t="s">
        <v>54</v>
      </c>
      <c r="AI263" t="s">
        <v>55</v>
      </c>
      <c r="AK263" t="s">
        <v>55</v>
      </c>
      <c r="AM263" t="s">
        <v>55</v>
      </c>
      <c r="AO263" t="s">
        <v>55</v>
      </c>
      <c r="AQ263" t="s">
        <v>54</v>
      </c>
      <c r="AT263" t="s">
        <v>54</v>
      </c>
      <c r="AU263">
        <v>20</v>
      </c>
      <c r="AW263" t="s">
        <v>54</v>
      </c>
      <c r="BD263" t="s">
        <v>1830</v>
      </c>
      <c r="BG263" t="s">
        <v>1639</v>
      </c>
      <c r="BH263" t="s">
        <v>1640</v>
      </c>
      <c r="BJ263" s="3"/>
    </row>
    <row r="264" ht="25.5" customHeight="1" spans="1:62">
      <c r="A264" t="s">
        <v>3056</v>
      </c>
      <c r="B264" t="s">
        <v>1625</v>
      </c>
      <c r="C264" t="s">
        <v>3057</v>
      </c>
      <c r="F264" s="2"/>
      <c r="H264" t="s">
        <v>1713</v>
      </c>
      <c r="I264" t="s">
        <v>3058</v>
      </c>
      <c r="J264" t="s">
        <v>1644</v>
      </c>
      <c r="K264" s="3"/>
      <c r="L264" t="s">
        <v>1645</v>
      </c>
      <c r="N264" s="3" t="str">
        <f>HYPERLINK("https://app.hypeauditor.com/my-network/influencer/30175124/analytics/tiktok/technofacil","https://app.hypeauditor.com/my-network/influencer/30175124/analytics/tiktok/technofacil")</f>
        <v>https://app.hypeauditor.com/my-network/influencer/30175124/analytics/tiktok/technofacil</v>
      </c>
      <c r="O264" s="3"/>
      <c r="P264" t="s">
        <v>56</v>
      </c>
      <c r="Q264" t="s">
        <v>57</v>
      </c>
      <c r="S264" t="s">
        <v>54</v>
      </c>
      <c r="W264" t="s">
        <v>55</v>
      </c>
      <c r="Y264" t="s">
        <v>54</v>
      </c>
      <c r="AA264" t="s">
        <v>55</v>
      </c>
      <c r="AE264" t="s">
        <v>55</v>
      </c>
      <c r="AG264" t="s">
        <v>54</v>
      </c>
      <c r="AI264" t="s">
        <v>55</v>
      </c>
      <c r="AK264" t="s">
        <v>55</v>
      </c>
      <c r="AM264" t="s">
        <v>55</v>
      </c>
      <c r="AO264" t="s">
        <v>55</v>
      </c>
      <c r="AQ264" t="s">
        <v>54</v>
      </c>
      <c r="AT264" t="s">
        <v>54</v>
      </c>
      <c r="AU264">
        <v>20</v>
      </c>
      <c r="AW264" t="s">
        <v>54</v>
      </c>
      <c r="BD264" t="s">
        <v>1830</v>
      </c>
      <c r="BG264" t="s">
        <v>1639</v>
      </c>
      <c r="BH264" t="s">
        <v>1640</v>
      </c>
      <c r="BJ264" s="3"/>
    </row>
    <row r="265" ht="25.5" customHeight="1" spans="1:62">
      <c r="A265" t="s">
        <v>3059</v>
      </c>
      <c r="B265" t="s">
        <v>1625</v>
      </c>
      <c r="C265" t="s">
        <v>3054</v>
      </c>
      <c r="F265" s="2"/>
      <c r="H265" t="s">
        <v>2774</v>
      </c>
      <c r="I265" t="s">
        <v>3060</v>
      </c>
      <c r="J265" t="s">
        <v>1644</v>
      </c>
      <c r="K265" s="3"/>
      <c r="L265" t="s">
        <v>1645</v>
      </c>
      <c r="N265" s="3" t="str">
        <f>HYPERLINK("https://app.hypeauditor.com/my-network/influencer/23089981/analytics/tiktok/mausalcor","https://app.hypeauditor.com/my-network/influencer/23089981/analytics/tiktok/mausalcor")</f>
        <v>https://app.hypeauditor.com/my-network/influencer/23089981/analytics/tiktok/mausalcor</v>
      </c>
      <c r="O265" s="3"/>
      <c r="P265" t="s">
        <v>56</v>
      </c>
      <c r="Q265" t="s">
        <v>57</v>
      </c>
      <c r="S265" t="s">
        <v>54</v>
      </c>
      <c r="W265" t="s">
        <v>55</v>
      </c>
      <c r="Y265" t="s">
        <v>54</v>
      </c>
      <c r="AA265" t="s">
        <v>55</v>
      </c>
      <c r="AE265" t="s">
        <v>55</v>
      </c>
      <c r="AG265" t="s">
        <v>54</v>
      </c>
      <c r="AI265" t="s">
        <v>55</v>
      </c>
      <c r="AK265" t="s">
        <v>55</v>
      </c>
      <c r="AM265" t="s">
        <v>55</v>
      </c>
      <c r="AO265" t="s">
        <v>55</v>
      </c>
      <c r="AQ265" t="s">
        <v>54</v>
      </c>
      <c r="AT265" t="s">
        <v>54</v>
      </c>
      <c r="AU265">
        <v>20</v>
      </c>
      <c r="AW265" t="s">
        <v>54</v>
      </c>
      <c r="BD265" t="s">
        <v>1830</v>
      </c>
      <c r="BG265" t="s">
        <v>1639</v>
      </c>
      <c r="BH265" t="s">
        <v>1640</v>
      </c>
      <c r="BJ265" s="3"/>
    </row>
    <row r="266" ht="25.5" customHeight="1" spans="1:62">
      <c r="A266" t="s">
        <v>3061</v>
      </c>
      <c r="B266" t="s">
        <v>1701</v>
      </c>
      <c r="C266" t="s">
        <v>1688</v>
      </c>
      <c r="D266" t="s">
        <v>1627</v>
      </c>
      <c r="F266" s="2"/>
      <c r="H266" t="s">
        <v>1663</v>
      </c>
      <c r="J266" t="s">
        <v>1644</v>
      </c>
      <c r="K266" s="3" t="str">
        <f>HYPERLINK("https://vm.tiktok.com/ZNeKpTeWS/","https://vm.tiktok.com/ZNeKpTeWS/")</f>
        <v>https://vm.tiktok.com/ZNeKpTeWS/</v>
      </c>
      <c r="L266" t="s">
        <v>1630</v>
      </c>
      <c r="N266" s="3" t="str">
        <f>HYPERLINK("https://app.hypeauditor.com/my-network/influencer/24216099/analytics/tiktok/officialzatt","https://app.hypeauditor.com/my-network/influencer/24216099/analytics/tiktok/officialzatt")</f>
        <v>https://app.hypeauditor.com/my-network/influencer/24216099/analytics/tiktok/officialzatt</v>
      </c>
      <c r="O266" s="3" t="str">
        <f>HYPERLINK("https://www.tiktok.com/@officialzatt","https://www.tiktok.com/@officialzatt")</f>
        <v>https://www.tiktok.com/@officialzatt</v>
      </c>
      <c r="P266" t="s">
        <v>56</v>
      </c>
      <c r="Q266" t="s">
        <v>57</v>
      </c>
      <c r="R266" t="s">
        <v>1779</v>
      </c>
      <c r="S266" t="s">
        <v>54</v>
      </c>
      <c r="T266">
        <v>12000</v>
      </c>
      <c r="U266" t="s">
        <v>55</v>
      </c>
      <c r="W266" t="s">
        <v>55</v>
      </c>
      <c r="Y266" t="s">
        <v>54</v>
      </c>
      <c r="AA266" t="s">
        <v>55</v>
      </c>
      <c r="AE266" t="s">
        <v>55</v>
      </c>
      <c r="AG266" t="s">
        <v>54</v>
      </c>
      <c r="AI266" t="s">
        <v>55</v>
      </c>
      <c r="AK266" t="s">
        <v>55</v>
      </c>
      <c r="AM266" t="s">
        <v>55</v>
      </c>
      <c r="AO266" t="s">
        <v>55</v>
      </c>
      <c r="AQ266" t="s">
        <v>54</v>
      </c>
      <c r="AR266">
        <v>2000</v>
      </c>
      <c r="AS266">
        <v>0.0689</v>
      </c>
      <c r="AT266" t="s">
        <v>1434</v>
      </c>
      <c r="AU266">
        <v>20</v>
      </c>
      <c r="AW266" t="s">
        <v>1435</v>
      </c>
      <c r="AX266" t="s">
        <v>139</v>
      </c>
      <c r="AY266" t="s">
        <v>140</v>
      </c>
      <c r="AZ266" t="s">
        <v>1436</v>
      </c>
      <c r="BA266" t="s">
        <v>1437</v>
      </c>
      <c r="BD266" t="s">
        <v>1638</v>
      </c>
      <c r="BE266" t="s">
        <v>1436</v>
      </c>
      <c r="BG266" t="s">
        <v>1639</v>
      </c>
      <c r="BH266" t="s">
        <v>1640</v>
      </c>
      <c r="BJ266" s="3" t="str">
        <f>HYPERLINK("https://vm.tiktok.com/ZNeKpTeWS/","https://vm.tiktok.com/ZNeKpTeWS/")</f>
        <v>https://vm.tiktok.com/ZNeKpTeWS/</v>
      </c>
    </row>
    <row r="267" ht="25.5" customHeight="1" spans="1:62">
      <c r="A267" t="s">
        <v>3062</v>
      </c>
      <c r="B267" t="s">
        <v>1625</v>
      </c>
      <c r="C267" t="s">
        <v>1688</v>
      </c>
      <c r="D267" t="s">
        <v>1627</v>
      </c>
      <c r="F267" s="2">
        <v>45665</v>
      </c>
      <c r="H267" t="s">
        <v>2281</v>
      </c>
      <c r="I267" t="s">
        <v>3063</v>
      </c>
      <c r="J267" t="s">
        <v>1644</v>
      </c>
      <c r="K267" s="3" t="str">
        <f>HYPERLINK("https://vm.tiktok.com/ZMkfBUDBw/","https://vm.tiktok.com/ZMkfBUDBw/")</f>
        <v>https://vm.tiktok.com/ZMkfBUDBw/</v>
      </c>
      <c r="L267" t="s">
        <v>1630</v>
      </c>
      <c r="N267" s="3" t="str">
        <f>HYPERLINK("https://app.hypeauditor.com/my-network/influencer/32585266/analytics/tiktok/xjummarx","https://app.hypeauditor.com/my-network/influencer/32585266/analytics/tiktok/xjummarx")</f>
        <v>https://app.hypeauditor.com/my-network/influencer/32585266/analytics/tiktok/xjummarx</v>
      </c>
      <c r="O267" s="3" t="str">
        <f>HYPERLINK("https://www.tiktok.com/@xjummarx","https://www.tiktok.com/@xjummarx")</f>
        <v>https://www.tiktok.com/@xjummarx</v>
      </c>
      <c r="P267" t="s">
        <v>56</v>
      </c>
      <c r="Q267" t="s">
        <v>57</v>
      </c>
      <c r="R267" t="s">
        <v>1753</v>
      </c>
      <c r="S267" t="s">
        <v>54</v>
      </c>
      <c r="T267">
        <v>8873</v>
      </c>
      <c r="U267" t="s">
        <v>55</v>
      </c>
      <c r="W267" t="s">
        <v>55</v>
      </c>
      <c r="Y267" t="s">
        <v>54</v>
      </c>
      <c r="AA267" t="s">
        <v>55</v>
      </c>
      <c r="AE267" t="s">
        <v>55</v>
      </c>
      <c r="AG267" t="s">
        <v>54</v>
      </c>
      <c r="AI267" t="s">
        <v>55</v>
      </c>
      <c r="AK267" t="s">
        <v>55</v>
      </c>
      <c r="AM267" t="s">
        <v>55</v>
      </c>
      <c r="AO267" t="s">
        <v>55</v>
      </c>
      <c r="AQ267" t="s">
        <v>54</v>
      </c>
      <c r="AR267">
        <v>3000</v>
      </c>
      <c r="AS267">
        <v>0.05</v>
      </c>
      <c r="AT267" t="s">
        <v>3064</v>
      </c>
      <c r="AU267">
        <v>20</v>
      </c>
      <c r="AW267" t="s">
        <v>3065</v>
      </c>
      <c r="AX267" t="s">
        <v>1684</v>
      </c>
      <c r="AY267" t="s">
        <v>1307</v>
      </c>
      <c r="AZ267" t="s">
        <v>1876</v>
      </c>
      <c r="BA267" t="s">
        <v>2166</v>
      </c>
      <c r="BD267" t="s">
        <v>1638</v>
      </c>
      <c r="BE267" t="s">
        <v>1876</v>
      </c>
      <c r="BG267" t="s">
        <v>1639</v>
      </c>
      <c r="BH267" t="s">
        <v>1640</v>
      </c>
      <c r="BJ267" s="3" t="str">
        <f>HYPERLINK("https://vm.tiktok.com/ZMkfBUDBw/","https://vm.tiktok.com/ZMkfBUDBw/")</f>
        <v>https://vm.tiktok.com/ZMkfBUDBw/</v>
      </c>
    </row>
    <row r="268" ht="25.5" customHeight="1" spans="1:62">
      <c r="A268" t="s">
        <v>3066</v>
      </c>
      <c r="B268" t="s">
        <v>1625</v>
      </c>
      <c r="C268" t="s">
        <v>3067</v>
      </c>
      <c r="F268" s="2"/>
      <c r="H268" t="s">
        <v>2774</v>
      </c>
      <c r="I268" t="s">
        <v>3068</v>
      </c>
      <c r="J268" t="s">
        <v>1644</v>
      </c>
      <c r="K268" s="3"/>
      <c r="L268" t="s">
        <v>1645</v>
      </c>
      <c r="N268" s="3" t="str">
        <f>HYPERLINK("https://app.hypeauditor.com/my-network/influencer/32414635/analytics/tiktok/new_god11","https://app.hypeauditor.com/my-network/influencer/32414635/analytics/tiktok/new_god11")</f>
        <v>https://app.hypeauditor.com/my-network/influencer/32414635/analytics/tiktok/new_god11</v>
      </c>
      <c r="O268" s="3"/>
      <c r="P268" t="s">
        <v>56</v>
      </c>
      <c r="Q268" t="s">
        <v>57</v>
      </c>
      <c r="S268" t="s">
        <v>54</v>
      </c>
      <c r="W268" t="s">
        <v>55</v>
      </c>
      <c r="Y268" t="s">
        <v>54</v>
      </c>
      <c r="AA268" t="s">
        <v>55</v>
      </c>
      <c r="AE268" t="s">
        <v>55</v>
      </c>
      <c r="AG268" t="s">
        <v>54</v>
      </c>
      <c r="AI268" t="s">
        <v>55</v>
      </c>
      <c r="AK268" t="s">
        <v>55</v>
      </c>
      <c r="AM268" t="s">
        <v>55</v>
      </c>
      <c r="AO268" t="s">
        <v>55</v>
      </c>
      <c r="AQ268" t="s">
        <v>54</v>
      </c>
      <c r="AT268" t="s">
        <v>54</v>
      </c>
      <c r="AU268">
        <v>20</v>
      </c>
      <c r="AW268" t="s">
        <v>54</v>
      </c>
      <c r="BD268" t="s">
        <v>1830</v>
      </c>
      <c r="BG268" t="s">
        <v>1639</v>
      </c>
      <c r="BH268" t="s">
        <v>1640</v>
      </c>
      <c r="BJ268" s="3"/>
    </row>
    <row r="269" ht="25.5" customHeight="1" spans="1:62">
      <c r="A269" t="s">
        <v>3069</v>
      </c>
      <c r="B269" t="s">
        <v>1701</v>
      </c>
      <c r="C269" t="s">
        <v>1938</v>
      </c>
      <c r="D269" t="s">
        <v>1627</v>
      </c>
      <c r="F269" s="2"/>
      <c r="H269" t="s">
        <v>3070</v>
      </c>
      <c r="I269" t="s">
        <v>2219</v>
      </c>
      <c r="J269" t="s">
        <v>53</v>
      </c>
      <c r="K269" s="3" t="str">
        <f>HYPERLINK("https://www.tiktok.com/@s.studybee/video/7458690469023763743?_r=1&amp;_t=ZP-8sytJhu9m5G","https://www.tiktok.com/@s.studybee/video/7458690469023763743?_r=1&amp;_t=ZP-8sytJhu9m5G")</f>
        <v>https://www.tiktok.com/@s.studybee/video/7458690469023763743?_r=1&amp;_t=ZP-8sytJhu9m5G</v>
      </c>
      <c r="L269" t="s">
        <v>1630</v>
      </c>
      <c r="N269" s="3" t="str">
        <f>HYPERLINK("https://app.hypeauditor.com/my-network/influencer/27671262/analytics/tiktok/s.studybee","https://app.hypeauditor.com/my-network/influencer/27671262/analytics/tiktok/s.studybee")</f>
        <v>https://app.hypeauditor.com/my-network/influencer/27671262/analytics/tiktok/s.studybee</v>
      </c>
      <c r="O269" s="3" t="str">
        <f>HYPERLINK("https://www.tiktok.com/@s.studybee","https://www.tiktok.com/@s.studybee")</f>
        <v>https://www.tiktok.com/@s.studybee</v>
      </c>
      <c r="P269" t="s">
        <v>56</v>
      </c>
      <c r="Q269" t="s">
        <v>57</v>
      </c>
      <c r="R269" t="s">
        <v>1631</v>
      </c>
      <c r="S269" t="s">
        <v>54</v>
      </c>
      <c r="T269">
        <v>72000</v>
      </c>
      <c r="U269" t="s">
        <v>55</v>
      </c>
      <c r="W269" t="s">
        <v>55</v>
      </c>
      <c r="Y269" t="s">
        <v>54</v>
      </c>
      <c r="AA269" t="s">
        <v>55</v>
      </c>
      <c r="AE269" t="s">
        <v>55</v>
      </c>
      <c r="AG269" t="s">
        <v>54</v>
      </c>
      <c r="AI269" t="s">
        <v>55</v>
      </c>
      <c r="AK269" t="s">
        <v>55</v>
      </c>
      <c r="AM269" t="s">
        <v>55</v>
      </c>
      <c r="AO269" t="s">
        <v>55</v>
      </c>
      <c r="AQ269" t="s">
        <v>54</v>
      </c>
      <c r="AR269">
        <v>1400</v>
      </c>
      <c r="AS269">
        <v>0.0925</v>
      </c>
      <c r="AT269" t="s">
        <v>420</v>
      </c>
      <c r="AU269">
        <v>15</v>
      </c>
      <c r="AW269" t="s">
        <v>421</v>
      </c>
      <c r="AX269" t="s">
        <v>1135</v>
      </c>
      <c r="AY269" t="s">
        <v>1136</v>
      </c>
      <c r="AZ269" t="s">
        <v>2953</v>
      </c>
      <c r="BA269" t="s">
        <v>3071</v>
      </c>
      <c r="BD269" t="s">
        <v>1638</v>
      </c>
      <c r="BE269" t="s">
        <v>2953</v>
      </c>
      <c r="BG269" t="s">
        <v>1639</v>
      </c>
      <c r="BH269" t="s">
        <v>1640</v>
      </c>
      <c r="BI269" t="s">
        <v>2218</v>
      </c>
      <c r="BJ269" s="3" t="str">
        <f>HYPERLINK("https://www.tiktok.com/@s.studybee/video/7458690469023763743?_r=1&amp;_t=ZP-8sytJhu9m5G","https://www.tiktok.com/@s.studybee/video/7458690469023763743?_r=1&amp;_t=ZP-8sytJhu9m5G")</f>
        <v>https://www.tiktok.com/@s.studybee/video/7458690469023763743?_r=1&amp;_t=ZP-8sytJhu9m5G</v>
      </c>
    </row>
    <row r="270" ht="25.5" customHeight="1" spans="1:62">
      <c r="A270" t="s">
        <v>2537</v>
      </c>
      <c r="B270" t="s">
        <v>1625</v>
      </c>
      <c r="F270" s="2"/>
      <c r="K270" s="3" t="str">
        <f>HYPERLINK("https://www.instagram.com/reel/DFLMLZkMiq9/","https://www.instagram.com/reel/DFLMLZkMiq9/")</f>
        <v>https://www.instagram.com/reel/DFLMLZkMiq9/</v>
      </c>
      <c r="L270" t="s">
        <v>1630</v>
      </c>
      <c r="N270" s="3"/>
      <c r="O270" s="3" t="str">
        <f>HYPERLINK("https://www.instagram.com/ilmastro85/reels/","https://www.instagram.com/ilmastro85/reels/")</f>
        <v>https://www.instagram.com/ilmastro85/reels/</v>
      </c>
      <c r="P270" t="s">
        <v>65</v>
      </c>
      <c r="Q270" t="s">
        <v>116</v>
      </c>
      <c r="R270" t="s">
        <v>1703</v>
      </c>
      <c r="S270" t="s">
        <v>54</v>
      </c>
      <c r="W270" t="s">
        <v>55</v>
      </c>
      <c r="Y270" t="s">
        <v>54</v>
      </c>
      <c r="AA270" t="s">
        <v>55</v>
      </c>
      <c r="AE270" t="s">
        <v>55</v>
      </c>
      <c r="AG270" t="s">
        <v>54</v>
      </c>
      <c r="AI270" t="s">
        <v>55</v>
      </c>
      <c r="AK270" t="s">
        <v>55</v>
      </c>
      <c r="AM270" t="s">
        <v>55</v>
      </c>
      <c r="AO270" t="s">
        <v>55</v>
      </c>
      <c r="AQ270" t="s">
        <v>54</v>
      </c>
      <c r="AT270" t="s">
        <v>54</v>
      </c>
      <c r="AU270">
        <v>15</v>
      </c>
      <c r="AW270" t="s">
        <v>54</v>
      </c>
      <c r="BD270" t="s">
        <v>1638</v>
      </c>
      <c r="BG270" t="s">
        <v>1639</v>
      </c>
      <c r="BH270" t="s">
        <v>1640</v>
      </c>
      <c r="BI270" t="s">
        <v>2537</v>
      </c>
      <c r="BJ270" s="3" t="str">
        <f>HYPERLINK("https://www.instagram.com/reel/DFLMLZkMiq9/","https://www.instagram.com/reel/DFLMLZkMiq9/")</f>
        <v>https://www.instagram.com/reel/DFLMLZkMiq9/</v>
      </c>
    </row>
    <row r="271" ht="25.5" customHeight="1" spans="1:62">
      <c r="A271" t="s">
        <v>3072</v>
      </c>
      <c r="B271" t="s">
        <v>1625</v>
      </c>
      <c r="C271" t="s">
        <v>3073</v>
      </c>
      <c r="F271" s="2"/>
      <c r="H271" t="s">
        <v>1806</v>
      </c>
      <c r="J271" t="s">
        <v>1629</v>
      </c>
      <c r="K271" s="3"/>
      <c r="L271" t="s">
        <v>1645</v>
      </c>
      <c r="N271" s="3"/>
      <c r="O271" s="3"/>
      <c r="P271" t="s">
        <v>56</v>
      </c>
      <c r="Q271" t="s">
        <v>57</v>
      </c>
      <c r="S271" t="s">
        <v>54</v>
      </c>
      <c r="W271" t="s">
        <v>55</v>
      </c>
      <c r="Y271" t="s">
        <v>54</v>
      </c>
      <c r="AA271" t="s">
        <v>55</v>
      </c>
      <c r="AE271" t="s">
        <v>55</v>
      </c>
      <c r="AG271" t="s">
        <v>54</v>
      </c>
      <c r="AI271" t="s">
        <v>55</v>
      </c>
      <c r="AK271" t="s">
        <v>55</v>
      </c>
      <c r="AM271" t="s">
        <v>55</v>
      </c>
      <c r="AO271" t="s">
        <v>55</v>
      </c>
      <c r="AQ271" t="s">
        <v>54</v>
      </c>
      <c r="AT271" t="s">
        <v>54</v>
      </c>
      <c r="AU271">
        <v>14.93</v>
      </c>
      <c r="AW271" t="s">
        <v>54</v>
      </c>
      <c r="BD271" t="s">
        <v>1638</v>
      </c>
      <c r="BG271" t="s">
        <v>1639</v>
      </c>
      <c r="BH271" t="s">
        <v>1640</v>
      </c>
      <c r="BJ271" s="3"/>
    </row>
    <row r="272" ht="25.5" customHeight="1" spans="1:62">
      <c r="A272" t="s">
        <v>3074</v>
      </c>
      <c r="B272" t="s">
        <v>1625</v>
      </c>
      <c r="C272" t="s">
        <v>3075</v>
      </c>
      <c r="D272" t="s">
        <v>1627</v>
      </c>
      <c r="F272" s="2"/>
      <c r="J272" t="s">
        <v>1644</v>
      </c>
      <c r="K272" s="3" t="str">
        <f>HYPERLINK("https://vm.tiktok.com/ZMkmtPCRc/","https://vm.tiktok.com/ZMkmtPCRc/")</f>
        <v>https://vm.tiktok.com/ZMkmtPCRc/</v>
      </c>
      <c r="L272" t="s">
        <v>1630</v>
      </c>
      <c r="N272" s="3"/>
      <c r="O272" s="3" t="str">
        <f>HYPERLINK("https://www.tiktok.com/@leo_oogm","https://www.tiktok.com/@leo_oogm")</f>
        <v>https://www.tiktok.com/@leo_oogm</v>
      </c>
      <c r="P272" t="s">
        <v>56</v>
      </c>
      <c r="Q272" t="s">
        <v>57</v>
      </c>
      <c r="R272" t="s">
        <v>97</v>
      </c>
      <c r="S272" t="s">
        <v>54</v>
      </c>
      <c r="T272">
        <v>31500</v>
      </c>
      <c r="U272" t="s">
        <v>55</v>
      </c>
      <c r="W272" t="s">
        <v>55</v>
      </c>
      <c r="Y272" t="s">
        <v>54</v>
      </c>
      <c r="AA272" t="s">
        <v>55</v>
      </c>
      <c r="AE272" t="s">
        <v>55</v>
      </c>
      <c r="AG272" t="s">
        <v>54</v>
      </c>
      <c r="AI272" t="s">
        <v>55</v>
      </c>
      <c r="AK272" t="s">
        <v>55</v>
      </c>
      <c r="AM272" t="s">
        <v>55</v>
      </c>
      <c r="AO272" t="s">
        <v>55</v>
      </c>
      <c r="AQ272" t="s">
        <v>54</v>
      </c>
      <c r="AR272">
        <v>1000</v>
      </c>
      <c r="AS272">
        <v>0.08</v>
      </c>
      <c r="AT272" t="s">
        <v>3076</v>
      </c>
      <c r="AU272">
        <v>9.8</v>
      </c>
      <c r="AW272" t="s">
        <v>3077</v>
      </c>
      <c r="AX272" t="s">
        <v>3078</v>
      </c>
      <c r="AY272" t="s">
        <v>3079</v>
      </c>
      <c r="AZ272" t="s">
        <v>3080</v>
      </c>
      <c r="BA272" t="s">
        <v>3081</v>
      </c>
      <c r="BD272" t="s">
        <v>1638</v>
      </c>
      <c r="BE272" t="s">
        <v>3080</v>
      </c>
      <c r="BG272" t="s">
        <v>1639</v>
      </c>
      <c r="BH272" t="s">
        <v>1640</v>
      </c>
      <c r="BJ272" s="3" t="str">
        <f>HYPERLINK("https://vm.tiktok.com/ZMkmtPCRc/","https://vm.tiktok.com/ZMkmtPCRc/")</f>
        <v>https://vm.tiktok.com/ZMkmtPCRc/</v>
      </c>
    </row>
    <row r="273" ht="25.5" customHeight="1" spans="1:62">
      <c r="A273" t="s">
        <v>3082</v>
      </c>
      <c r="B273" t="s">
        <v>1625</v>
      </c>
      <c r="C273" t="s">
        <v>3083</v>
      </c>
      <c r="D273" t="s">
        <v>1769</v>
      </c>
      <c r="F273" s="2">
        <v>45681</v>
      </c>
      <c r="J273" t="s">
        <v>1629</v>
      </c>
      <c r="K273" s="3" t="str">
        <f>HYPERLINK("https://vm.tiktok.com/ZNeEDapMW/","https://vm.tiktok.com/ZNeEDapMW/")</f>
        <v>https://vm.tiktok.com/ZNeEDapMW/</v>
      </c>
      <c r="L273" t="s">
        <v>1630</v>
      </c>
      <c r="N273" s="3"/>
      <c r="O273" s="3" t="str">
        <f>HYPERLINK("https://www.tiktok.com/@riccardo.scrocca","https://www.tiktok.com/@riccardo.scrocca")</f>
        <v>https://www.tiktok.com/@riccardo.scrocca</v>
      </c>
      <c r="P273" t="s">
        <v>56</v>
      </c>
      <c r="Q273" t="s">
        <v>57</v>
      </c>
      <c r="R273" t="s">
        <v>1703</v>
      </c>
      <c r="S273" t="s">
        <v>54</v>
      </c>
      <c r="W273" t="s">
        <v>55</v>
      </c>
      <c r="Y273" t="s">
        <v>54</v>
      </c>
      <c r="AA273" t="s">
        <v>55</v>
      </c>
      <c r="AE273" t="s">
        <v>55</v>
      </c>
      <c r="AG273" t="s">
        <v>54</v>
      </c>
      <c r="AI273" t="s">
        <v>55</v>
      </c>
      <c r="AK273" t="s">
        <v>55</v>
      </c>
      <c r="AM273" t="s">
        <v>55</v>
      </c>
      <c r="AO273" t="s">
        <v>55</v>
      </c>
      <c r="AQ273" t="s">
        <v>54</v>
      </c>
      <c r="AT273" t="s">
        <v>54</v>
      </c>
      <c r="AU273">
        <v>7.8</v>
      </c>
      <c r="AW273" t="s">
        <v>54</v>
      </c>
      <c r="BD273" t="s">
        <v>1638</v>
      </c>
      <c r="BG273" t="s">
        <v>1639</v>
      </c>
      <c r="BH273" t="s">
        <v>1640</v>
      </c>
      <c r="BJ273" s="3" t="str">
        <f>HYPERLINK("https://vm.tiktok.com/ZNeEDapMW/","https://vm.tiktok.com/ZNeEDapMW/")</f>
        <v>https://vm.tiktok.com/ZNeEDapMW/</v>
      </c>
    </row>
    <row r="274" ht="25.5" customHeight="1" spans="2:62">
      <c r="B274" t="s">
        <v>1625</v>
      </c>
      <c r="F274" s="2"/>
      <c r="K274" s="3" t="str">
        <f>HYPERLINK("https://youtube.com/shorts/rhYmX3K9X5Y?si=CGlLIwEkYShoMuXv","https://youtube.com/shorts/rhYmX3K9X5Y?si=CGlLIwEkYShoMuXv")</f>
        <v>https://youtube.com/shorts/rhYmX3K9X5Y?si=CGlLIwEkYShoMuXv</v>
      </c>
      <c r="L274" t="s">
        <v>1630</v>
      </c>
      <c r="N274" s="3"/>
      <c r="O274" s="3"/>
      <c r="P274" t="s">
        <v>269</v>
      </c>
      <c r="Q274" t="s">
        <v>423</v>
      </c>
      <c r="R274" t="s">
        <v>1779</v>
      </c>
      <c r="S274" t="s">
        <v>54</v>
      </c>
      <c r="W274" t="s">
        <v>55</v>
      </c>
      <c r="Y274" t="s">
        <v>54</v>
      </c>
      <c r="AA274" t="s">
        <v>55</v>
      </c>
      <c r="AE274" t="s">
        <v>55</v>
      </c>
      <c r="AG274" t="s">
        <v>54</v>
      </c>
      <c r="AI274" t="s">
        <v>55</v>
      </c>
      <c r="AK274" t="s">
        <v>55</v>
      </c>
      <c r="AM274" t="s">
        <v>55</v>
      </c>
      <c r="AO274" t="s">
        <v>55</v>
      </c>
      <c r="AQ274" t="s">
        <v>54</v>
      </c>
      <c r="AT274" t="s">
        <v>54</v>
      </c>
      <c r="AU274">
        <v>0</v>
      </c>
      <c r="AW274" t="s">
        <v>54</v>
      </c>
      <c r="BD274" t="s">
        <v>1638</v>
      </c>
      <c r="BG274" t="s">
        <v>1639</v>
      </c>
      <c r="BH274" t="s">
        <v>1640</v>
      </c>
      <c r="BI274" t="s">
        <v>3061</v>
      </c>
      <c r="BJ274" s="3" t="str">
        <f>HYPERLINK("https://youtube.com/shorts/rhYmX3K9X5Y?si=CGlLIwEkYShoMuXv","https://youtube.com/shorts/rhYmX3K9X5Y?si=CGlLIwEkYShoMuXv")</f>
        <v>https://youtube.com/shorts/rhYmX3K9X5Y?si=CGlLIwEkYShoMuXv</v>
      </c>
    </row>
    <row r="275" ht="25.5" customHeight="1" spans="2:62">
      <c r="B275" t="s">
        <v>1625</v>
      </c>
      <c r="F275" s="2"/>
      <c r="K275" s="3" t="str">
        <f>HYPERLINK("https://www.instagram.com/reel/DE2jMZ4treM/?igsh=MWh5aDZuZjJ0NjRwMw==","https://www.instagram.com/reel/DE2jMZ4treM/?igsh=MWh5aDZuZjJ0NjRwMw==")</f>
        <v>https://www.instagram.com/reel/DE2jMZ4treM/?igsh=MWh5aDZuZjJ0NjRwMw==</v>
      </c>
      <c r="L275" t="s">
        <v>1630</v>
      </c>
      <c r="N275" s="3"/>
      <c r="O275" s="3"/>
      <c r="P275" t="s">
        <v>65</v>
      </c>
      <c r="Q275" t="s">
        <v>116</v>
      </c>
      <c r="R275" t="s">
        <v>1779</v>
      </c>
      <c r="S275" t="s">
        <v>54</v>
      </c>
      <c r="W275" t="s">
        <v>55</v>
      </c>
      <c r="Y275" t="s">
        <v>54</v>
      </c>
      <c r="AA275" t="s">
        <v>55</v>
      </c>
      <c r="AE275" t="s">
        <v>55</v>
      </c>
      <c r="AG275" t="s">
        <v>54</v>
      </c>
      <c r="AI275" t="s">
        <v>55</v>
      </c>
      <c r="AK275" t="s">
        <v>55</v>
      </c>
      <c r="AM275" t="s">
        <v>55</v>
      </c>
      <c r="AO275" t="s">
        <v>55</v>
      </c>
      <c r="AQ275" t="s">
        <v>54</v>
      </c>
      <c r="AT275" t="s">
        <v>54</v>
      </c>
      <c r="AU275">
        <v>0</v>
      </c>
      <c r="AW275" t="s">
        <v>54</v>
      </c>
      <c r="BD275" t="s">
        <v>1638</v>
      </c>
      <c r="BG275" t="s">
        <v>1639</v>
      </c>
      <c r="BH275" t="s">
        <v>1640</v>
      </c>
      <c r="BI275" t="s">
        <v>3061</v>
      </c>
      <c r="BJ275" s="3" t="str">
        <f>HYPERLINK("https://www.instagram.com/reel/DE2jMZ4treM/?igsh=MWh5aDZuZjJ0NjRwMw==","https://www.instagram.com/reel/DE2jMZ4treM/?igsh=MWh5aDZuZjJ0NjRwMw==")</f>
        <v>https://www.instagram.com/reel/DE2jMZ4treM/?igsh=MWh5aDZuZjJ0NjRwMw==</v>
      </c>
    </row>
    <row r="276" ht="25.5" customHeight="1" spans="1:62">
      <c r="A276" t="s">
        <v>2293</v>
      </c>
      <c r="B276" t="s">
        <v>1625</v>
      </c>
      <c r="F276" s="2"/>
      <c r="I276" t="s">
        <v>2294</v>
      </c>
      <c r="J276" t="s">
        <v>1644</v>
      </c>
      <c r="K276" s="3" t="str">
        <f>HYPERLINK("https://www.threads.net/@tarekadel.tech/post/DF7i8rPCoTH?xmt=AQGzZ7mnts264nDjkAtf5cnz9RospGuGXqrhocR6ztc_Tw","https://www.threads.net/@tarekadel.tech/post/DF7i8rPCoTH?xmt=AQGzZ7mnts264nDjkAtf5cnz9RospGuGXqrhocR6ztc_Tw")</f>
        <v>https://www.threads.net/@tarekadel.tech/post/DF7i8rPCoTH?xmt=AQGzZ7mnts264nDjkAtf5cnz9RospGuGXqrhocR6ztc_Tw</v>
      </c>
      <c r="L276" t="s">
        <v>1630</v>
      </c>
      <c r="N276" s="3" t="str">
        <f>HYPERLINK("https://app.hypeauditor.com/my-network/influencer/1198550/analytics/youtube/UCgK2ky4i-KTw5BodQwNPdGw","https://app.hypeauditor.com/my-network/influencer/1198550/analytics/youtube/UCgK2ky4i-KTw5BodQwNPdGw")</f>
        <v>https://app.hypeauditor.com/my-network/influencer/1198550/analytics/youtube/UCgK2ky4i-KTw5BodQwNPdGw</v>
      </c>
      <c r="O276" s="3"/>
      <c r="P276" t="s">
        <v>3084</v>
      </c>
      <c r="S276" t="s">
        <v>54</v>
      </c>
      <c r="W276" t="s">
        <v>55</v>
      </c>
      <c r="Y276" t="s">
        <v>54</v>
      </c>
      <c r="AA276" t="s">
        <v>55</v>
      </c>
      <c r="AE276" t="s">
        <v>55</v>
      </c>
      <c r="AG276" t="s">
        <v>54</v>
      </c>
      <c r="AI276" t="s">
        <v>55</v>
      </c>
      <c r="AK276" t="s">
        <v>55</v>
      </c>
      <c r="AM276" t="s">
        <v>55</v>
      </c>
      <c r="AO276" t="s">
        <v>55</v>
      </c>
      <c r="AQ276" t="s">
        <v>54</v>
      </c>
      <c r="AT276" t="s">
        <v>54</v>
      </c>
      <c r="AU276">
        <v>0</v>
      </c>
      <c r="AW276" t="s">
        <v>54</v>
      </c>
      <c r="BD276" t="s">
        <v>1638</v>
      </c>
      <c r="BG276" t="s">
        <v>1639</v>
      </c>
      <c r="BH276" t="s">
        <v>1640</v>
      </c>
      <c r="BI276" t="s">
        <v>2293</v>
      </c>
      <c r="BJ276" s="3" t="str">
        <f>HYPERLINK("https://www.threads.net/@tarekadel.tech/post/DF7i8rPCoTH?xmt=AQGzZ7mnts264nDjkAtf5cnz9RospGuGXqrhocR6ztc_Tw","https://www.threads.net/@tarekadel.tech/post/DF7i8rPCoTH?xmt=AQGzZ7mnts264nDjkAtf5cnz9RospGuGXqrhocR6ztc_Tw")</f>
        <v>https://www.threads.net/@tarekadel.tech/post/DF7i8rPCoTH?xmt=AQGzZ7mnts264nDjkAtf5cnz9RospGuGXqrhocR6ztc_Tw</v>
      </c>
    </row>
    <row r="277" ht="25.5" customHeight="1" spans="1:62">
      <c r="A277" t="s">
        <v>2005</v>
      </c>
      <c r="B277" t="s">
        <v>1625</v>
      </c>
      <c r="C277" t="s">
        <v>3085</v>
      </c>
      <c r="F277" s="2"/>
      <c r="H277" t="s">
        <v>1806</v>
      </c>
      <c r="I277" t="s">
        <v>2008</v>
      </c>
      <c r="J277" t="s">
        <v>630</v>
      </c>
      <c r="K277" s="3"/>
      <c r="L277" t="s">
        <v>1630</v>
      </c>
      <c r="N277" s="3" t="str">
        <f>HYPERLINK("https://app.hypeauditor.com/my-network/influencer/32604435/analytics/snapchat/thetechbadger","https://app.hypeauditor.com/my-network/influencer/32604435/analytics/snapchat/thetechbadger")</f>
        <v>https://app.hypeauditor.com/my-network/influencer/32604435/analytics/snapchat/thetechbadger</v>
      </c>
      <c r="O277" s="3" t="str">
        <f>HYPERLINK("https://www.instagram.com/thetechbadgerr/","https://www.instagram.com/thetechbadgerr/")</f>
        <v>https://www.instagram.com/thetechbadgerr/</v>
      </c>
      <c r="P277" t="s">
        <v>3086</v>
      </c>
      <c r="Q277" t="s">
        <v>3087</v>
      </c>
      <c r="R277" t="s">
        <v>1631</v>
      </c>
      <c r="S277" t="s">
        <v>54</v>
      </c>
      <c r="T277">
        <v>40100</v>
      </c>
      <c r="U277" t="s">
        <v>55</v>
      </c>
      <c r="W277" t="s">
        <v>55</v>
      </c>
      <c r="Y277" t="s">
        <v>54</v>
      </c>
      <c r="AA277" t="s">
        <v>55</v>
      </c>
      <c r="AE277" t="s">
        <v>55</v>
      </c>
      <c r="AG277" t="s">
        <v>54</v>
      </c>
      <c r="AI277" t="s">
        <v>55</v>
      </c>
      <c r="AK277" t="s">
        <v>55</v>
      </c>
      <c r="AM277" t="s">
        <v>55</v>
      </c>
      <c r="AO277" t="s">
        <v>55</v>
      </c>
      <c r="AQ277" t="s">
        <v>54</v>
      </c>
      <c r="AR277">
        <v>2200</v>
      </c>
      <c r="AT277" t="s">
        <v>54</v>
      </c>
      <c r="AW277" t="s">
        <v>54</v>
      </c>
      <c r="AX277" t="s">
        <v>184</v>
      </c>
      <c r="AY277" t="s">
        <v>185</v>
      </c>
      <c r="BD277" t="s">
        <v>1625</v>
      </c>
      <c r="BG277" t="s">
        <v>1639</v>
      </c>
      <c r="BH277" t="s">
        <v>1640</v>
      </c>
      <c r="BJ277" s="3"/>
    </row>
    <row r="278" ht="25.5" customHeight="1" spans="1:62">
      <c r="A278" t="s">
        <v>2005</v>
      </c>
      <c r="B278" t="s">
        <v>1625</v>
      </c>
      <c r="C278" t="s">
        <v>3085</v>
      </c>
      <c r="F278" s="2"/>
      <c r="H278" t="s">
        <v>1806</v>
      </c>
      <c r="I278" t="s">
        <v>2008</v>
      </c>
      <c r="J278" t="s">
        <v>630</v>
      </c>
      <c r="K278" s="3"/>
      <c r="L278" t="s">
        <v>1630</v>
      </c>
      <c r="N278" s="3"/>
      <c r="O278" s="3" t="str">
        <f>HYPERLINK("https://www.instagram.com/thetechbadgerr/","https://www.instagram.com/thetechbadgerr/")</f>
        <v>https://www.instagram.com/thetechbadgerr/</v>
      </c>
      <c r="P278" t="s">
        <v>1116</v>
      </c>
      <c r="Q278" t="s">
        <v>2742</v>
      </c>
      <c r="R278" t="s">
        <v>1631</v>
      </c>
      <c r="S278" t="s">
        <v>54</v>
      </c>
      <c r="T278">
        <v>47198</v>
      </c>
      <c r="U278" t="s">
        <v>55</v>
      </c>
      <c r="W278" t="s">
        <v>55</v>
      </c>
      <c r="Y278" t="s">
        <v>54</v>
      </c>
      <c r="AA278" t="s">
        <v>55</v>
      </c>
      <c r="AE278" t="s">
        <v>55</v>
      </c>
      <c r="AG278" t="s">
        <v>54</v>
      </c>
      <c r="AI278" t="s">
        <v>55</v>
      </c>
      <c r="AK278" t="s">
        <v>55</v>
      </c>
      <c r="AM278" t="s">
        <v>55</v>
      </c>
      <c r="AO278" t="s">
        <v>55</v>
      </c>
      <c r="AQ278" t="s">
        <v>54</v>
      </c>
      <c r="AT278" t="s">
        <v>54</v>
      </c>
      <c r="AW278" t="s">
        <v>54</v>
      </c>
      <c r="BD278" t="s">
        <v>1625</v>
      </c>
      <c r="BG278" t="s">
        <v>1639</v>
      </c>
      <c r="BH278" t="s">
        <v>1640</v>
      </c>
      <c r="BJ278" s="3"/>
    </row>
    <row r="279" ht="25.5" customHeight="1" spans="1:62">
      <c r="A279" t="s">
        <v>1760</v>
      </c>
      <c r="B279" t="s">
        <v>1625</v>
      </c>
      <c r="F279" s="2"/>
      <c r="J279" t="s">
        <v>1725</v>
      </c>
      <c r="K279" s="3" t="str">
        <f>HYPERLINK("https://www.instagram.com/reel/DFFnsmTSzYs/","https://www.instagram.com/reel/DFFnsmTSzYs/")</f>
        <v>https://www.instagram.com/reel/DFFnsmTSzYs/</v>
      </c>
      <c r="L279" t="s">
        <v>1630</v>
      </c>
      <c r="N279" s="3" t="str">
        <f>HYPERLINK("https://app.hypeauditor.com/my-network/influencer/32622500/analytics/instagram/logiaweb._","https://app.hypeauditor.com/my-network/influencer/32622500/analytics/instagram/logiaweb._")</f>
        <v>https://app.hypeauditor.com/my-network/influencer/32622500/analytics/instagram/logiaweb._</v>
      </c>
      <c r="O279" s="3"/>
      <c r="P279" t="s">
        <v>65</v>
      </c>
      <c r="Q279" t="s">
        <v>116</v>
      </c>
      <c r="R279" t="s">
        <v>1631</v>
      </c>
      <c r="S279" t="s">
        <v>54</v>
      </c>
      <c r="W279" t="s">
        <v>55</v>
      </c>
      <c r="Y279" t="s">
        <v>54</v>
      </c>
      <c r="AA279" t="s">
        <v>55</v>
      </c>
      <c r="AE279" t="s">
        <v>55</v>
      </c>
      <c r="AG279" t="s">
        <v>54</v>
      </c>
      <c r="AI279" t="s">
        <v>55</v>
      </c>
      <c r="AK279" t="s">
        <v>55</v>
      </c>
      <c r="AM279" t="s">
        <v>55</v>
      </c>
      <c r="AO279" t="s">
        <v>55</v>
      </c>
      <c r="AQ279" t="s">
        <v>54</v>
      </c>
      <c r="AT279" t="s">
        <v>54</v>
      </c>
      <c r="AW279" t="s">
        <v>54</v>
      </c>
      <c r="BD279" t="s">
        <v>1638</v>
      </c>
      <c r="BG279" t="s">
        <v>1639</v>
      </c>
      <c r="BH279" t="s">
        <v>1640</v>
      </c>
      <c r="BI279" t="s">
        <v>1760</v>
      </c>
      <c r="BJ279" s="3" t="str">
        <f>HYPERLINK("https://www.instagram.com/reel/DFFnsmTSzYs/","https://www.instagram.com/reel/DFFnsmTSzYs/")</f>
        <v>https://www.instagram.com/reel/DFFnsmTSzYs/</v>
      </c>
    </row>
    <row r="280" ht="25.5" customHeight="1" spans="1:62">
      <c r="A280" t="s">
        <v>1853</v>
      </c>
      <c r="B280" t="s">
        <v>1625</v>
      </c>
      <c r="F280" s="2"/>
      <c r="K280" s="3"/>
      <c r="L280" t="s">
        <v>1645</v>
      </c>
      <c r="N280" s="3" t="str">
        <f>HYPERLINK("https://app.hypeauditor.com/my-network/influencer/39189/analytics/instagram/yofumedia","https://app.hypeauditor.com/my-network/influencer/39189/analytics/instagram/yofumedia")</f>
        <v>https://app.hypeauditor.com/my-network/influencer/39189/analytics/instagram/yofumedia</v>
      </c>
      <c r="O280" s="3"/>
      <c r="P280" t="s">
        <v>65</v>
      </c>
      <c r="Q280" t="s">
        <v>57</v>
      </c>
      <c r="S280" t="s">
        <v>54</v>
      </c>
      <c r="W280" t="s">
        <v>55</v>
      </c>
      <c r="Y280" t="s">
        <v>54</v>
      </c>
      <c r="AA280" t="s">
        <v>55</v>
      </c>
      <c r="AE280" t="s">
        <v>55</v>
      </c>
      <c r="AG280" t="s">
        <v>54</v>
      </c>
      <c r="AI280" t="s">
        <v>55</v>
      </c>
      <c r="AK280" t="s">
        <v>55</v>
      </c>
      <c r="AM280" t="s">
        <v>55</v>
      </c>
      <c r="AO280" t="s">
        <v>55</v>
      </c>
      <c r="AQ280" t="s">
        <v>54</v>
      </c>
      <c r="AT280" t="s">
        <v>54</v>
      </c>
      <c r="AW280" t="s">
        <v>54</v>
      </c>
      <c r="BD280" t="s">
        <v>1830</v>
      </c>
      <c r="BG280" t="s">
        <v>1639</v>
      </c>
      <c r="BH280" t="s">
        <v>1640</v>
      </c>
      <c r="BI280" t="s">
        <v>1853</v>
      </c>
      <c r="BJ280" s="3"/>
    </row>
    <row r="281" ht="25.5" customHeight="1" spans="1:62">
      <c r="A281" t="s">
        <v>1853</v>
      </c>
      <c r="B281" t="s">
        <v>1625</v>
      </c>
      <c r="F281" s="2"/>
      <c r="K281" s="3"/>
      <c r="L281" t="s">
        <v>1645</v>
      </c>
      <c r="N281" s="3" t="str">
        <f>HYPERLINK("https://app.hypeauditor.com/my-network/influencer/17672398/analytics/youtube/UCoYxuvPM9D-yMW20USvwKjQ","https://app.hypeauditor.com/my-network/influencer/17672398/analytics/youtube/UCoYxuvPM9D-yMW20USvwKjQ")</f>
        <v>https://app.hypeauditor.com/my-network/influencer/17672398/analytics/youtube/UCoYxuvPM9D-yMW20USvwKjQ</v>
      </c>
      <c r="O281" s="3"/>
      <c r="P281" t="s">
        <v>269</v>
      </c>
      <c r="Q281" t="s">
        <v>57</v>
      </c>
      <c r="S281" t="s">
        <v>54</v>
      </c>
      <c r="W281" t="s">
        <v>55</v>
      </c>
      <c r="Y281" t="s">
        <v>54</v>
      </c>
      <c r="AA281" t="s">
        <v>55</v>
      </c>
      <c r="AE281" t="s">
        <v>55</v>
      </c>
      <c r="AG281" t="s">
        <v>54</v>
      </c>
      <c r="AI281" t="s">
        <v>55</v>
      </c>
      <c r="AK281" t="s">
        <v>55</v>
      </c>
      <c r="AM281" t="s">
        <v>55</v>
      </c>
      <c r="AO281" t="s">
        <v>55</v>
      </c>
      <c r="AQ281" t="s">
        <v>54</v>
      </c>
      <c r="AT281" t="s">
        <v>54</v>
      </c>
      <c r="AW281" t="s">
        <v>54</v>
      </c>
      <c r="BD281" t="s">
        <v>1830</v>
      </c>
      <c r="BG281" t="s">
        <v>1639</v>
      </c>
      <c r="BH281" t="s">
        <v>1640</v>
      </c>
      <c r="BI281" t="s">
        <v>1853</v>
      </c>
      <c r="BJ281" s="3"/>
    </row>
    <row r="282" ht="25.5" customHeight="1" spans="1:62">
      <c r="A282" t="s">
        <v>2113</v>
      </c>
      <c r="B282" t="s">
        <v>1625</v>
      </c>
      <c r="F282" s="2"/>
      <c r="I282" t="s">
        <v>2115</v>
      </c>
      <c r="J282" t="s">
        <v>1629</v>
      </c>
      <c r="K282" s="3"/>
      <c r="L282" t="s">
        <v>1645</v>
      </c>
      <c r="N282" s="3" t="str">
        <f>HYPERLINK("https://app.hypeauditor.com/my-network/influencer/33371149/analytics/instagram/tecnovickz","https://app.hypeauditor.com/my-network/influencer/33371149/analytics/instagram/tecnovickz")</f>
        <v>https://app.hypeauditor.com/my-network/influencer/33371149/analytics/instagram/tecnovickz</v>
      </c>
      <c r="O282" s="3"/>
      <c r="P282" t="s">
        <v>65</v>
      </c>
      <c r="Q282" t="s">
        <v>116</v>
      </c>
      <c r="S282" t="s">
        <v>54</v>
      </c>
      <c r="W282" t="s">
        <v>55</v>
      </c>
      <c r="Y282" t="s">
        <v>54</v>
      </c>
      <c r="AA282" t="s">
        <v>55</v>
      </c>
      <c r="AE282" t="s">
        <v>55</v>
      </c>
      <c r="AG282" t="s">
        <v>54</v>
      </c>
      <c r="AI282" t="s">
        <v>55</v>
      </c>
      <c r="AK282" t="s">
        <v>55</v>
      </c>
      <c r="AM282" t="s">
        <v>55</v>
      </c>
      <c r="AO282" t="s">
        <v>55</v>
      </c>
      <c r="AQ282" t="s">
        <v>54</v>
      </c>
      <c r="AT282" t="s">
        <v>54</v>
      </c>
      <c r="AW282" t="s">
        <v>54</v>
      </c>
      <c r="BD282" t="s">
        <v>1625</v>
      </c>
      <c r="BG282" t="s">
        <v>1639</v>
      </c>
      <c r="BH282" t="s">
        <v>1640</v>
      </c>
      <c r="BI282" t="s">
        <v>2113</v>
      </c>
      <c r="BJ282" s="3"/>
    </row>
    <row r="283" ht="25.5" customHeight="1" spans="1:62">
      <c r="A283" t="s">
        <v>1964</v>
      </c>
      <c r="B283" t="s">
        <v>1625</v>
      </c>
      <c r="F283" s="2"/>
      <c r="K283" s="3" t="str">
        <f>HYPERLINK("https://www.instagram.com/p/DFEAUhPKYlb/","https://www.instagram.com/p/DFEAUhPKYlb/")</f>
        <v>https://www.instagram.com/p/DFEAUhPKYlb/</v>
      </c>
      <c r="L283" t="s">
        <v>1630</v>
      </c>
      <c r="N283" s="3" t="str">
        <f>HYPERLINK("https://app.hypeauditor.com/my-network/influencer/32902621/analytics/instagram/vanyblue_","https://app.hypeauditor.com/my-network/influencer/32902621/analytics/instagram/vanyblue_")</f>
        <v>https://app.hypeauditor.com/my-network/influencer/32902621/analytics/instagram/vanyblue_</v>
      </c>
      <c r="O283" s="3" t="str">
        <f>HYPERLINK("https://www.instagram.com/p/DFEAUhPKYlb/","https://www.instagram.com/p/DFEAUhPKYlb/")</f>
        <v>https://www.instagram.com/p/DFEAUhPKYlb/</v>
      </c>
      <c r="P283" t="s">
        <v>65</v>
      </c>
      <c r="Q283" t="s">
        <v>116</v>
      </c>
      <c r="R283" t="s">
        <v>1652</v>
      </c>
      <c r="S283" t="s">
        <v>54</v>
      </c>
      <c r="W283" t="s">
        <v>55</v>
      </c>
      <c r="Y283" t="s">
        <v>54</v>
      </c>
      <c r="AA283" t="s">
        <v>55</v>
      </c>
      <c r="AE283" t="s">
        <v>55</v>
      </c>
      <c r="AG283" t="s">
        <v>54</v>
      </c>
      <c r="AI283" t="s">
        <v>55</v>
      </c>
      <c r="AK283" t="s">
        <v>55</v>
      </c>
      <c r="AM283" t="s">
        <v>55</v>
      </c>
      <c r="AO283" t="s">
        <v>55</v>
      </c>
      <c r="AQ283" t="s">
        <v>54</v>
      </c>
      <c r="AT283" t="s">
        <v>54</v>
      </c>
      <c r="AW283" t="s">
        <v>54</v>
      </c>
      <c r="BD283" t="s">
        <v>1638</v>
      </c>
      <c r="BG283" t="s">
        <v>1639</v>
      </c>
      <c r="BH283" t="s">
        <v>1640</v>
      </c>
      <c r="BI283" t="s">
        <v>1964</v>
      </c>
      <c r="BJ283" s="3" t="str">
        <f>HYPERLINK("https://www.instagram.com/p/DFEAUhPKYlb/","https://www.instagram.com/p/DFEAUhPKYlb/")</f>
        <v>https://www.instagram.com/p/DFEAUhPKYlb/</v>
      </c>
    </row>
    <row r="284" ht="25.5" customHeight="1" spans="1:62">
      <c r="A284" t="s">
        <v>1721</v>
      </c>
      <c r="B284" t="s">
        <v>1625</v>
      </c>
      <c r="C284" t="s">
        <v>3088</v>
      </c>
      <c r="F284" s="2"/>
      <c r="K284" s="3"/>
      <c r="L284" t="s">
        <v>1630</v>
      </c>
      <c r="N284" s="3" t="str">
        <f>HYPERLINK("https://app.hypeauditor.com/my-network/influencer/32909603/analytics/instagram/elvis_tux","https://app.hypeauditor.com/my-network/influencer/32909603/analytics/instagram/elvis_tux")</f>
        <v>https://app.hypeauditor.com/my-network/influencer/32909603/analytics/instagram/elvis_tux</v>
      </c>
      <c r="O284" s="3"/>
      <c r="P284" t="s">
        <v>65</v>
      </c>
      <c r="Q284" t="s">
        <v>116</v>
      </c>
      <c r="R284" t="s">
        <v>1703</v>
      </c>
      <c r="S284" t="s">
        <v>54</v>
      </c>
      <c r="W284" t="s">
        <v>55</v>
      </c>
      <c r="Y284" t="s">
        <v>54</v>
      </c>
      <c r="AA284" t="s">
        <v>55</v>
      </c>
      <c r="AE284" t="s">
        <v>55</v>
      </c>
      <c r="AG284" t="s">
        <v>54</v>
      </c>
      <c r="AI284" t="s">
        <v>55</v>
      </c>
      <c r="AK284" t="s">
        <v>55</v>
      </c>
      <c r="AM284" t="s">
        <v>55</v>
      </c>
      <c r="AO284" t="s">
        <v>55</v>
      </c>
      <c r="AQ284" t="s">
        <v>54</v>
      </c>
      <c r="AT284" t="s">
        <v>54</v>
      </c>
      <c r="AW284" t="s">
        <v>54</v>
      </c>
      <c r="BD284" t="s">
        <v>1625</v>
      </c>
      <c r="BG284" t="s">
        <v>1639</v>
      </c>
      <c r="BH284" t="s">
        <v>1640</v>
      </c>
      <c r="BI284" t="s">
        <v>1721</v>
      </c>
      <c r="BJ284" s="3"/>
    </row>
    <row r="285" ht="25.5" customHeight="1" spans="2:62">
      <c r="B285" t="s">
        <v>1625</v>
      </c>
      <c r="F285" s="2"/>
      <c r="K285" s="3"/>
      <c r="L285" t="s">
        <v>1630</v>
      </c>
      <c r="N285" s="3"/>
      <c r="O285" s="3"/>
      <c r="P285" t="s">
        <v>1116</v>
      </c>
      <c r="S285" t="s">
        <v>54</v>
      </c>
      <c r="W285" t="s">
        <v>55</v>
      </c>
      <c r="Y285" t="s">
        <v>54</v>
      </c>
      <c r="AA285" t="s">
        <v>55</v>
      </c>
      <c r="AE285" t="s">
        <v>55</v>
      </c>
      <c r="AG285" t="s">
        <v>54</v>
      </c>
      <c r="AI285" t="s">
        <v>55</v>
      </c>
      <c r="AK285" t="s">
        <v>55</v>
      </c>
      <c r="AM285" t="s">
        <v>55</v>
      </c>
      <c r="AO285" t="s">
        <v>55</v>
      </c>
      <c r="AQ285" t="s">
        <v>54</v>
      </c>
      <c r="AT285" t="s">
        <v>54</v>
      </c>
      <c r="AW285" t="s">
        <v>54</v>
      </c>
      <c r="BD285" t="s">
        <v>1625</v>
      </c>
      <c r="BG285" t="s">
        <v>1639</v>
      </c>
      <c r="BH285" t="s">
        <v>1640</v>
      </c>
      <c r="BJ285" s="3"/>
    </row>
    <row r="286" ht="25.5" customHeight="1" spans="1:62">
      <c r="A286" t="s">
        <v>2207</v>
      </c>
      <c r="B286" t="s">
        <v>1625</v>
      </c>
      <c r="F286" s="2"/>
      <c r="J286" t="s">
        <v>1644</v>
      </c>
      <c r="K286" s="3" t="str">
        <f>HYPERLINK("https://www.instagram.com/reel/DFLlg_vxwct/?igsh=eHZwdnhxbWw5N25i","https://www.instagram.com/reel/DFLlg_vxwct/?igsh=eHZwdnhxbWw5N25i")</f>
        <v>https://www.instagram.com/reel/DFLlg_vxwct/?igsh=eHZwdnhxbWw5N25i</v>
      </c>
      <c r="L286" t="s">
        <v>1630</v>
      </c>
      <c r="N286" s="3" t="str">
        <f>HYPERLINK("https://app.hypeauditor.com/my-network/influencer/1157326/analytics/instagram/pagutiles","https://app.hypeauditor.com/my-network/influencer/1157326/analytics/instagram/pagutiles")</f>
        <v>https://app.hypeauditor.com/my-network/influencer/1157326/analytics/instagram/pagutiles</v>
      </c>
      <c r="O286" s="3"/>
      <c r="P286" t="s">
        <v>65</v>
      </c>
      <c r="Q286" t="s">
        <v>116</v>
      </c>
      <c r="R286" t="s">
        <v>1703</v>
      </c>
      <c r="S286" t="s">
        <v>54</v>
      </c>
      <c r="W286" t="s">
        <v>55</v>
      </c>
      <c r="Y286" t="s">
        <v>54</v>
      </c>
      <c r="AA286" t="s">
        <v>55</v>
      </c>
      <c r="AE286" t="s">
        <v>55</v>
      </c>
      <c r="AG286" t="s">
        <v>54</v>
      </c>
      <c r="AI286" t="s">
        <v>55</v>
      </c>
      <c r="AK286" t="s">
        <v>55</v>
      </c>
      <c r="AM286" t="s">
        <v>55</v>
      </c>
      <c r="AO286" t="s">
        <v>55</v>
      </c>
      <c r="AQ286" t="s">
        <v>54</v>
      </c>
      <c r="AT286" t="s">
        <v>54</v>
      </c>
      <c r="AW286" t="s">
        <v>54</v>
      </c>
      <c r="BD286" t="s">
        <v>1638</v>
      </c>
      <c r="BG286" t="s">
        <v>1639</v>
      </c>
      <c r="BH286" t="s">
        <v>1640</v>
      </c>
      <c r="BI286" t="s">
        <v>2207</v>
      </c>
      <c r="BJ286" s="3" t="str">
        <f>HYPERLINK("https://www.instagram.com/reel/DFLlg_vxwct/?igsh=eHZwdnhxbWw5N25i","https://www.instagram.com/reel/DFLlg_vxwct/?igsh=eHZwdnhxbWw5N25i")</f>
        <v>https://www.instagram.com/reel/DFLlg_vxwct/?igsh=eHZwdnhxbWw5N25i</v>
      </c>
    </row>
    <row r="287" ht="25.5" customHeight="1" spans="1:62">
      <c r="A287" t="s">
        <v>3089</v>
      </c>
      <c r="B287" t="s">
        <v>1625</v>
      </c>
      <c r="F287" s="2"/>
      <c r="K287" s="3" t="str">
        <f>HYPERLINK("https://www.tiktok.com/@elproyectocreativo/video/7460709309622586629","https://www.tiktok.com/@elproyectocreativo/video/7460709309622586629")</f>
        <v>https://www.tiktok.com/@elproyectocreativo/video/7460709309622586629</v>
      </c>
      <c r="L287" t="s">
        <v>1630</v>
      </c>
      <c r="N287" s="3"/>
      <c r="O287" s="3" t="str">
        <f>HYPERLINK("https://www.tiktok.com/@elproyectocreativo","https://www.tiktok.com/@elproyectocreativo")</f>
        <v>https://www.tiktok.com/@elproyectocreativo</v>
      </c>
      <c r="P287" t="s">
        <v>56</v>
      </c>
      <c r="Q287" t="s">
        <v>57</v>
      </c>
      <c r="R287" t="s">
        <v>1652</v>
      </c>
      <c r="S287" t="s">
        <v>54</v>
      </c>
      <c r="W287" t="s">
        <v>55</v>
      </c>
      <c r="Y287" t="s">
        <v>54</v>
      </c>
      <c r="AA287" t="s">
        <v>55</v>
      </c>
      <c r="AE287" t="s">
        <v>55</v>
      </c>
      <c r="AG287" t="s">
        <v>54</v>
      </c>
      <c r="AI287" t="s">
        <v>55</v>
      </c>
      <c r="AK287" t="s">
        <v>55</v>
      </c>
      <c r="AM287" t="s">
        <v>55</v>
      </c>
      <c r="AO287" t="s">
        <v>55</v>
      </c>
      <c r="AQ287" t="s">
        <v>54</v>
      </c>
      <c r="AT287" t="s">
        <v>54</v>
      </c>
      <c r="AW287" t="s">
        <v>54</v>
      </c>
      <c r="BD287" t="s">
        <v>1638</v>
      </c>
      <c r="BG287" t="s">
        <v>1639</v>
      </c>
      <c r="BH287" t="s">
        <v>1640</v>
      </c>
      <c r="BI287" t="s">
        <v>2499</v>
      </c>
      <c r="BJ287" s="3" t="str">
        <f>HYPERLINK("https://www.tiktok.com/@elproyectocreativo/video/7460709309622586629","https://www.tiktok.com/@elproyectocreativo/video/7460709309622586629")</f>
        <v>https://www.tiktok.com/@elproyectocreativo/video/7460709309622586629</v>
      </c>
    </row>
    <row r="288" ht="25.5" customHeight="1" spans="1:62">
      <c r="A288" t="s">
        <v>3090</v>
      </c>
      <c r="B288" t="s">
        <v>1625</v>
      </c>
      <c r="F288" s="2"/>
      <c r="K288" s="3" t="str">
        <f>HYPERLINK("https://www.tiktok.com/@ell.nikola","https://www.tiktok.com/@ell.nikola")</f>
        <v>https://www.tiktok.com/@ell.nikola</v>
      </c>
      <c r="L288" t="s">
        <v>1630</v>
      </c>
      <c r="N288" s="3"/>
      <c r="O288" s="3" t="str">
        <f>HYPERLINK("https://www.tiktok.com/@ell.nikola","https://www.tiktok.com/@ell.nikola")</f>
        <v>https://www.tiktok.com/@ell.nikola</v>
      </c>
      <c r="P288" t="s">
        <v>56</v>
      </c>
      <c r="Q288" t="s">
        <v>57</v>
      </c>
      <c r="R288" t="s">
        <v>1652</v>
      </c>
      <c r="S288" t="s">
        <v>54</v>
      </c>
      <c r="W288" t="s">
        <v>55</v>
      </c>
      <c r="Y288" t="s">
        <v>54</v>
      </c>
      <c r="AA288" t="s">
        <v>55</v>
      </c>
      <c r="AE288" t="s">
        <v>55</v>
      </c>
      <c r="AG288" t="s">
        <v>54</v>
      </c>
      <c r="AI288" t="s">
        <v>55</v>
      </c>
      <c r="AK288" t="s">
        <v>55</v>
      </c>
      <c r="AM288" t="s">
        <v>55</v>
      </c>
      <c r="AO288" t="s">
        <v>55</v>
      </c>
      <c r="AQ288" t="s">
        <v>54</v>
      </c>
      <c r="AT288" t="s">
        <v>54</v>
      </c>
      <c r="AW288" t="s">
        <v>54</v>
      </c>
      <c r="BD288" t="s">
        <v>1638</v>
      </c>
      <c r="BG288" t="s">
        <v>1639</v>
      </c>
      <c r="BH288" t="s">
        <v>1640</v>
      </c>
      <c r="BI288" t="s">
        <v>2499</v>
      </c>
      <c r="BJ288" s="3" t="str">
        <f>HYPERLINK("https://www.tiktok.com/@ell.nikola","https://www.tiktok.com/@ell.nikola")</f>
        <v>https://www.tiktok.com/@ell.nikola</v>
      </c>
    </row>
    <row r="289" ht="25.5" customHeight="1" spans="1:62">
      <c r="A289" t="s">
        <v>2892</v>
      </c>
      <c r="B289" t="s">
        <v>1625</v>
      </c>
      <c r="F289" s="2"/>
      <c r="K289" s="3"/>
      <c r="L289" t="s">
        <v>1630</v>
      </c>
      <c r="N289" s="3"/>
      <c r="O289" s="3"/>
      <c r="P289" t="s">
        <v>56</v>
      </c>
      <c r="Q289" t="s">
        <v>57</v>
      </c>
      <c r="S289" t="s">
        <v>54</v>
      </c>
      <c r="W289" t="s">
        <v>55</v>
      </c>
      <c r="Y289" t="s">
        <v>54</v>
      </c>
      <c r="AA289" t="s">
        <v>55</v>
      </c>
      <c r="AE289" t="s">
        <v>55</v>
      </c>
      <c r="AG289" t="s">
        <v>54</v>
      </c>
      <c r="AI289" t="s">
        <v>55</v>
      </c>
      <c r="AK289" t="s">
        <v>55</v>
      </c>
      <c r="AM289" t="s">
        <v>55</v>
      </c>
      <c r="AO289" t="s">
        <v>55</v>
      </c>
      <c r="AQ289" t="s">
        <v>54</v>
      </c>
      <c r="AT289" t="s">
        <v>54</v>
      </c>
      <c r="AW289" t="s">
        <v>54</v>
      </c>
      <c r="BD289" t="s">
        <v>1625</v>
      </c>
      <c r="BG289" t="s">
        <v>1639</v>
      </c>
      <c r="BH289" t="s">
        <v>1640</v>
      </c>
      <c r="BI289" t="s">
        <v>2892</v>
      </c>
      <c r="BJ289" s="3"/>
    </row>
    <row r="290" ht="25.5" customHeight="1" spans="2:62">
      <c r="B290" t="s">
        <v>1625</v>
      </c>
      <c r="F290" s="2"/>
      <c r="K290" s="3" t="str">
        <f>HYPERLINK("https://www.tiktok.com/@topesdegama/video/7466447623633784096?lang=es","https://www.tiktok.com/@topesdegama/video/7466447623633784096?lang=es")</f>
        <v>https://www.tiktok.com/@topesdegama/video/7466447623633784096?lang=es</v>
      </c>
      <c r="L290" t="s">
        <v>1630</v>
      </c>
      <c r="N290" s="3" t="str">
        <f>HYPERLINK("https://app.hypeauditor.com/my-network/influencer/72629/analytics/instagram/topesdegama","https://app.hypeauditor.com/my-network/influencer/72629/analytics/instagram/topesdegama")</f>
        <v>https://app.hypeauditor.com/my-network/influencer/72629/analytics/instagram/topesdegama</v>
      </c>
      <c r="O290" s="3"/>
      <c r="P290" t="s">
        <v>56</v>
      </c>
      <c r="Q290" t="s">
        <v>57</v>
      </c>
      <c r="R290" t="s">
        <v>1652</v>
      </c>
      <c r="S290" t="s">
        <v>54</v>
      </c>
      <c r="W290" t="s">
        <v>55</v>
      </c>
      <c r="Y290" t="s">
        <v>54</v>
      </c>
      <c r="AA290" t="s">
        <v>55</v>
      </c>
      <c r="AE290" t="s">
        <v>55</v>
      </c>
      <c r="AG290" t="s">
        <v>54</v>
      </c>
      <c r="AI290" t="s">
        <v>55</v>
      </c>
      <c r="AK290" t="s">
        <v>55</v>
      </c>
      <c r="AM290" t="s">
        <v>55</v>
      </c>
      <c r="AO290" t="s">
        <v>55</v>
      </c>
      <c r="AQ290" t="s">
        <v>54</v>
      </c>
      <c r="AT290" t="s">
        <v>54</v>
      </c>
      <c r="AW290" t="s">
        <v>54</v>
      </c>
      <c r="BD290" t="s">
        <v>1638</v>
      </c>
      <c r="BG290" t="s">
        <v>1639</v>
      </c>
      <c r="BH290" t="s">
        <v>1640</v>
      </c>
      <c r="BI290" t="s">
        <v>1017</v>
      </c>
      <c r="BJ290" s="3" t="str">
        <f>HYPERLINK("https://www.tiktok.com/@topesdegama/video/7466447623633784096?lang=es","https://www.tiktok.com/@topesdegama/video/7466447623633784096?lang=es")</f>
        <v>https://www.tiktok.com/@topesdegama/video/7466447623633784096?lang=es</v>
      </c>
    </row>
    <row r="291" ht="25.5" customHeight="1" spans="1:62">
      <c r="A291" t="s">
        <v>3091</v>
      </c>
      <c r="B291" t="s">
        <v>1638</v>
      </c>
      <c r="F291" s="2"/>
      <c r="K291" s="3" t="str">
        <f>HYPERLINK("https://vm.tiktok.com/ZGdUMtDuS/","https://vm.tiktok.com/ZGdUMtDuS/")</f>
        <v>https://vm.tiktok.com/ZGdUMtDuS/</v>
      </c>
      <c r="L291" t="s">
        <v>1630</v>
      </c>
      <c r="N291" s="3"/>
      <c r="O291" s="3"/>
      <c r="P291" t="s">
        <v>56</v>
      </c>
      <c r="Q291" t="s">
        <v>57</v>
      </c>
      <c r="S291" t="s">
        <v>54</v>
      </c>
      <c r="W291" t="s">
        <v>55</v>
      </c>
      <c r="Y291" t="s">
        <v>54</v>
      </c>
      <c r="AA291" t="s">
        <v>55</v>
      </c>
      <c r="AE291" t="s">
        <v>55</v>
      </c>
      <c r="AG291" t="s">
        <v>54</v>
      </c>
      <c r="AI291" t="s">
        <v>55</v>
      </c>
      <c r="AK291" t="s">
        <v>55</v>
      </c>
      <c r="AM291" t="s">
        <v>55</v>
      </c>
      <c r="AO291" t="s">
        <v>55</v>
      </c>
      <c r="AQ291" t="s">
        <v>54</v>
      </c>
      <c r="AT291" t="s">
        <v>54</v>
      </c>
      <c r="AW291" t="s">
        <v>54</v>
      </c>
      <c r="BD291" t="s">
        <v>1638</v>
      </c>
      <c r="BG291" t="s">
        <v>1639</v>
      </c>
      <c r="BH291" t="s">
        <v>1640</v>
      </c>
      <c r="BI291" t="s">
        <v>2641</v>
      </c>
      <c r="BJ291" s="3" t="str">
        <f>HYPERLINK("https://vm.tiktok.com/ZGdUMtDuS/","https://vm.tiktok.com/ZGdUMtDuS/")</f>
        <v>https://vm.tiktok.com/ZGdUMtDuS/</v>
      </c>
    </row>
    <row r="292" ht="25.5" customHeight="1" spans="2:62">
      <c r="B292" t="s">
        <v>1625</v>
      </c>
      <c r="F292" s="2"/>
      <c r="K292" s="3" t="str">
        <f>HYPERLINK("https://www.tiktok.com/@geekformante/video/7462067343154351365?_r=1&amp;_t=ZM-8tELyYegf3u","https://www.tiktok.com/@geekformante/video/7462067343154351365?_r=1&amp;_t=ZM-8tELyYegf3u")</f>
        <v>https://www.tiktok.com/@geekformante/video/7462067343154351365?_r=1&amp;_t=ZM-8tELyYegf3u</v>
      </c>
      <c r="L292" t="s">
        <v>1630</v>
      </c>
      <c r="N292" s="3"/>
      <c r="O292" s="3"/>
      <c r="P292" t="s">
        <v>56</v>
      </c>
      <c r="Q292" t="s">
        <v>57</v>
      </c>
      <c r="R292" t="s">
        <v>1753</v>
      </c>
      <c r="S292" t="s">
        <v>54</v>
      </c>
      <c r="W292" t="s">
        <v>55</v>
      </c>
      <c r="Y292" t="s">
        <v>54</v>
      </c>
      <c r="AA292" t="s">
        <v>55</v>
      </c>
      <c r="AE292" t="s">
        <v>55</v>
      </c>
      <c r="AG292" t="s">
        <v>54</v>
      </c>
      <c r="AI292" t="s">
        <v>55</v>
      </c>
      <c r="AK292" t="s">
        <v>55</v>
      </c>
      <c r="AM292" t="s">
        <v>55</v>
      </c>
      <c r="AO292" t="s">
        <v>55</v>
      </c>
      <c r="AQ292" t="s">
        <v>54</v>
      </c>
      <c r="AT292" t="s">
        <v>54</v>
      </c>
      <c r="AW292" t="s">
        <v>54</v>
      </c>
      <c r="BD292" t="s">
        <v>1638</v>
      </c>
      <c r="BG292" t="s">
        <v>1639</v>
      </c>
      <c r="BH292" t="s">
        <v>1640</v>
      </c>
      <c r="BI292" t="s">
        <v>2279</v>
      </c>
      <c r="BJ292" s="3" t="str">
        <f>HYPERLINK("https://www.tiktok.com/@geekformante/video/7462067343154351365?_r=1&amp;_t=ZM-8tELyYegf3u","https://www.tiktok.com/@geekformante/video/7462067343154351365?_r=1&amp;_t=ZM-8tELyYegf3u")</f>
        <v>https://www.tiktok.com/@geekformante/video/7462067343154351365?_r=1&amp;_t=ZM-8tELyYegf3u</v>
      </c>
    </row>
    <row r="293" ht="25.5" customHeight="1" spans="1:62">
      <c r="A293" t="s">
        <v>3092</v>
      </c>
      <c r="B293" t="s">
        <v>1625</v>
      </c>
      <c r="F293" s="2"/>
      <c r="K293" s="3" t="str">
        <f>HYPERLINK("https://www.instagram.com/reel/DEiGYp8NoXk/?igsh=MTBtaW9kZXR6ODFnYg==","https://www.instagram.com/reel/DEiGYp8NoXk/?igsh=MTBtaW9kZXR6ODFnYg==")</f>
        <v>https://www.instagram.com/reel/DEiGYp8NoXk/?igsh=MTBtaW9kZXR6ODFnYg==</v>
      </c>
      <c r="L293" t="s">
        <v>1630</v>
      </c>
      <c r="N293" s="3"/>
      <c r="O293" s="3"/>
      <c r="P293" t="s">
        <v>65</v>
      </c>
      <c r="Q293" t="s">
        <v>116</v>
      </c>
      <c r="R293" t="s">
        <v>1652</v>
      </c>
      <c r="S293" t="s">
        <v>54</v>
      </c>
      <c r="W293" t="s">
        <v>55</v>
      </c>
      <c r="Y293" t="s">
        <v>54</v>
      </c>
      <c r="AA293" t="s">
        <v>55</v>
      </c>
      <c r="AE293" t="s">
        <v>55</v>
      </c>
      <c r="AG293" t="s">
        <v>54</v>
      </c>
      <c r="AI293" t="s">
        <v>55</v>
      </c>
      <c r="AK293" t="s">
        <v>55</v>
      </c>
      <c r="AM293" t="s">
        <v>55</v>
      </c>
      <c r="AO293" t="s">
        <v>55</v>
      </c>
      <c r="AQ293" t="s">
        <v>54</v>
      </c>
      <c r="AT293" t="s">
        <v>54</v>
      </c>
      <c r="AW293" t="s">
        <v>54</v>
      </c>
      <c r="BD293" t="s">
        <v>1638</v>
      </c>
      <c r="BG293" t="s">
        <v>1639</v>
      </c>
      <c r="BH293" t="s">
        <v>1640</v>
      </c>
      <c r="BI293" t="s">
        <v>1860</v>
      </c>
      <c r="BJ293" s="3" t="str">
        <f>HYPERLINK("https://www.instagram.com/reel/DEiGYp8NoXk/?igsh=MTBtaW9kZXR6ODFnYg==","https://www.instagram.com/reel/DEiGYp8NoXk/?igsh=MTBtaW9kZXR6ODFnYg==")</f>
        <v>https://www.instagram.com/reel/DEiGYp8NoXk/?igsh=MTBtaW9kZXR6ODFnYg==</v>
      </c>
    </row>
    <row r="294" ht="25.5" customHeight="1" spans="1:62">
      <c r="A294" t="s">
        <v>3093</v>
      </c>
      <c r="B294" t="s">
        <v>1625</v>
      </c>
      <c r="F294" s="2"/>
      <c r="K294" s="3" t="str">
        <f>HYPERLINK("https://youtube.com/shorts/7pPSrvE4JP0?si=N0JZjH_8mbsu9GS3","https://youtube.com/shorts/7pPSrvE4JP0?si=N0JZjH_8mbsu9GS3")</f>
        <v>https://youtube.com/shorts/7pPSrvE4JP0?si=N0JZjH_8mbsu9GS3</v>
      </c>
      <c r="L294" t="s">
        <v>1630</v>
      </c>
      <c r="N294" s="3"/>
      <c r="O294" s="3"/>
      <c r="P294" t="s">
        <v>269</v>
      </c>
      <c r="Q294" t="s">
        <v>423</v>
      </c>
      <c r="R294" t="s">
        <v>1652</v>
      </c>
      <c r="S294" t="s">
        <v>54</v>
      </c>
      <c r="W294" t="s">
        <v>55</v>
      </c>
      <c r="Y294" t="s">
        <v>54</v>
      </c>
      <c r="AA294" t="s">
        <v>55</v>
      </c>
      <c r="AE294" t="s">
        <v>55</v>
      </c>
      <c r="AG294" t="s">
        <v>54</v>
      </c>
      <c r="AI294" t="s">
        <v>55</v>
      </c>
      <c r="AK294" t="s">
        <v>55</v>
      </c>
      <c r="AM294" t="s">
        <v>55</v>
      </c>
      <c r="AO294" t="s">
        <v>55</v>
      </c>
      <c r="AQ294" t="s">
        <v>54</v>
      </c>
      <c r="AT294" t="s">
        <v>54</v>
      </c>
      <c r="AW294" t="s">
        <v>54</v>
      </c>
      <c r="BD294" t="s">
        <v>1638</v>
      </c>
      <c r="BG294" t="s">
        <v>1639</v>
      </c>
      <c r="BH294" t="s">
        <v>1640</v>
      </c>
      <c r="BI294" t="s">
        <v>1860</v>
      </c>
      <c r="BJ294" s="3" t="str">
        <f>HYPERLINK("https://youtube.com/shorts/7pPSrvE4JP0?si=N0JZjH_8mbsu9GS3","https://youtube.com/shorts/7pPSrvE4JP0?si=N0JZjH_8mbsu9GS3")</f>
        <v>https://youtube.com/shorts/7pPSrvE4JP0?si=N0JZjH_8mbsu9GS3</v>
      </c>
    </row>
    <row r="295" ht="25.5" customHeight="1" spans="1:62">
      <c r="A295" t="s">
        <v>3094</v>
      </c>
      <c r="B295" t="s">
        <v>1625</v>
      </c>
      <c r="F295" s="2"/>
      <c r="J295" t="s">
        <v>1644</v>
      </c>
      <c r="K295" s="3" t="str">
        <f>HYPERLINK("https://www.tiktok.com/@inspiredanalyst/video/7457556665387322654?is_from_webapp=1&amp;sender_device=pc&amp;web_id=7421277035094771208","https://www.tiktok.com/@inspiredanalyst/video/7457556665387322654?is_from_webapp=1&amp;sender_device=pc&amp;web_id=7421277035094771208")</f>
        <v>https://www.tiktok.com/@inspiredanalyst/video/7457556665387322654?is_from_webapp=1&amp;sender_device=pc&amp;web_id=7421277035094771208</v>
      </c>
      <c r="L295" t="s">
        <v>1630</v>
      </c>
      <c r="N295" s="3"/>
      <c r="O295" s="3"/>
      <c r="P295" t="s">
        <v>56</v>
      </c>
      <c r="Q295" t="s">
        <v>57</v>
      </c>
      <c r="R295" t="s">
        <v>1693</v>
      </c>
      <c r="S295" t="s">
        <v>54</v>
      </c>
      <c r="W295" t="s">
        <v>55</v>
      </c>
      <c r="Y295" t="s">
        <v>54</v>
      </c>
      <c r="AA295" t="s">
        <v>55</v>
      </c>
      <c r="AE295" t="s">
        <v>55</v>
      </c>
      <c r="AG295" t="s">
        <v>54</v>
      </c>
      <c r="AI295" t="s">
        <v>55</v>
      </c>
      <c r="AK295" t="s">
        <v>55</v>
      </c>
      <c r="AM295" t="s">
        <v>55</v>
      </c>
      <c r="AO295" t="s">
        <v>55</v>
      </c>
      <c r="AQ295" t="s">
        <v>54</v>
      </c>
      <c r="AT295" t="s">
        <v>54</v>
      </c>
      <c r="AW295" t="s">
        <v>54</v>
      </c>
      <c r="BD295" t="s">
        <v>1638</v>
      </c>
      <c r="BG295" t="s">
        <v>1639</v>
      </c>
      <c r="BH295" t="s">
        <v>1640</v>
      </c>
      <c r="BI295" t="s">
        <v>1689</v>
      </c>
      <c r="BJ295" s="3" t="str">
        <f>HYPERLINK("https://www.tiktok.com/@inspiredanalyst/video/7457556665387322654?is_from_webapp=1&amp;sender_device=pc&amp;web_id=7421277035094771208","https://www.tiktok.com/@inspiredanalyst/video/7457556665387322654?is_from_webapp=1&amp;sender_device=pc&amp;web_id=7421277035094771208")</f>
        <v>https://www.tiktok.com/@inspiredanalyst/video/7457556665387322654?is_from_webapp=1&amp;sender_device=pc&amp;web_id=7421277035094771208</v>
      </c>
    </row>
    <row r="296" ht="25.5" customHeight="1" spans="1:62">
      <c r="A296" t="s">
        <v>3095</v>
      </c>
      <c r="B296" t="s">
        <v>1625</v>
      </c>
      <c r="F296" s="2"/>
      <c r="J296" t="s">
        <v>1644</v>
      </c>
      <c r="K296" s="3" t="str">
        <f>HYPERLINK("https://youtube.com/shorts/rB1SeedwMwk","https://youtube.com/shorts/rB1SeedwMwk")</f>
        <v>https://youtube.com/shorts/rB1SeedwMwk</v>
      </c>
      <c r="L296" t="s">
        <v>1630</v>
      </c>
      <c r="N296" s="3"/>
      <c r="O296" s="3"/>
      <c r="P296" t="s">
        <v>269</v>
      </c>
      <c r="Q296" t="s">
        <v>423</v>
      </c>
      <c r="R296" t="s">
        <v>1693</v>
      </c>
      <c r="S296" t="s">
        <v>54</v>
      </c>
      <c r="W296" t="s">
        <v>55</v>
      </c>
      <c r="Y296" t="s">
        <v>54</v>
      </c>
      <c r="AA296" t="s">
        <v>55</v>
      </c>
      <c r="AE296" t="s">
        <v>55</v>
      </c>
      <c r="AG296" t="s">
        <v>54</v>
      </c>
      <c r="AI296" t="s">
        <v>55</v>
      </c>
      <c r="AK296" t="s">
        <v>55</v>
      </c>
      <c r="AM296" t="s">
        <v>55</v>
      </c>
      <c r="AO296" t="s">
        <v>55</v>
      </c>
      <c r="AQ296" t="s">
        <v>54</v>
      </c>
      <c r="AT296" t="s">
        <v>54</v>
      </c>
      <c r="AW296" t="s">
        <v>54</v>
      </c>
      <c r="BD296" t="s">
        <v>1638</v>
      </c>
      <c r="BG296" t="s">
        <v>1639</v>
      </c>
      <c r="BH296" t="s">
        <v>1640</v>
      </c>
      <c r="BI296" t="s">
        <v>1689</v>
      </c>
      <c r="BJ296" s="3" t="str">
        <f>HYPERLINK("https://youtube.com/shorts/rB1SeedwMwk","https://youtube.com/shorts/rB1SeedwMwk")</f>
        <v>https://youtube.com/shorts/rB1SeedwMwk</v>
      </c>
    </row>
    <row r="297" ht="25.5" customHeight="1" spans="1:62">
      <c r="A297" t="s">
        <v>3096</v>
      </c>
      <c r="B297" t="s">
        <v>1625</v>
      </c>
      <c r="F297" s="2"/>
      <c r="J297" t="s">
        <v>1644</v>
      </c>
      <c r="K297" s="3" t="str">
        <f>HYPERLINK("https://www.linkedin.com/posts/inspiredanalyst_aidesigner-wegicai-aitech-activity-7282768668445310976-lM4P?utm_source=share&amp;utm_medium=member_ios","https://www.linkedin.com/posts/inspiredanalyst_aidesigner-wegicai-aitech-activity-7282768668445310976-lM4P?utm_source=share&amp;utm_medium=member_ios")</f>
        <v>https://www.linkedin.com/posts/inspiredanalyst_aidesigner-wegicai-aitech-activity-7282768668445310976-lM4P?utm_source=share&amp;utm_medium=member_ios</v>
      </c>
      <c r="L297" t="s">
        <v>1630</v>
      </c>
      <c r="N297" s="3"/>
      <c r="O297" s="3"/>
      <c r="P297" t="s">
        <v>3097</v>
      </c>
      <c r="Q297" t="s">
        <v>3098</v>
      </c>
      <c r="R297" t="s">
        <v>1693</v>
      </c>
      <c r="S297" t="s">
        <v>54</v>
      </c>
      <c r="W297" t="s">
        <v>55</v>
      </c>
      <c r="Y297" t="s">
        <v>54</v>
      </c>
      <c r="AA297" t="s">
        <v>55</v>
      </c>
      <c r="AE297" t="s">
        <v>55</v>
      </c>
      <c r="AG297" t="s">
        <v>54</v>
      </c>
      <c r="AI297" t="s">
        <v>55</v>
      </c>
      <c r="AK297" t="s">
        <v>55</v>
      </c>
      <c r="AM297" t="s">
        <v>55</v>
      </c>
      <c r="AO297" t="s">
        <v>55</v>
      </c>
      <c r="AQ297" t="s">
        <v>54</v>
      </c>
      <c r="AT297" t="s">
        <v>54</v>
      </c>
      <c r="AW297" t="s">
        <v>54</v>
      </c>
      <c r="BD297" t="s">
        <v>1638</v>
      </c>
      <c r="BG297" t="s">
        <v>1639</v>
      </c>
      <c r="BH297" t="s">
        <v>1640</v>
      </c>
      <c r="BI297" t="s">
        <v>1689</v>
      </c>
      <c r="BJ297" s="3" t="str">
        <f>HYPERLINK("https://www.linkedin.com/posts/inspiredanalyst_aidesigner-wegicai-aitech-activity-7282768668445310976-lM4P?utm_source=share&amp;utm_medium=member_ios","https://www.linkedin.com/posts/inspiredanalyst_aidesigner-wegicai-aitech-activity-7282768668445310976-lM4P?utm_source=share&amp;utm_medium=member_ios")</f>
        <v>https://www.linkedin.com/posts/inspiredanalyst_aidesigner-wegicai-aitech-activity-7282768668445310976-lM4P?utm_source=share&amp;utm_medium=member_ios</v>
      </c>
    </row>
    <row r="298" ht="25.5" customHeight="1" spans="1:62">
      <c r="A298" t="s">
        <v>3099</v>
      </c>
      <c r="B298" t="s">
        <v>1625</v>
      </c>
      <c r="F298" s="2"/>
      <c r="J298" t="s">
        <v>1644</v>
      </c>
      <c r="K298" s="3" t="str">
        <f>HYPERLINK("https://m.facebook.com/story.php?story_fbid=pfbid02MfXRpyc56eZn8hXR9TsfAS87BA1eaG9becKtKUNGesm1rhuUYTPXtAXC2x64NZLxl&amp;id=100064291616143&amp;mibextid=wwXIfr","https://m.facebook.com/story.php?story_fbid=pfbid02MfXRpyc56eZn8hXR9TsfAS87BA1eaG9becKtKUNGesm1rhuUYTPXtAXC2x64NZLxl&amp;id=100064291616143&amp;mibextid=wwXIfr")</f>
        <v>https://m.facebook.com/story.php?story_fbid=pfbid02MfXRpyc56eZn8hXR9TsfAS87BA1eaG9becKtKUNGesm1rhuUYTPXtAXC2x64NZLxl&amp;id=100064291616143&amp;mibextid=wwXIfr</v>
      </c>
      <c r="L298" t="s">
        <v>1630</v>
      </c>
      <c r="N298" s="3"/>
      <c r="O298" s="3"/>
      <c r="P298" t="s">
        <v>1116</v>
      </c>
      <c r="Q298" t="s">
        <v>3100</v>
      </c>
      <c r="R298" t="s">
        <v>1693</v>
      </c>
      <c r="S298" t="s">
        <v>54</v>
      </c>
      <c r="W298" t="s">
        <v>55</v>
      </c>
      <c r="Y298" t="s">
        <v>54</v>
      </c>
      <c r="AA298" t="s">
        <v>55</v>
      </c>
      <c r="AE298" t="s">
        <v>55</v>
      </c>
      <c r="AG298" t="s">
        <v>54</v>
      </c>
      <c r="AI298" t="s">
        <v>55</v>
      </c>
      <c r="AK298" t="s">
        <v>55</v>
      </c>
      <c r="AM298" t="s">
        <v>55</v>
      </c>
      <c r="AO298" t="s">
        <v>55</v>
      </c>
      <c r="AQ298" t="s">
        <v>54</v>
      </c>
      <c r="AT298" t="s">
        <v>54</v>
      </c>
      <c r="AW298" t="s">
        <v>54</v>
      </c>
      <c r="BD298" t="s">
        <v>1638</v>
      </c>
      <c r="BG298" t="s">
        <v>1639</v>
      </c>
      <c r="BH298" t="s">
        <v>1640</v>
      </c>
      <c r="BI298" t="s">
        <v>1689</v>
      </c>
      <c r="BJ298" s="3" t="str">
        <f>HYPERLINK("https://m.facebook.com/story.php?story_fbid=pfbid02MfXRpyc56eZn8hXR9TsfAS87BA1eaG9becKtKUNGesm1rhuUYTPXtAXC2x64NZLxl&amp;id=100064291616143&amp;mibextid=wwXIfr","https://m.facebook.com/story.php?story_fbid=pfbid02MfXRpyc56eZn8hXR9TsfAS87BA1eaG9becKtKUNGesm1rhuUYTPXtAXC2x64NZLxl&amp;id=100064291616143&amp;mibextid=wwXIfr")</f>
        <v>https://m.facebook.com/story.php?story_fbid=pfbid02MfXRpyc56eZn8hXR9TsfAS87BA1eaG9becKtKUNGesm1rhuUYTPXtAXC2x64NZLxl&amp;id=100064291616143&amp;mibextid=wwXIfr</v>
      </c>
    </row>
    <row r="299" ht="25.5" customHeight="1" spans="1:62">
      <c r="A299" t="s">
        <v>3101</v>
      </c>
      <c r="B299" t="s">
        <v>1625</v>
      </c>
      <c r="F299" s="2"/>
      <c r="J299" t="s">
        <v>1644</v>
      </c>
      <c r="K299" s="3" t="str">
        <f>HYPERLINK("https://x.com/inspirdanalyst/status/1877003328367768008?s=46","https://x.com/inspirdanalyst/status/1877003328367768008?s=46")</f>
        <v>https://x.com/inspirdanalyst/status/1877003328367768008?s=46</v>
      </c>
      <c r="L299" t="s">
        <v>1630</v>
      </c>
      <c r="N299" s="3"/>
      <c r="O299" s="3"/>
      <c r="P299" t="s">
        <v>1816</v>
      </c>
      <c r="Q299" t="s">
        <v>1817</v>
      </c>
      <c r="R299" t="s">
        <v>1693</v>
      </c>
      <c r="S299" t="s">
        <v>54</v>
      </c>
      <c r="W299" t="s">
        <v>55</v>
      </c>
      <c r="Y299" t="s">
        <v>54</v>
      </c>
      <c r="AA299" t="s">
        <v>55</v>
      </c>
      <c r="AE299" t="s">
        <v>55</v>
      </c>
      <c r="AG299" t="s">
        <v>54</v>
      </c>
      <c r="AI299" t="s">
        <v>55</v>
      </c>
      <c r="AK299" t="s">
        <v>55</v>
      </c>
      <c r="AM299" t="s">
        <v>55</v>
      </c>
      <c r="AO299" t="s">
        <v>55</v>
      </c>
      <c r="AQ299" t="s">
        <v>54</v>
      </c>
      <c r="AT299" t="s">
        <v>54</v>
      </c>
      <c r="AW299" t="s">
        <v>54</v>
      </c>
      <c r="BD299" t="s">
        <v>1638</v>
      </c>
      <c r="BG299" t="s">
        <v>1639</v>
      </c>
      <c r="BH299" t="s">
        <v>1640</v>
      </c>
      <c r="BI299" t="s">
        <v>1689</v>
      </c>
      <c r="BJ299" s="3" t="str">
        <f>HYPERLINK("https://x.com/inspirdanalyst/status/1877003328367768008?s=46","https://x.com/inspirdanalyst/status/1877003328367768008?s=46")</f>
        <v>https://x.com/inspirdanalyst/status/1877003328367768008?s=46</v>
      </c>
    </row>
    <row r="300" ht="25.5" customHeight="1" spans="1:62">
      <c r="A300" t="s">
        <v>3102</v>
      </c>
      <c r="B300" t="s">
        <v>1625</v>
      </c>
      <c r="F300" s="2"/>
      <c r="K300" s="3" t="str">
        <f>HYPERLINK("https://www.instagram.com/reel/DEp0fyRpW3v/?igsh=OXAyYWlnaHc1MWFz","https://www.instagram.com/reel/DEp0fyRpW3v/?igsh=OXAyYWlnaHc1MWFz")</f>
        <v>https://www.instagram.com/reel/DEp0fyRpW3v/?igsh=OXAyYWlnaHc1MWFz</v>
      </c>
      <c r="L300" t="s">
        <v>1630</v>
      </c>
      <c r="N300" s="3"/>
      <c r="O300" s="3"/>
      <c r="P300" t="s">
        <v>65</v>
      </c>
      <c r="Q300" t="s">
        <v>116</v>
      </c>
      <c r="R300" t="s">
        <v>1631</v>
      </c>
      <c r="S300" t="s">
        <v>54</v>
      </c>
      <c r="W300" t="s">
        <v>55</v>
      </c>
      <c r="Y300" t="s">
        <v>54</v>
      </c>
      <c r="AA300" t="s">
        <v>55</v>
      </c>
      <c r="AE300" t="s">
        <v>55</v>
      </c>
      <c r="AG300" t="s">
        <v>54</v>
      </c>
      <c r="AI300" t="s">
        <v>55</v>
      </c>
      <c r="AK300" t="s">
        <v>55</v>
      </c>
      <c r="AM300" t="s">
        <v>55</v>
      </c>
      <c r="AO300" t="s">
        <v>55</v>
      </c>
      <c r="AQ300" t="s">
        <v>54</v>
      </c>
      <c r="AT300" t="s">
        <v>54</v>
      </c>
      <c r="AW300" t="s">
        <v>54</v>
      </c>
      <c r="BD300" t="s">
        <v>1638</v>
      </c>
      <c r="BG300" t="s">
        <v>1639</v>
      </c>
      <c r="BH300" t="s">
        <v>1640</v>
      </c>
      <c r="BI300" t="s">
        <v>2689</v>
      </c>
      <c r="BJ300" s="3" t="str">
        <f>HYPERLINK("https://www.instagram.com/reel/DEp0fyRpW3v/?igsh=OXAyYWlnaHc1MWFz","https://www.instagram.com/reel/DEp0fyRpW3v/?igsh=OXAyYWlnaHc1MWFz")</f>
        <v>https://www.instagram.com/reel/DEp0fyRpW3v/?igsh=OXAyYWlnaHc1MWFz</v>
      </c>
    </row>
    <row r="301" ht="25.5" customHeight="1" spans="1:62">
      <c r="A301" t="s">
        <v>3103</v>
      </c>
      <c r="B301" t="s">
        <v>1625</v>
      </c>
      <c r="F301" s="2"/>
      <c r="K301" s="3" t="str">
        <f>HYPERLINK("https://youtube.com/shorts/S7lyFb3rZMk?feature=share","https://youtube.com/shorts/S7lyFb3rZMk?feature=share")</f>
        <v>https://youtube.com/shorts/S7lyFb3rZMk?feature=share</v>
      </c>
      <c r="L301" t="s">
        <v>1630</v>
      </c>
      <c r="N301" s="3"/>
      <c r="O301" s="3"/>
      <c r="P301" t="s">
        <v>269</v>
      </c>
      <c r="Q301" t="s">
        <v>423</v>
      </c>
      <c r="R301" t="s">
        <v>1631</v>
      </c>
      <c r="S301" t="s">
        <v>54</v>
      </c>
      <c r="W301" t="s">
        <v>55</v>
      </c>
      <c r="Y301" t="s">
        <v>54</v>
      </c>
      <c r="AA301" t="s">
        <v>55</v>
      </c>
      <c r="AE301" t="s">
        <v>55</v>
      </c>
      <c r="AG301" t="s">
        <v>54</v>
      </c>
      <c r="AI301" t="s">
        <v>55</v>
      </c>
      <c r="AK301" t="s">
        <v>55</v>
      </c>
      <c r="AM301" t="s">
        <v>55</v>
      </c>
      <c r="AO301" t="s">
        <v>55</v>
      </c>
      <c r="AQ301" t="s">
        <v>54</v>
      </c>
      <c r="AT301" t="s">
        <v>54</v>
      </c>
      <c r="AW301" t="s">
        <v>54</v>
      </c>
      <c r="BD301" t="s">
        <v>1638</v>
      </c>
      <c r="BG301" t="s">
        <v>1639</v>
      </c>
      <c r="BH301" t="s">
        <v>1640</v>
      </c>
      <c r="BI301" t="s">
        <v>2689</v>
      </c>
      <c r="BJ301" s="3" t="str">
        <f>HYPERLINK("https://youtube.com/shorts/S7lyFb3rZMk?feature=share","https://youtube.com/shorts/S7lyFb3rZMk?feature=share")</f>
        <v>https://youtube.com/shorts/S7lyFb3rZMk?feature=share</v>
      </c>
    </row>
    <row r="302" ht="25.5" customHeight="1" spans="1:62">
      <c r="A302" t="s">
        <v>3104</v>
      </c>
      <c r="B302" t="s">
        <v>1625</v>
      </c>
      <c r="F302" s="2"/>
      <c r="K302" s="3" t="str">
        <f>HYPERLINK("https://youtube.com/shorts/krWvQ75GWuY?feature=share","https://youtube.com/shorts/krWvQ75GWuY?feature=share")</f>
        <v>https://youtube.com/shorts/krWvQ75GWuY?feature=share</v>
      </c>
      <c r="L302" t="s">
        <v>1630</v>
      </c>
      <c r="N302" s="3"/>
      <c r="O302" s="3"/>
      <c r="P302" t="s">
        <v>269</v>
      </c>
      <c r="Q302" t="s">
        <v>423</v>
      </c>
      <c r="R302" t="s">
        <v>1779</v>
      </c>
      <c r="S302" t="s">
        <v>54</v>
      </c>
      <c r="W302" t="s">
        <v>55</v>
      </c>
      <c r="Y302" t="s">
        <v>54</v>
      </c>
      <c r="AA302" t="s">
        <v>55</v>
      </c>
      <c r="AE302" t="s">
        <v>55</v>
      </c>
      <c r="AG302" t="s">
        <v>54</v>
      </c>
      <c r="AI302" t="s">
        <v>55</v>
      </c>
      <c r="AK302" t="s">
        <v>55</v>
      </c>
      <c r="AM302" t="s">
        <v>55</v>
      </c>
      <c r="AO302" t="s">
        <v>55</v>
      </c>
      <c r="AQ302" t="s">
        <v>54</v>
      </c>
      <c r="AT302" t="s">
        <v>54</v>
      </c>
      <c r="AW302" t="s">
        <v>54</v>
      </c>
      <c r="BD302" t="s">
        <v>1638</v>
      </c>
      <c r="BG302" t="s">
        <v>1639</v>
      </c>
      <c r="BH302" t="s">
        <v>1640</v>
      </c>
      <c r="BI302" t="s">
        <v>1349</v>
      </c>
      <c r="BJ302" s="3" t="str">
        <f>HYPERLINK("https://youtube.com/shorts/krWvQ75GWuY?feature=share","https://youtube.com/shorts/krWvQ75GWuY?feature=share")</f>
        <v>https://youtube.com/shorts/krWvQ75GWuY?feature=share</v>
      </c>
    </row>
    <row r="303" ht="25.5" customHeight="1" spans="1:62">
      <c r="A303" t="s">
        <v>3105</v>
      </c>
      <c r="B303" t="s">
        <v>1625</v>
      </c>
      <c r="F303" s="2"/>
      <c r="K303" s="3" t="str">
        <f>HYPERLINK("https://www.instagram.com/p/DEiHkmkgXz2/","https://www.instagram.com/p/DEiHkmkgXz2/")</f>
        <v>https://www.instagram.com/p/DEiHkmkgXz2/</v>
      </c>
      <c r="L303" t="s">
        <v>1630</v>
      </c>
      <c r="N303" s="3"/>
      <c r="O303" s="3"/>
      <c r="P303" t="s">
        <v>65</v>
      </c>
      <c r="Q303" t="s">
        <v>116</v>
      </c>
      <c r="R303" t="s">
        <v>1652</v>
      </c>
      <c r="S303" t="s">
        <v>54</v>
      </c>
      <c r="W303" t="s">
        <v>55</v>
      </c>
      <c r="Y303" t="s">
        <v>54</v>
      </c>
      <c r="AA303" t="s">
        <v>55</v>
      </c>
      <c r="AE303" t="s">
        <v>55</v>
      </c>
      <c r="AG303" t="s">
        <v>54</v>
      </c>
      <c r="AI303" t="s">
        <v>55</v>
      </c>
      <c r="AK303" t="s">
        <v>55</v>
      </c>
      <c r="AM303" t="s">
        <v>55</v>
      </c>
      <c r="AO303" t="s">
        <v>55</v>
      </c>
      <c r="AQ303" t="s">
        <v>54</v>
      </c>
      <c r="AT303" t="s">
        <v>54</v>
      </c>
      <c r="AW303" t="s">
        <v>54</v>
      </c>
      <c r="BD303" t="s">
        <v>1638</v>
      </c>
      <c r="BG303" t="s">
        <v>1639</v>
      </c>
      <c r="BH303" t="s">
        <v>1640</v>
      </c>
      <c r="BI303" t="s">
        <v>2595</v>
      </c>
      <c r="BJ303" s="3" t="str">
        <f>HYPERLINK("https://www.instagram.com/p/DEiHkmkgXz2/","https://www.instagram.com/p/DEiHkmkgXz2/")</f>
        <v>https://www.instagram.com/p/DEiHkmkgXz2/</v>
      </c>
    </row>
    <row r="304" ht="25.5" customHeight="1" spans="1:62">
      <c r="A304" t="s">
        <v>3106</v>
      </c>
      <c r="B304" t="s">
        <v>1638</v>
      </c>
      <c r="C304" t="s">
        <v>1778</v>
      </c>
      <c r="D304" t="s">
        <v>1627</v>
      </c>
      <c r="F304" s="2"/>
      <c r="K304" s="3" t="str">
        <f>HYPERLINK("https://www.tiktok.com/@leodeep/video/7458327897816730902?is_from_webapp=1&amp;web_id=7446884684065179168","En 3 clics t’as un site personnalisé… 😵‍💫 Jte montre comment faire u... | Site de streaming | TikTok")</f>
        <v>En 3 clics t’as un site personnalisé… 😵‍💫 Jte montre comment faire u... | Site de streaming | TikTok</v>
      </c>
      <c r="L304" t="s">
        <v>1630</v>
      </c>
      <c r="N304" s="3"/>
      <c r="O304" s="3"/>
      <c r="P304" t="s">
        <v>56</v>
      </c>
      <c r="Q304" t="s">
        <v>57</v>
      </c>
      <c r="R304" t="s">
        <v>1779</v>
      </c>
      <c r="S304" t="s">
        <v>54</v>
      </c>
      <c r="W304" t="s">
        <v>55</v>
      </c>
      <c r="Y304" t="s">
        <v>54</v>
      </c>
      <c r="AA304" t="s">
        <v>55</v>
      </c>
      <c r="AE304" t="s">
        <v>55</v>
      </c>
      <c r="AG304" t="s">
        <v>54</v>
      </c>
      <c r="AI304" t="s">
        <v>55</v>
      </c>
      <c r="AK304" t="s">
        <v>55</v>
      </c>
      <c r="AM304" t="s">
        <v>55</v>
      </c>
      <c r="AO304" t="s">
        <v>55</v>
      </c>
      <c r="AQ304" t="s">
        <v>54</v>
      </c>
      <c r="AT304" t="s">
        <v>54</v>
      </c>
      <c r="AW304" t="s">
        <v>54</v>
      </c>
      <c r="BD304" t="s">
        <v>1638</v>
      </c>
      <c r="BG304" t="s">
        <v>1639</v>
      </c>
      <c r="BH304" t="s">
        <v>1640</v>
      </c>
      <c r="BI304" t="s">
        <v>1823</v>
      </c>
      <c r="BJ304" s="3" t="str">
        <f>HYPERLINK("https://www.tiktok.com/@leodeep/video/7458327897816730902?is_from_webapp=1&amp;web_id=7446884684065179168","En 3 clics t’as un site personnalisé… 😵‍💫 Jte montre comment faire u... | Site de streaming | TikTok")</f>
        <v>En 3 clics t’as un site personnalisé… 😵‍💫 Jte montre comment faire u... | Site de streaming | TikTok</v>
      </c>
    </row>
    <row r="305" ht="25.5" customHeight="1" spans="1:62">
      <c r="A305" t="s">
        <v>3107</v>
      </c>
      <c r="B305" t="s">
        <v>1638</v>
      </c>
      <c r="C305" t="s">
        <v>1778</v>
      </c>
      <c r="D305" t="s">
        <v>1627</v>
      </c>
      <c r="F305" s="2"/>
      <c r="K305" s="3" t="str">
        <f>HYPERLINK("https://youtube.com/shorts/uPBSOgnxnQk?si=HjyGOTEJOKEB9OmY","https://youtube.com/shorts/uPBSOgnxnQk?si=HjyGOTEJOKEB9OmY")</f>
        <v>https://youtube.com/shorts/uPBSOgnxnQk?si=HjyGOTEJOKEB9OmY</v>
      </c>
      <c r="L305" t="s">
        <v>1630</v>
      </c>
      <c r="N305" s="3"/>
      <c r="O305" s="3"/>
      <c r="P305" t="s">
        <v>269</v>
      </c>
      <c r="Q305" t="s">
        <v>423</v>
      </c>
      <c r="R305" t="s">
        <v>1779</v>
      </c>
      <c r="S305" t="s">
        <v>54</v>
      </c>
      <c r="W305" t="s">
        <v>55</v>
      </c>
      <c r="Y305" t="s">
        <v>54</v>
      </c>
      <c r="AA305" t="s">
        <v>55</v>
      </c>
      <c r="AE305" t="s">
        <v>55</v>
      </c>
      <c r="AG305" t="s">
        <v>54</v>
      </c>
      <c r="AI305" t="s">
        <v>55</v>
      </c>
      <c r="AK305" t="s">
        <v>55</v>
      </c>
      <c r="AM305" t="s">
        <v>55</v>
      </c>
      <c r="AO305" t="s">
        <v>55</v>
      </c>
      <c r="AQ305" t="s">
        <v>54</v>
      </c>
      <c r="AT305" t="s">
        <v>54</v>
      </c>
      <c r="AW305" t="s">
        <v>54</v>
      </c>
      <c r="BD305" t="s">
        <v>1638</v>
      </c>
      <c r="BG305" t="s">
        <v>1639</v>
      </c>
      <c r="BH305" t="s">
        <v>1640</v>
      </c>
      <c r="BI305" t="s">
        <v>1823</v>
      </c>
      <c r="BJ305" s="3" t="str">
        <f>HYPERLINK("https://youtube.com/shorts/uPBSOgnxnQk?si=HjyGOTEJOKEB9OmY","https://youtube.com/shorts/uPBSOgnxnQk?si=HjyGOTEJOKEB9OmY")</f>
        <v>https://youtube.com/shorts/uPBSOgnxnQk?si=HjyGOTEJOKEB9OmY</v>
      </c>
    </row>
    <row r="306" ht="25.5" customHeight="1" spans="1:62">
      <c r="A306" t="s">
        <v>3108</v>
      </c>
      <c r="B306" t="s">
        <v>1638</v>
      </c>
      <c r="C306" t="s">
        <v>1778</v>
      </c>
      <c r="D306" t="s">
        <v>1627</v>
      </c>
      <c r="F306" s="2"/>
      <c r="K306" s="3" t="str">
        <f>HYPERLINK("https://www.instagram.com/reel/DEp8uIforBN/?igsh=MTB3cWdlcW83NmdkNg==","https://www.instagram.com/reel/DEp8uIforBN/?igsh=MTB3cWdlcW83NmdkNg== ")</f>
        <v>https://www.instagram.com/reel/DEp8uIforBN/?igsh=MTB3cWdlcW83NmdkNg== </v>
      </c>
      <c r="L306" t="s">
        <v>1630</v>
      </c>
      <c r="N306" s="3"/>
      <c r="O306" s="3"/>
      <c r="P306" t="s">
        <v>65</v>
      </c>
      <c r="Q306" t="s">
        <v>116</v>
      </c>
      <c r="R306" t="s">
        <v>1779</v>
      </c>
      <c r="S306" t="s">
        <v>54</v>
      </c>
      <c r="W306" t="s">
        <v>55</v>
      </c>
      <c r="Y306" t="s">
        <v>54</v>
      </c>
      <c r="AA306" t="s">
        <v>55</v>
      </c>
      <c r="AE306" t="s">
        <v>55</v>
      </c>
      <c r="AG306" t="s">
        <v>54</v>
      </c>
      <c r="AI306" t="s">
        <v>55</v>
      </c>
      <c r="AK306" t="s">
        <v>55</v>
      </c>
      <c r="AM306" t="s">
        <v>55</v>
      </c>
      <c r="AO306" t="s">
        <v>55</v>
      </c>
      <c r="AQ306" t="s">
        <v>54</v>
      </c>
      <c r="AT306" t="s">
        <v>54</v>
      </c>
      <c r="AW306" t="s">
        <v>54</v>
      </c>
      <c r="BD306" t="s">
        <v>1638</v>
      </c>
      <c r="BG306" t="s">
        <v>1639</v>
      </c>
      <c r="BH306" t="s">
        <v>1640</v>
      </c>
      <c r="BI306" t="s">
        <v>1902</v>
      </c>
      <c r="BJ306" s="3" t="str">
        <f>HYPERLINK("https://www.instagram.com/reel/DEp8uIforBN/?igsh=MTB3cWdlcW83NmdkNg==","https://www.instagram.com/reel/DEp8uIforBN/?igsh=MTB3cWdlcW83NmdkNg== ")</f>
        <v>https://www.instagram.com/reel/DEp8uIforBN/?igsh=MTB3cWdlcW83NmdkNg== </v>
      </c>
    </row>
    <row r="307" ht="25.5" customHeight="1" spans="1:62">
      <c r="A307" t="s">
        <v>3109</v>
      </c>
      <c r="B307" t="s">
        <v>1638</v>
      </c>
      <c r="C307" t="s">
        <v>1778</v>
      </c>
      <c r="D307" t="s">
        <v>1627</v>
      </c>
      <c r="F307" s="2"/>
      <c r="K307" s="3" t="str">
        <f>HYPERLINK("https://www.facebook.com/share/r/1HEmSdmg8L/?mibextid=wwXIfr","https://www.facebook.com/share/r/1HEmSdmg8L/?mibextid=wwXIfr ")</f>
        <v>https://www.facebook.com/share/r/1HEmSdmg8L/?mibextid=wwXIfr </v>
      </c>
      <c r="L307" t="s">
        <v>1630</v>
      </c>
      <c r="N307" s="3"/>
      <c r="O307" s="3"/>
      <c r="P307" t="s">
        <v>1116</v>
      </c>
      <c r="Q307" t="s">
        <v>2742</v>
      </c>
      <c r="R307" t="s">
        <v>1779</v>
      </c>
      <c r="S307" t="s">
        <v>54</v>
      </c>
      <c r="W307" t="s">
        <v>55</v>
      </c>
      <c r="Y307" t="s">
        <v>54</v>
      </c>
      <c r="AA307" t="s">
        <v>55</v>
      </c>
      <c r="AE307" t="s">
        <v>55</v>
      </c>
      <c r="AG307" t="s">
        <v>54</v>
      </c>
      <c r="AI307" t="s">
        <v>55</v>
      </c>
      <c r="AK307" t="s">
        <v>55</v>
      </c>
      <c r="AM307" t="s">
        <v>55</v>
      </c>
      <c r="AO307" t="s">
        <v>55</v>
      </c>
      <c r="AQ307" t="s">
        <v>54</v>
      </c>
      <c r="AT307" t="s">
        <v>54</v>
      </c>
      <c r="AW307" t="s">
        <v>54</v>
      </c>
      <c r="BD307" t="s">
        <v>1638</v>
      </c>
      <c r="BG307" t="s">
        <v>1639</v>
      </c>
      <c r="BH307" t="s">
        <v>1640</v>
      </c>
      <c r="BI307" t="s">
        <v>1902</v>
      </c>
      <c r="BJ307" s="3" t="str">
        <f>HYPERLINK("https://www.facebook.com/share/r/1HEmSdmg8L/?mibextid=wwXIfr","https://www.facebook.com/share/r/1HEmSdmg8L/?mibextid=wwXIfr ")</f>
        <v>https://www.facebook.com/share/r/1HEmSdmg8L/?mibextid=wwXIfr </v>
      </c>
    </row>
    <row r="308" ht="25.5" customHeight="1" spans="1:62">
      <c r="A308" t="s">
        <v>3110</v>
      </c>
      <c r="B308" t="s">
        <v>1638</v>
      </c>
      <c r="C308" t="s">
        <v>1778</v>
      </c>
      <c r="D308" t="s">
        <v>1627</v>
      </c>
      <c r="F308" s="2"/>
      <c r="K308" s="3" t="str">
        <f>HYPERLINK("https://youtube.com/shorts/QNCkKcslojE?feature=share","https://youtube.com/shorts/QNCkKcslojE?feature=share")</f>
        <v>https://youtube.com/shorts/QNCkKcslojE?feature=share</v>
      </c>
      <c r="L308" t="s">
        <v>1630</v>
      </c>
      <c r="N308" s="3"/>
      <c r="O308" s="3"/>
      <c r="P308" t="s">
        <v>269</v>
      </c>
      <c r="Q308" t="s">
        <v>423</v>
      </c>
      <c r="R308" t="s">
        <v>1779</v>
      </c>
      <c r="S308" t="s">
        <v>54</v>
      </c>
      <c r="W308" t="s">
        <v>55</v>
      </c>
      <c r="Y308" t="s">
        <v>54</v>
      </c>
      <c r="AA308" t="s">
        <v>55</v>
      </c>
      <c r="AE308" t="s">
        <v>55</v>
      </c>
      <c r="AG308" t="s">
        <v>54</v>
      </c>
      <c r="AI308" t="s">
        <v>55</v>
      </c>
      <c r="AK308" t="s">
        <v>55</v>
      </c>
      <c r="AM308" t="s">
        <v>55</v>
      </c>
      <c r="AO308" t="s">
        <v>55</v>
      </c>
      <c r="AQ308" t="s">
        <v>54</v>
      </c>
      <c r="AT308" t="s">
        <v>54</v>
      </c>
      <c r="AW308" t="s">
        <v>54</v>
      </c>
      <c r="BD308" t="s">
        <v>1638</v>
      </c>
      <c r="BG308" t="s">
        <v>1639</v>
      </c>
      <c r="BH308" t="s">
        <v>1640</v>
      </c>
      <c r="BI308" t="s">
        <v>1902</v>
      </c>
      <c r="BJ308" s="3" t="str">
        <f>HYPERLINK("https://youtube.com/shorts/QNCkKcslojE?feature=share","https://youtube.com/shorts/QNCkKcslojE?feature=share")</f>
        <v>https://youtube.com/shorts/QNCkKcslojE?feature=share</v>
      </c>
    </row>
    <row r="309" ht="25.5" customHeight="1" spans="1:62">
      <c r="A309" t="s">
        <v>3111</v>
      </c>
      <c r="B309" t="s">
        <v>1625</v>
      </c>
      <c r="D309" t="s">
        <v>1769</v>
      </c>
      <c r="F309" s="2"/>
      <c r="J309" t="s">
        <v>1725</v>
      </c>
      <c r="K309" s="3" t="str">
        <f>HYPERLINK("https://www.instagram.com/p/DEufebOp0AU/?igsh=MWY3eGwxZGd6ZnY2dw==","https://www.instagram.com/p/DEufebOp0AU/?igsh=MWY3eGwxZGd6ZnY2dw==")</f>
        <v>https://www.instagram.com/p/DEufebOp0AU/?igsh=MWY3eGwxZGd6ZnY2dw==</v>
      </c>
      <c r="L309" t="s">
        <v>1630</v>
      </c>
      <c r="N309" s="3"/>
      <c r="O309" s="3" t="str">
        <f>HYPERLINK("https://www.instagram.com/forgoodcode/","https://www.instagram.com/forgoodcode/")</f>
        <v>https://www.instagram.com/forgoodcode/</v>
      </c>
      <c r="P309" t="s">
        <v>65</v>
      </c>
      <c r="Q309" t="s">
        <v>66</v>
      </c>
      <c r="R309" t="s">
        <v>1631</v>
      </c>
      <c r="S309" t="s">
        <v>54</v>
      </c>
      <c r="T309">
        <v>1904000</v>
      </c>
      <c r="U309" t="s">
        <v>3112</v>
      </c>
      <c r="W309" t="s">
        <v>55</v>
      </c>
      <c r="Y309" t="s">
        <v>54</v>
      </c>
      <c r="AA309" t="s">
        <v>55</v>
      </c>
      <c r="AE309" t="s">
        <v>55</v>
      </c>
      <c r="AG309" t="s">
        <v>54</v>
      </c>
      <c r="AI309" t="s">
        <v>55</v>
      </c>
      <c r="AK309" t="s">
        <v>55</v>
      </c>
      <c r="AM309" t="s">
        <v>55</v>
      </c>
      <c r="AO309" t="s">
        <v>55</v>
      </c>
      <c r="AQ309" t="s">
        <v>54</v>
      </c>
      <c r="AT309" t="s">
        <v>54</v>
      </c>
      <c r="AW309" t="s">
        <v>54</v>
      </c>
      <c r="BD309" t="s">
        <v>1638</v>
      </c>
      <c r="BG309" t="s">
        <v>1639</v>
      </c>
      <c r="BH309" t="s">
        <v>1640</v>
      </c>
      <c r="BJ309" s="3" t="str">
        <f>HYPERLINK("https://www.instagram.com/p/DEufebOp0AU/?igsh=MWY3eGwxZGd6ZnY2dw==","https://www.instagram.com/p/DEufebOp0AU/?igsh=MWY3eGwxZGd6ZnY2dw==")</f>
        <v>https://www.instagram.com/p/DEufebOp0AU/?igsh=MWY3eGwxZGd6ZnY2dw==</v>
      </c>
    </row>
    <row r="310" ht="25.5" customHeight="1" spans="1:62">
      <c r="A310" t="s">
        <v>3113</v>
      </c>
      <c r="B310" t="s">
        <v>1638</v>
      </c>
      <c r="C310" t="s">
        <v>1778</v>
      </c>
      <c r="D310" t="s">
        <v>1627</v>
      </c>
      <c r="F310" s="2"/>
      <c r="K310" s="3" t="str">
        <f>HYPERLINK("https://vm.tiktok.com/ZNeKCWcCp/","https://vm.tiktok.com/ZNeKCWcCp/")</f>
        <v>https://vm.tiktok.com/ZNeKCWcCp/</v>
      </c>
      <c r="L310" t="s">
        <v>1630</v>
      </c>
      <c r="N310" s="3"/>
      <c r="O310" s="3"/>
      <c r="P310" t="s">
        <v>56</v>
      </c>
      <c r="Q310" t="s">
        <v>57</v>
      </c>
      <c r="R310" t="s">
        <v>1779</v>
      </c>
      <c r="S310" t="s">
        <v>54</v>
      </c>
      <c r="W310" t="s">
        <v>55</v>
      </c>
      <c r="Y310" t="s">
        <v>54</v>
      </c>
      <c r="AA310" t="s">
        <v>55</v>
      </c>
      <c r="AE310" t="s">
        <v>55</v>
      </c>
      <c r="AG310" t="s">
        <v>54</v>
      </c>
      <c r="AI310" t="s">
        <v>55</v>
      </c>
      <c r="AK310" t="s">
        <v>55</v>
      </c>
      <c r="AM310" t="s">
        <v>55</v>
      </c>
      <c r="AO310" t="s">
        <v>55</v>
      </c>
      <c r="AQ310" t="s">
        <v>54</v>
      </c>
      <c r="AT310" t="s">
        <v>54</v>
      </c>
      <c r="AW310" t="s">
        <v>54</v>
      </c>
      <c r="BD310" t="s">
        <v>1638</v>
      </c>
      <c r="BG310" t="s">
        <v>1639</v>
      </c>
      <c r="BH310" t="s">
        <v>1640</v>
      </c>
      <c r="BI310" t="s">
        <v>1777</v>
      </c>
      <c r="BJ310" s="3" t="str">
        <f>HYPERLINK("https://vm.tiktok.com/ZNeKCWcCp/","https://vm.tiktok.com/ZNeKCWcCp/")</f>
        <v>https://vm.tiktok.com/ZNeKCWcCp/</v>
      </c>
    </row>
    <row r="311" ht="25.5" customHeight="1" spans="2:62">
      <c r="B311" t="s">
        <v>1638</v>
      </c>
      <c r="F311" s="2"/>
      <c r="K311" s="3" t="str">
        <f>HYPERLINK("https://vm.tiktok.com/ZMkbCPKgT/","https://vm.tiktok.com/ZMkbCPKgT/")</f>
        <v>https://vm.tiktok.com/ZMkbCPKgT/</v>
      </c>
      <c r="L311" t="s">
        <v>1630</v>
      </c>
      <c r="N311" s="3"/>
      <c r="O311" s="3"/>
      <c r="P311" t="s">
        <v>56</v>
      </c>
      <c r="Q311" t="s">
        <v>57</v>
      </c>
      <c r="R311" t="s">
        <v>1652</v>
      </c>
      <c r="S311" t="s">
        <v>54</v>
      </c>
      <c r="W311" t="s">
        <v>55</v>
      </c>
      <c r="Y311" t="s">
        <v>54</v>
      </c>
      <c r="AA311" t="s">
        <v>55</v>
      </c>
      <c r="AE311" t="s">
        <v>55</v>
      </c>
      <c r="AG311" t="s">
        <v>54</v>
      </c>
      <c r="AI311" t="s">
        <v>55</v>
      </c>
      <c r="AK311" t="s">
        <v>55</v>
      </c>
      <c r="AM311" t="s">
        <v>55</v>
      </c>
      <c r="AO311" t="s">
        <v>55</v>
      </c>
      <c r="AQ311" t="s">
        <v>54</v>
      </c>
      <c r="AT311" t="s">
        <v>54</v>
      </c>
      <c r="AW311" t="s">
        <v>54</v>
      </c>
      <c r="BD311" t="s">
        <v>1638</v>
      </c>
      <c r="BF311" t="s">
        <v>1154</v>
      </c>
      <c r="BG311" t="s">
        <v>1639</v>
      </c>
      <c r="BH311" t="s">
        <v>1640</v>
      </c>
      <c r="BI311" t="s">
        <v>1154</v>
      </c>
      <c r="BJ311" s="3" t="str">
        <f>HYPERLINK("https://vm.tiktok.com/ZMkbCPKgT/","https://vm.tiktok.com/ZMkbCPKgT/")</f>
        <v>https://vm.tiktok.com/ZMkbCPKgT/</v>
      </c>
    </row>
    <row r="312" ht="25.5" customHeight="1" spans="1:62">
      <c r="A312" t="s">
        <v>3114</v>
      </c>
      <c r="B312" t="s">
        <v>1625</v>
      </c>
      <c r="F312" s="2"/>
      <c r="K312" s="3" t="str">
        <f>HYPERLINK("https://www.instagram.com/reel/DE3DtvsS7ly/?igsh=QkJwbkN2bkxIRw%3D%3D","https://www.instagram.com/reel/DE3DtvsS7ly/?igsh=QkJwbkN2bkxIRw%3D%3D")</f>
        <v>https://www.instagram.com/reel/DE3DtvsS7ly/?igsh=QkJwbkN2bkxIRw%3D%3D</v>
      </c>
      <c r="L312" t="s">
        <v>1630</v>
      </c>
      <c r="N312" s="3"/>
      <c r="O312" s="3"/>
      <c r="P312" t="s">
        <v>65</v>
      </c>
      <c r="Q312" t="s">
        <v>116</v>
      </c>
      <c r="R312" t="s">
        <v>1753</v>
      </c>
      <c r="S312" t="s">
        <v>54</v>
      </c>
      <c r="W312" t="s">
        <v>55</v>
      </c>
      <c r="Y312" t="s">
        <v>54</v>
      </c>
      <c r="AA312" t="s">
        <v>55</v>
      </c>
      <c r="AE312" t="s">
        <v>55</v>
      </c>
      <c r="AG312" t="s">
        <v>54</v>
      </c>
      <c r="AI312" t="s">
        <v>55</v>
      </c>
      <c r="AK312" t="s">
        <v>55</v>
      </c>
      <c r="AM312" t="s">
        <v>55</v>
      </c>
      <c r="AO312" t="s">
        <v>55</v>
      </c>
      <c r="AQ312" t="s">
        <v>54</v>
      </c>
      <c r="AT312" t="s">
        <v>54</v>
      </c>
      <c r="AW312" t="s">
        <v>54</v>
      </c>
      <c r="BD312" t="s">
        <v>1638</v>
      </c>
      <c r="BG312" t="s">
        <v>1639</v>
      </c>
      <c r="BH312" t="s">
        <v>1640</v>
      </c>
      <c r="BI312" t="s">
        <v>2972</v>
      </c>
      <c r="BJ312" s="3" t="str">
        <f>HYPERLINK("https://www.instagram.com/reel/DE3DtvsS7ly/?igsh=QkJwbkN2bkxIRw%3D%3D","https://www.instagram.com/reel/DE3DtvsS7ly/?igsh=QkJwbkN2bkxIRw%3D%3D")</f>
        <v>https://www.instagram.com/reel/DE3DtvsS7ly/?igsh=QkJwbkN2bkxIRw%3D%3D</v>
      </c>
    </row>
    <row r="313" ht="25.5" customHeight="1" spans="1:62">
      <c r="A313" t="s">
        <v>3115</v>
      </c>
      <c r="B313" t="s">
        <v>1625</v>
      </c>
      <c r="F313" s="2"/>
      <c r="K313" s="3" t="str">
        <f>HYPERLINK("https://www.instagram.com/reel/DE3PyYsSsPd/?igsh=cWI2ZGduaGZzNTkx","https://www.instagram.com/reel/DE3PyYsSsPd/?igsh=cWI2ZGduaGZzNTkx")</f>
        <v>https://www.instagram.com/reel/DE3PyYsSsPd/?igsh=cWI2ZGduaGZzNTkx</v>
      </c>
      <c r="L313" t="s">
        <v>1630</v>
      </c>
      <c r="N313" s="3"/>
      <c r="O313" s="3"/>
      <c r="P313" t="s">
        <v>65</v>
      </c>
      <c r="Q313" t="s">
        <v>116</v>
      </c>
      <c r="R313" t="s">
        <v>1753</v>
      </c>
      <c r="S313" t="s">
        <v>54</v>
      </c>
      <c r="W313" t="s">
        <v>55</v>
      </c>
      <c r="Y313" t="s">
        <v>54</v>
      </c>
      <c r="AA313" t="s">
        <v>55</v>
      </c>
      <c r="AE313" t="s">
        <v>55</v>
      </c>
      <c r="AG313" t="s">
        <v>54</v>
      </c>
      <c r="AI313" t="s">
        <v>55</v>
      </c>
      <c r="AK313" t="s">
        <v>55</v>
      </c>
      <c r="AM313" t="s">
        <v>55</v>
      </c>
      <c r="AO313" t="s">
        <v>55</v>
      </c>
      <c r="AQ313" t="s">
        <v>54</v>
      </c>
      <c r="AT313" t="s">
        <v>54</v>
      </c>
      <c r="AW313" t="s">
        <v>54</v>
      </c>
      <c r="BD313" t="s">
        <v>1638</v>
      </c>
      <c r="BG313" t="s">
        <v>1639</v>
      </c>
      <c r="BH313" t="s">
        <v>1640</v>
      </c>
      <c r="BI313" t="s">
        <v>2567</v>
      </c>
      <c r="BJ313" s="3" t="str">
        <f>HYPERLINK("https://www.instagram.com/reel/DE3PyYsSsPd/?igsh=cWI2ZGduaGZzNTkx","https://www.instagram.com/reel/DE3PyYsSsPd/?igsh=cWI2ZGduaGZzNTkx")</f>
        <v>https://www.instagram.com/reel/DE3PyYsSsPd/?igsh=cWI2ZGduaGZzNTkx</v>
      </c>
    </row>
    <row r="314" ht="25.5" customHeight="1" spans="1:62">
      <c r="A314" t="s">
        <v>237</v>
      </c>
      <c r="B314" t="s">
        <v>1625</v>
      </c>
      <c r="F314" s="2"/>
      <c r="K314" s="3" t="str">
        <f>HYPERLINK("https://www.instagram.com/p/DE7dn44oBwQ/","https://www.instagram.com/p/DE7dn44oBwQ/")</f>
        <v>https://www.instagram.com/p/DE7dn44oBwQ/</v>
      </c>
      <c r="L314" t="s">
        <v>1630</v>
      </c>
      <c r="N314" s="3"/>
      <c r="O314" s="3"/>
      <c r="P314" t="s">
        <v>65</v>
      </c>
      <c r="Q314" t="s">
        <v>116</v>
      </c>
      <c r="R314" t="s">
        <v>1703</v>
      </c>
      <c r="S314" t="s">
        <v>54</v>
      </c>
      <c r="W314" t="s">
        <v>55</v>
      </c>
      <c r="Y314" t="s">
        <v>54</v>
      </c>
      <c r="AA314" t="s">
        <v>55</v>
      </c>
      <c r="AE314" t="s">
        <v>55</v>
      </c>
      <c r="AG314" t="s">
        <v>54</v>
      </c>
      <c r="AI314" t="s">
        <v>55</v>
      </c>
      <c r="AK314" t="s">
        <v>55</v>
      </c>
      <c r="AM314" t="s">
        <v>55</v>
      </c>
      <c r="AO314" t="s">
        <v>55</v>
      </c>
      <c r="AQ314" t="s">
        <v>54</v>
      </c>
      <c r="AT314" t="s">
        <v>54</v>
      </c>
      <c r="AW314" t="s">
        <v>54</v>
      </c>
      <c r="BD314" t="s">
        <v>1638</v>
      </c>
      <c r="BG314" t="s">
        <v>1639</v>
      </c>
      <c r="BH314" t="s">
        <v>1640</v>
      </c>
      <c r="BI314" t="s">
        <v>237</v>
      </c>
      <c r="BJ314" s="3" t="str">
        <f>HYPERLINK("https://www.instagram.com/p/DE7dn44oBwQ/","https://www.instagram.com/p/DE7dn44oBwQ/")</f>
        <v>https://www.instagram.com/p/DE7dn44oBwQ/</v>
      </c>
    </row>
    <row r="315" ht="25.5" customHeight="1" spans="2:62">
      <c r="B315" t="s">
        <v>1625</v>
      </c>
      <c r="F315" s="2"/>
      <c r="K315" s="3" t="str">
        <f>HYPERLINK("https://www.instagram.com/reel/DE3xdpbNhld/?utm_source=ig_web_copy_link","https://www.instagram.com/reel/DE3xdpbNhld/?utm_source=ig_web_copy_link")</f>
        <v>https://www.instagram.com/reel/DE3xdpbNhld/?utm_source=ig_web_copy_link</v>
      </c>
      <c r="L315" t="s">
        <v>1630</v>
      </c>
      <c r="N315" s="3"/>
      <c r="O315" s="3"/>
      <c r="P315" t="s">
        <v>65</v>
      </c>
      <c r="Q315" t="s">
        <v>116</v>
      </c>
      <c r="R315" t="s">
        <v>1753</v>
      </c>
      <c r="S315" t="s">
        <v>54</v>
      </c>
      <c r="W315" t="s">
        <v>55</v>
      </c>
      <c r="Y315" t="s">
        <v>54</v>
      </c>
      <c r="AA315" t="s">
        <v>55</v>
      </c>
      <c r="AE315" t="s">
        <v>55</v>
      </c>
      <c r="AG315" t="s">
        <v>54</v>
      </c>
      <c r="AI315" t="s">
        <v>55</v>
      </c>
      <c r="AK315" t="s">
        <v>55</v>
      </c>
      <c r="AM315" t="s">
        <v>55</v>
      </c>
      <c r="AO315" t="s">
        <v>55</v>
      </c>
      <c r="AQ315" t="s">
        <v>54</v>
      </c>
      <c r="AT315" t="s">
        <v>54</v>
      </c>
      <c r="AW315" t="s">
        <v>54</v>
      </c>
      <c r="BD315" t="s">
        <v>1638</v>
      </c>
      <c r="BG315" t="s">
        <v>1639</v>
      </c>
      <c r="BH315" t="s">
        <v>1640</v>
      </c>
      <c r="BI315" t="s">
        <v>2937</v>
      </c>
      <c r="BJ315" s="3" t="str">
        <f>HYPERLINK("https://www.instagram.com/reel/DE3xdpbNhld/?utm_source=ig_web_copy_link","https://www.instagram.com/reel/DE3xdpbNhld/?utm_source=ig_web_copy_link")</f>
        <v>https://www.instagram.com/reel/DE3xdpbNhld/?utm_source=ig_web_copy_link</v>
      </c>
    </row>
    <row r="316" ht="25.5" customHeight="1" spans="1:62">
      <c r="A316" t="s">
        <v>3116</v>
      </c>
      <c r="B316" t="s">
        <v>1625</v>
      </c>
      <c r="F316" s="2"/>
      <c r="I316" t="s">
        <v>2089</v>
      </c>
      <c r="J316" t="s">
        <v>1644</v>
      </c>
      <c r="K316" s="3" t="str">
        <f>HYPERLINK("https://www.tiktok.com/@teknoskopp/video/7467108003997699346?_r=1&amp;_t=ZS-8sksGur1Gtj","https://www.tiktok.com/@teknoskopp/video/7467108003997699346?_r=1&amp;_t=ZS-8sksGur1Gtj")</f>
        <v>https://www.tiktok.com/@teknoskopp/video/7467108003997699346?_r=1&amp;_t=ZS-8sksGur1Gtj</v>
      </c>
      <c r="L316" t="s">
        <v>1630</v>
      </c>
      <c r="N316" s="3"/>
      <c r="O316" s="3" t="str">
        <f>HYPERLINK("https://www.tiktok.com/@teknoskopp?_t=ZS-8sksGur1Gtj&amp;_r=1","https://www.tiktok.com/@teknoskopp?_t=ZS-8sksGur1Gtj&amp;_r=1")</f>
        <v>https://www.tiktok.com/@teknoskopp?_t=ZS-8sksGur1Gtj&amp;_r=1</v>
      </c>
      <c r="P316" t="s">
        <v>56</v>
      </c>
      <c r="Q316" t="s">
        <v>57</v>
      </c>
      <c r="R316" t="s">
        <v>1631</v>
      </c>
      <c r="S316" t="s">
        <v>54</v>
      </c>
      <c r="W316" t="s">
        <v>55</v>
      </c>
      <c r="Y316" t="s">
        <v>54</v>
      </c>
      <c r="AA316" t="s">
        <v>55</v>
      </c>
      <c r="AE316" t="s">
        <v>55</v>
      </c>
      <c r="AG316" t="s">
        <v>54</v>
      </c>
      <c r="AI316" t="s">
        <v>55</v>
      </c>
      <c r="AK316" t="s">
        <v>55</v>
      </c>
      <c r="AM316" t="s">
        <v>55</v>
      </c>
      <c r="AO316" t="s">
        <v>55</v>
      </c>
      <c r="AQ316" t="s">
        <v>54</v>
      </c>
      <c r="AT316" t="s">
        <v>54</v>
      </c>
      <c r="AW316" t="s">
        <v>54</v>
      </c>
      <c r="BD316" t="s">
        <v>1638</v>
      </c>
      <c r="BG316" t="s">
        <v>1639</v>
      </c>
      <c r="BH316" t="s">
        <v>1640</v>
      </c>
      <c r="BI316" t="s">
        <v>2087</v>
      </c>
      <c r="BJ316" s="3" t="str">
        <f>HYPERLINK("https://www.tiktok.com/@teknoskopp/video/7467108003997699346?_r=1&amp;_t=ZS-8sksGur1Gtj","https://www.tiktok.com/@teknoskopp/video/7467108003997699346?_r=1&amp;_t=ZS-8sksGur1Gtj")</f>
        <v>https://www.tiktok.com/@teknoskopp/video/7467108003997699346?_r=1&amp;_t=ZS-8sksGur1Gtj</v>
      </c>
    </row>
    <row r="317" ht="25.5" customHeight="1" spans="1:62">
      <c r="A317" t="s">
        <v>3116</v>
      </c>
      <c r="B317" t="s">
        <v>1625</v>
      </c>
      <c r="F317" s="2"/>
      <c r="I317" t="s">
        <v>2089</v>
      </c>
      <c r="J317" t="s">
        <v>1644</v>
      </c>
      <c r="K317" s="3" t="str">
        <f>HYPERLINK("https://www.youtube.com/shorts/_W7dqvs2tYw","https://www.youtube.com/shorts/_W7dqvs2tYw")</f>
        <v>https://www.youtube.com/shorts/_W7dqvs2tYw</v>
      </c>
      <c r="L317" t="s">
        <v>1630</v>
      </c>
      <c r="N317" s="3"/>
      <c r="O317" s="3" t="str">
        <f>HYPERLINK("https://youtube.com/@harunsagaltc?si=9x5TcjjQCLnSVRn7","https://youtube.com/@harunsagaltc?si=9x5TcjjQCLnSVRn7")</f>
        <v>https://youtube.com/@harunsagaltc?si=9x5TcjjQCLnSVRn7</v>
      </c>
      <c r="P317" t="s">
        <v>269</v>
      </c>
      <c r="Q317" t="s">
        <v>423</v>
      </c>
      <c r="R317" t="s">
        <v>1631</v>
      </c>
      <c r="S317" t="s">
        <v>54</v>
      </c>
      <c r="W317" t="s">
        <v>55</v>
      </c>
      <c r="Y317" t="s">
        <v>54</v>
      </c>
      <c r="AA317" t="s">
        <v>55</v>
      </c>
      <c r="AE317" t="s">
        <v>55</v>
      </c>
      <c r="AG317" t="s">
        <v>54</v>
      </c>
      <c r="AI317" t="s">
        <v>55</v>
      </c>
      <c r="AK317" t="s">
        <v>55</v>
      </c>
      <c r="AM317" t="s">
        <v>55</v>
      </c>
      <c r="AO317" t="s">
        <v>55</v>
      </c>
      <c r="AQ317" t="s">
        <v>54</v>
      </c>
      <c r="AT317" t="s">
        <v>54</v>
      </c>
      <c r="AW317" t="s">
        <v>54</v>
      </c>
      <c r="BD317" t="s">
        <v>1638</v>
      </c>
      <c r="BG317" t="s">
        <v>1639</v>
      </c>
      <c r="BH317" t="s">
        <v>1640</v>
      </c>
      <c r="BI317" t="s">
        <v>2087</v>
      </c>
      <c r="BJ317" s="3" t="str">
        <f>HYPERLINK("https://www.youtube.com/shorts/_W7dqvs2tYw","https://www.youtube.com/shorts/_W7dqvs2tYw")</f>
        <v>https://www.youtube.com/shorts/_W7dqvs2tYw</v>
      </c>
    </row>
    <row r="318" ht="25.5" customHeight="1" spans="1:62">
      <c r="A318" t="s">
        <v>2225</v>
      </c>
      <c r="B318" t="s">
        <v>1625</v>
      </c>
      <c r="F318" s="2"/>
      <c r="K318" s="3"/>
      <c r="L318" t="s">
        <v>1630</v>
      </c>
      <c r="N318" s="3"/>
      <c r="O318" s="3" t="str">
        <f>HYPERLINK("https://www.instagram.com/p/DFGb_4cSpFI/","https://www.instagram.com/p/DFGb_4cSpFI/")</f>
        <v>https://www.instagram.com/p/DFGb_4cSpFI/</v>
      </c>
      <c r="P318" t="s">
        <v>65</v>
      </c>
      <c r="Q318" t="s">
        <v>116</v>
      </c>
      <c r="R318" t="s">
        <v>1753</v>
      </c>
      <c r="S318" t="s">
        <v>54</v>
      </c>
      <c r="W318" t="s">
        <v>55</v>
      </c>
      <c r="Y318" t="s">
        <v>54</v>
      </c>
      <c r="AA318" t="s">
        <v>55</v>
      </c>
      <c r="AE318" t="s">
        <v>55</v>
      </c>
      <c r="AG318" t="s">
        <v>54</v>
      </c>
      <c r="AI318" t="s">
        <v>55</v>
      </c>
      <c r="AK318" t="s">
        <v>55</v>
      </c>
      <c r="AM318" t="s">
        <v>55</v>
      </c>
      <c r="AO318" t="s">
        <v>55</v>
      </c>
      <c r="AQ318" t="s">
        <v>54</v>
      </c>
      <c r="AT318" t="s">
        <v>54</v>
      </c>
      <c r="AW318" t="s">
        <v>54</v>
      </c>
      <c r="BD318" t="s">
        <v>1830</v>
      </c>
      <c r="BG318" t="s">
        <v>1639</v>
      </c>
      <c r="BH318" t="s">
        <v>1640</v>
      </c>
      <c r="BI318" t="s">
        <v>2225</v>
      </c>
      <c r="BJ318" s="3"/>
    </row>
    <row r="319" ht="25.5" customHeight="1" spans="2:62">
      <c r="B319" t="s">
        <v>1830</v>
      </c>
      <c r="F319" s="2"/>
      <c r="K319" s="3" t="str">
        <f>HYPERLINK("https://www.instagram.com/p/DFItf9YsKcW/","https://www.instagram.com/p/DFItf9YsKcW/")</f>
        <v>https://www.instagram.com/p/DFItf9YsKcW/</v>
      </c>
      <c r="L319" t="s">
        <v>1630</v>
      </c>
      <c r="N319" s="3"/>
      <c r="O319" s="3"/>
      <c r="P319" t="s">
        <v>65</v>
      </c>
      <c r="Q319" t="s">
        <v>116</v>
      </c>
      <c r="R319" t="s">
        <v>1779</v>
      </c>
      <c r="S319" t="s">
        <v>54</v>
      </c>
      <c r="W319" t="s">
        <v>55</v>
      </c>
      <c r="Y319" t="s">
        <v>54</v>
      </c>
      <c r="AA319" t="s">
        <v>55</v>
      </c>
      <c r="AE319" t="s">
        <v>55</v>
      </c>
      <c r="AG319" t="s">
        <v>54</v>
      </c>
      <c r="AI319" t="s">
        <v>55</v>
      </c>
      <c r="AK319" t="s">
        <v>55</v>
      </c>
      <c r="AM319" t="s">
        <v>55</v>
      </c>
      <c r="AO319" t="s">
        <v>55</v>
      </c>
      <c r="AQ319" t="s">
        <v>54</v>
      </c>
      <c r="AT319" t="s">
        <v>54</v>
      </c>
      <c r="AW319" t="s">
        <v>54</v>
      </c>
      <c r="BD319" t="s">
        <v>1638</v>
      </c>
      <c r="BG319" t="s">
        <v>1639</v>
      </c>
      <c r="BH319" t="s">
        <v>1640</v>
      </c>
      <c r="BI319" t="s">
        <v>2287</v>
      </c>
      <c r="BJ319" s="3" t="str">
        <f>HYPERLINK("https://www.instagram.com/p/DFItf9YsKcW/","https://www.instagram.com/p/DFItf9YsKcW/")</f>
        <v>https://www.instagram.com/p/DFItf9YsKcW/</v>
      </c>
    </row>
    <row r="320" ht="25.5" customHeight="1" spans="2:62">
      <c r="B320" t="s">
        <v>1830</v>
      </c>
      <c r="F320" s="2"/>
      <c r="K320" s="3" t="str">
        <f>HYPERLINK("https://www.youtube.com/shorts/wdjGWeWMzv8","https://www.youtube.com/shorts/wdjGWeWMzv8")</f>
        <v>https://www.youtube.com/shorts/wdjGWeWMzv8</v>
      </c>
      <c r="L320" t="s">
        <v>1630</v>
      </c>
      <c r="N320" s="3"/>
      <c r="O320" s="3"/>
      <c r="P320" t="s">
        <v>269</v>
      </c>
      <c r="Q320" t="s">
        <v>423</v>
      </c>
      <c r="R320" t="s">
        <v>1779</v>
      </c>
      <c r="S320" t="s">
        <v>54</v>
      </c>
      <c r="W320" t="s">
        <v>55</v>
      </c>
      <c r="Y320" t="s">
        <v>54</v>
      </c>
      <c r="AA320" t="s">
        <v>55</v>
      </c>
      <c r="AE320" t="s">
        <v>55</v>
      </c>
      <c r="AG320" t="s">
        <v>54</v>
      </c>
      <c r="AI320" t="s">
        <v>55</v>
      </c>
      <c r="AK320" t="s">
        <v>55</v>
      </c>
      <c r="AM320" t="s">
        <v>55</v>
      </c>
      <c r="AO320" t="s">
        <v>55</v>
      </c>
      <c r="AQ320" t="s">
        <v>54</v>
      </c>
      <c r="AT320" t="s">
        <v>54</v>
      </c>
      <c r="AW320" t="s">
        <v>54</v>
      </c>
      <c r="BD320" t="s">
        <v>1638</v>
      </c>
      <c r="BG320" t="s">
        <v>1639</v>
      </c>
      <c r="BH320" t="s">
        <v>1640</v>
      </c>
      <c r="BJ320" s="3" t="str">
        <f>HYPERLINK("https://www.youtube.com/shorts/wdjGWeWMzv8","https://www.youtube.com/shorts/wdjGWeWMzv8")</f>
        <v>https://www.youtube.com/shorts/wdjGWeWMzv8</v>
      </c>
    </row>
    <row r="321" ht="25.5" customHeight="1" spans="1:62">
      <c r="A321" t="s">
        <v>316</v>
      </c>
      <c r="B321" t="s">
        <v>1625</v>
      </c>
      <c r="F321" s="2"/>
      <c r="K321" s="3" t="str">
        <f>HYPERLINK("https://www.instagram.com/p/DFLGmkYxWD1/?hl=en","https://www.instagram.com/p/DFLGmkYxWD1/?hl=en")</f>
        <v>https://www.instagram.com/p/DFLGmkYxWD1/?hl=en</v>
      </c>
      <c r="L321" t="s">
        <v>1630</v>
      </c>
      <c r="N321" s="3"/>
      <c r="O321" s="3"/>
      <c r="P321" t="s">
        <v>65</v>
      </c>
      <c r="Q321" t="s">
        <v>116</v>
      </c>
      <c r="R321" t="s">
        <v>1887</v>
      </c>
      <c r="S321" t="s">
        <v>54</v>
      </c>
      <c r="W321" t="s">
        <v>55</v>
      </c>
      <c r="Y321" t="s">
        <v>54</v>
      </c>
      <c r="AA321" t="s">
        <v>55</v>
      </c>
      <c r="AE321" t="s">
        <v>55</v>
      </c>
      <c r="AG321" t="s">
        <v>54</v>
      </c>
      <c r="AI321" t="s">
        <v>55</v>
      </c>
      <c r="AK321" t="s">
        <v>55</v>
      </c>
      <c r="AM321" t="s">
        <v>55</v>
      </c>
      <c r="AO321" t="s">
        <v>55</v>
      </c>
      <c r="AQ321" t="s">
        <v>54</v>
      </c>
      <c r="AT321" t="s">
        <v>54</v>
      </c>
      <c r="AW321" t="s">
        <v>54</v>
      </c>
      <c r="BD321" t="s">
        <v>1638</v>
      </c>
      <c r="BG321" t="s">
        <v>1639</v>
      </c>
      <c r="BH321" t="s">
        <v>1640</v>
      </c>
      <c r="BI321" t="s">
        <v>316</v>
      </c>
      <c r="BJ321" s="3" t="str">
        <f>HYPERLINK("https://www.instagram.com/p/DFLGmkYxWD1/?hl=en","https://www.instagram.com/p/DFLGmkYxWD1/?hl=en")</f>
        <v>https://www.instagram.com/p/DFLGmkYxWD1/?hl=en</v>
      </c>
    </row>
    <row r="322" ht="25.5" customHeight="1" spans="1:62">
      <c r="A322" t="s">
        <v>316</v>
      </c>
      <c r="B322" t="s">
        <v>1625</v>
      </c>
      <c r="F322" s="2"/>
      <c r="K322" s="3" t="str">
        <f>HYPERLINK("https://www.tiktok.com/@yomajameskukor/video/7463134702094896417","https://www.tiktok.com/@yomajameskukor/video/7463134702094896417")</f>
        <v>https://www.tiktok.com/@yomajameskukor/video/7463134702094896417</v>
      </c>
      <c r="L322" t="s">
        <v>1630</v>
      </c>
      <c r="N322" s="3"/>
      <c r="O322" s="3"/>
      <c r="P322" t="s">
        <v>56</v>
      </c>
      <c r="Q322" t="s">
        <v>57</v>
      </c>
      <c r="R322" t="s">
        <v>1887</v>
      </c>
      <c r="S322" t="s">
        <v>54</v>
      </c>
      <c r="W322" t="s">
        <v>55</v>
      </c>
      <c r="Y322" t="s">
        <v>54</v>
      </c>
      <c r="AA322" t="s">
        <v>55</v>
      </c>
      <c r="AE322" t="s">
        <v>55</v>
      </c>
      <c r="AG322" t="s">
        <v>54</v>
      </c>
      <c r="AI322" t="s">
        <v>55</v>
      </c>
      <c r="AK322" t="s">
        <v>55</v>
      </c>
      <c r="AM322" t="s">
        <v>55</v>
      </c>
      <c r="AO322" t="s">
        <v>55</v>
      </c>
      <c r="AQ322" t="s">
        <v>54</v>
      </c>
      <c r="AT322" t="s">
        <v>54</v>
      </c>
      <c r="AW322" t="s">
        <v>54</v>
      </c>
      <c r="BD322" t="s">
        <v>1638</v>
      </c>
      <c r="BG322" t="s">
        <v>1639</v>
      </c>
      <c r="BH322" t="s">
        <v>1640</v>
      </c>
      <c r="BI322" t="s">
        <v>316</v>
      </c>
      <c r="BJ322" s="3" t="str">
        <f>HYPERLINK("https://www.tiktok.com/@yomajameskukor/video/7463134702094896417","https://www.tiktok.com/@yomajameskukor/video/7463134702094896417")</f>
        <v>https://www.tiktok.com/@yomajameskukor/video/7463134702094896417</v>
      </c>
    </row>
    <row r="323" ht="25.5" customHeight="1" spans="2:62">
      <c r="B323" t="s">
        <v>1625</v>
      </c>
      <c r="F323" s="2"/>
      <c r="K323" s="3" t="str">
        <f>HYPERLINK("https://www.instagram.com/reel/DFLQgmLNbIy/?igsh=MXZleTVhdGloMmdhaA==","https://www.instagram.com/reel/DFLQgmLNbIy/?igsh=MXZleTVhdGloMmdhaA==")</f>
        <v>https://www.instagram.com/reel/DFLQgmLNbIy/?igsh=MXZleTVhdGloMmdhaA==</v>
      </c>
      <c r="L323" t="s">
        <v>1630</v>
      </c>
      <c r="N323" s="3"/>
      <c r="O323" s="3"/>
      <c r="P323" t="s">
        <v>65</v>
      </c>
      <c r="Q323" t="s">
        <v>116</v>
      </c>
      <c r="R323" t="s">
        <v>1789</v>
      </c>
      <c r="S323" t="s">
        <v>54</v>
      </c>
      <c r="W323" t="s">
        <v>55</v>
      </c>
      <c r="Y323" t="s">
        <v>54</v>
      </c>
      <c r="AA323" t="s">
        <v>55</v>
      </c>
      <c r="AE323" t="s">
        <v>55</v>
      </c>
      <c r="AG323" t="s">
        <v>54</v>
      </c>
      <c r="AI323" t="s">
        <v>55</v>
      </c>
      <c r="AK323" t="s">
        <v>55</v>
      </c>
      <c r="AM323" t="s">
        <v>55</v>
      </c>
      <c r="AO323" t="s">
        <v>55</v>
      </c>
      <c r="AQ323" t="s">
        <v>54</v>
      </c>
      <c r="AT323" t="s">
        <v>54</v>
      </c>
      <c r="AW323" t="s">
        <v>54</v>
      </c>
      <c r="BD323" t="s">
        <v>1638</v>
      </c>
      <c r="BG323" t="s">
        <v>1639</v>
      </c>
      <c r="BH323" t="s">
        <v>1640</v>
      </c>
      <c r="BI323" t="s">
        <v>1239</v>
      </c>
      <c r="BJ323" s="3" t="str">
        <f>HYPERLINK("https://www.instagram.com/reel/DFLQgmLNbIy/?igsh=MXZleTVhdGloMmdhaA==","https://www.instagram.com/reel/DFLQgmLNbIy/?igsh=MXZleTVhdGloMmdhaA==")</f>
        <v>https://www.instagram.com/reel/DFLQgmLNbIy/?igsh=MXZleTVhdGloMmdhaA==</v>
      </c>
    </row>
    <row r="324" ht="25.5" customHeight="1" spans="1:62">
      <c r="A324" t="s">
        <v>2207</v>
      </c>
      <c r="B324" t="s">
        <v>1625</v>
      </c>
      <c r="F324" s="2"/>
      <c r="J324" t="s">
        <v>1644</v>
      </c>
      <c r="K324" s="3" t="str">
        <f>HYPERLINK("https://www.facebook.com/share/r/1BaHvAGZkH/?mibextid=wwXIfr","https://www.facebook.com/share/r/1BaHvAGZkH/?mibextid=wwXIfr")</f>
        <v>https://www.facebook.com/share/r/1BaHvAGZkH/?mibextid=wwXIfr</v>
      </c>
      <c r="L324" t="s">
        <v>1630</v>
      </c>
      <c r="N324" s="3"/>
      <c r="O324" s="3"/>
      <c r="P324" t="s">
        <v>1116</v>
      </c>
      <c r="Q324" t="s">
        <v>2742</v>
      </c>
      <c r="R324" t="s">
        <v>1703</v>
      </c>
      <c r="S324" t="s">
        <v>54</v>
      </c>
      <c r="W324" t="s">
        <v>55</v>
      </c>
      <c r="Y324" t="s">
        <v>54</v>
      </c>
      <c r="AA324" t="s">
        <v>55</v>
      </c>
      <c r="AE324" t="s">
        <v>55</v>
      </c>
      <c r="AG324" t="s">
        <v>54</v>
      </c>
      <c r="AI324" t="s">
        <v>55</v>
      </c>
      <c r="AK324" t="s">
        <v>55</v>
      </c>
      <c r="AM324" t="s">
        <v>55</v>
      </c>
      <c r="AO324" t="s">
        <v>55</v>
      </c>
      <c r="AQ324" t="s">
        <v>54</v>
      </c>
      <c r="AT324" t="s">
        <v>54</v>
      </c>
      <c r="AW324" t="s">
        <v>54</v>
      </c>
      <c r="BD324" t="s">
        <v>1638</v>
      </c>
      <c r="BG324" t="s">
        <v>1639</v>
      </c>
      <c r="BH324" t="s">
        <v>1640</v>
      </c>
      <c r="BI324" t="s">
        <v>2207</v>
      </c>
      <c r="BJ324" s="3" t="str">
        <f>HYPERLINK("https://www.facebook.com/share/r/1BaHvAGZkH/?mibextid=wwXIfr","https://www.facebook.com/share/r/1BaHvAGZkH/?mibextid=wwXIfr")</f>
        <v>https://www.facebook.com/share/r/1BaHvAGZkH/?mibextid=wwXIfr</v>
      </c>
    </row>
    <row r="325" ht="25.5" customHeight="1" spans="1:62">
      <c r="A325" t="s">
        <v>2207</v>
      </c>
      <c r="B325" t="s">
        <v>1625</v>
      </c>
      <c r="F325" s="2"/>
      <c r="J325" t="s">
        <v>1644</v>
      </c>
      <c r="K325" s="3" t="str">
        <f>HYPERLINK("https://youtube.com/shorts/P0l8po2Dua8?si=NF229ILVwy-byVS6","https://youtube.com/shorts/P0l8po2Dua8?si=NF229ILVwy-byVS6")</f>
        <v>https://youtube.com/shorts/P0l8po2Dua8?si=NF229ILVwy-byVS6</v>
      </c>
      <c r="L325" t="s">
        <v>1630</v>
      </c>
      <c r="N325" s="3"/>
      <c r="O325" s="3"/>
      <c r="P325" t="s">
        <v>269</v>
      </c>
      <c r="Q325" t="s">
        <v>423</v>
      </c>
      <c r="R325" t="s">
        <v>1703</v>
      </c>
      <c r="S325" t="s">
        <v>54</v>
      </c>
      <c r="W325" t="s">
        <v>55</v>
      </c>
      <c r="Y325" t="s">
        <v>54</v>
      </c>
      <c r="AA325" t="s">
        <v>55</v>
      </c>
      <c r="AE325" t="s">
        <v>55</v>
      </c>
      <c r="AG325" t="s">
        <v>54</v>
      </c>
      <c r="AI325" t="s">
        <v>55</v>
      </c>
      <c r="AK325" t="s">
        <v>55</v>
      </c>
      <c r="AM325" t="s">
        <v>55</v>
      </c>
      <c r="AO325" t="s">
        <v>55</v>
      </c>
      <c r="AQ325" t="s">
        <v>54</v>
      </c>
      <c r="AT325" t="s">
        <v>54</v>
      </c>
      <c r="AW325" t="s">
        <v>54</v>
      </c>
      <c r="BD325" t="s">
        <v>1638</v>
      </c>
      <c r="BG325" t="s">
        <v>1639</v>
      </c>
      <c r="BH325" t="s">
        <v>1640</v>
      </c>
      <c r="BI325" t="s">
        <v>2207</v>
      </c>
      <c r="BJ325" s="3" t="str">
        <f>HYPERLINK("https://youtube.com/shorts/P0l8po2Dua8?si=NF229ILVwy-byVS6","https://youtube.com/shorts/P0l8po2Dua8?si=NF229ILVwy-byVS6")</f>
        <v>https://youtube.com/shorts/P0l8po2Dua8?si=NF229ILVwy-byVS6</v>
      </c>
    </row>
    <row r="326" ht="25.5" customHeight="1" spans="2:62">
      <c r="B326" t="s">
        <v>1625</v>
      </c>
      <c r="F326" s="2"/>
      <c r="K326" s="3" t="str">
        <f>HYPERLINK("https://www.instagram.com/reel/DFZlkO3Ohvf/?igsh=MXM5MjIxbHcxODVieg==","https://www.instagram.com/reel/DFZlkO3Ohvf/?igsh=MXM5MjIxbHcxODVieg==")</f>
        <v>https://www.instagram.com/reel/DFZlkO3Ohvf/?igsh=MXM5MjIxbHcxODVieg==</v>
      </c>
      <c r="L326" t="s">
        <v>1630</v>
      </c>
      <c r="N326" s="3"/>
      <c r="O326" s="3"/>
      <c r="P326" t="s">
        <v>65</v>
      </c>
      <c r="Q326" t="s">
        <v>116</v>
      </c>
      <c r="R326" t="s">
        <v>1753</v>
      </c>
      <c r="S326" t="s">
        <v>54</v>
      </c>
      <c r="W326" t="s">
        <v>55</v>
      </c>
      <c r="Y326" t="s">
        <v>54</v>
      </c>
      <c r="AA326" t="s">
        <v>55</v>
      </c>
      <c r="AE326" t="s">
        <v>55</v>
      </c>
      <c r="AG326" t="s">
        <v>54</v>
      </c>
      <c r="AI326" t="s">
        <v>55</v>
      </c>
      <c r="AK326" t="s">
        <v>55</v>
      </c>
      <c r="AM326" t="s">
        <v>55</v>
      </c>
      <c r="AO326" t="s">
        <v>55</v>
      </c>
      <c r="AQ326" t="s">
        <v>54</v>
      </c>
      <c r="AT326" t="s">
        <v>54</v>
      </c>
      <c r="AW326" t="s">
        <v>54</v>
      </c>
      <c r="BD326" t="s">
        <v>1638</v>
      </c>
      <c r="BG326" t="s">
        <v>1639</v>
      </c>
      <c r="BH326" t="s">
        <v>1640</v>
      </c>
      <c r="BI326" t="s">
        <v>2030</v>
      </c>
      <c r="BJ326" s="3" t="str">
        <f>HYPERLINK("https://www.instagram.com/reel/DFZlkO3Ohvf/?igsh=MXM5MjIxbHcxODVieg==","https://www.instagram.com/reel/DFZlkO3Ohvf/?igsh=MXM5MjIxbHcxODVieg==")</f>
        <v>https://www.instagram.com/reel/DFZlkO3Ohvf/?igsh=MXM5MjIxbHcxODVieg==</v>
      </c>
    </row>
    <row r="327" ht="25.5" customHeight="1" spans="2:62">
      <c r="B327" t="s">
        <v>1830</v>
      </c>
      <c r="F327" s="2"/>
      <c r="K327" s="3" t="str">
        <f>HYPERLINK("https://www.instagram.com/reel/DFV-dWUPNQ1/?igsh=MW1vMHowcWIwbHFvMQ%3D%3D","https://www.instagram.com/reel/DFV-dWUPNQ1/?igsh=MW1vMHowcWIwbHFvMQ%3D%3D")</f>
        <v>https://www.instagram.com/reel/DFV-dWUPNQ1/?igsh=MW1vMHowcWIwbHFvMQ%3D%3D</v>
      </c>
      <c r="L327" t="s">
        <v>1630</v>
      </c>
      <c r="N327" s="3"/>
      <c r="O327" s="3"/>
      <c r="P327" t="s">
        <v>65</v>
      </c>
      <c r="Q327" t="s">
        <v>116</v>
      </c>
      <c r="R327" t="s">
        <v>1652</v>
      </c>
      <c r="S327" t="s">
        <v>54</v>
      </c>
      <c r="W327" t="s">
        <v>55</v>
      </c>
      <c r="Y327" t="s">
        <v>54</v>
      </c>
      <c r="AA327" t="s">
        <v>55</v>
      </c>
      <c r="AE327" t="s">
        <v>55</v>
      </c>
      <c r="AG327" t="s">
        <v>54</v>
      </c>
      <c r="AI327" t="s">
        <v>55</v>
      </c>
      <c r="AK327" t="s">
        <v>55</v>
      </c>
      <c r="AM327" t="s">
        <v>55</v>
      </c>
      <c r="AO327" t="s">
        <v>55</v>
      </c>
      <c r="AQ327" t="s">
        <v>54</v>
      </c>
      <c r="AT327" t="s">
        <v>54</v>
      </c>
      <c r="AW327" t="s">
        <v>54</v>
      </c>
      <c r="BD327" t="s">
        <v>1638</v>
      </c>
      <c r="BG327" t="s">
        <v>1639</v>
      </c>
      <c r="BH327" t="s">
        <v>1640</v>
      </c>
      <c r="BI327" t="s">
        <v>2407</v>
      </c>
      <c r="BJ327" s="3" t="str">
        <f>HYPERLINK("https://www.instagram.com/reel/DFV-dWUPNQ1/?igsh=MW1vMHowcWIwbHFvMQ%3D%3D","https://www.instagram.com/reel/DFV-dWUPNQ1/?igsh=MW1vMHowcWIwbHFvMQ%3D%3D")</f>
        <v>https://www.instagram.com/reel/DFV-dWUPNQ1/?igsh=MW1vMHowcWIwbHFvMQ%3D%3D</v>
      </c>
    </row>
    <row r="328" ht="25.5" customHeight="1" spans="1:62">
      <c r="A328" t="s">
        <v>2621</v>
      </c>
      <c r="B328" t="s">
        <v>1625</v>
      </c>
      <c r="F328" s="2"/>
      <c r="K328" s="3" t="str">
        <f>HYPERLINK("https://youtube.com/shorts/DJTfFASA4GM?si=vVwar0UPcZ_neYtS","https://youtube.com/shorts/DJTfFASA4GM?si=vVwar0UPcZ_neYtS")</f>
        <v>https://youtube.com/shorts/DJTfFASA4GM?si=vVwar0UPcZ_neYtS</v>
      </c>
      <c r="L328" t="s">
        <v>1630</v>
      </c>
      <c r="N328" s="3"/>
      <c r="O328" s="3"/>
      <c r="P328" t="s">
        <v>269</v>
      </c>
      <c r="Q328" t="s">
        <v>423</v>
      </c>
      <c r="R328" t="s">
        <v>97</v>
      </c>
      <c r="S328" t="s">
        <v>54</v>
      </c>
      <c r="W328" t="s">
        <v>55</v>
      </c>
      <c r="Y328" t="s">
        <v>54</v>
      </c>
      <c r="AA328" t="s">
        <v>55</v>
      </c>
      <c r="AE328" t="s">
        <v>55</v>
      </c>
      <c r="AG328" t="s">
        <v>54</v>
      </c>
      <c r="AI328" t="s">
        <v>55</v>
      </c>
      <c r="AK328" t="s">
        <v>55</v>
      </c>
      <c r="AM328" t="s">
        <v>55</v>
      </c>
      <c r="AO328" t="s">
        <v>55</v>
      </c>
      <c r="AQ328" t="s">
        <v>54</v>
      </c>
      <c r="AT328" t="s">
        <v>54</v>
      </c>
      <c r="AW328" t="s">
        <v>54</v>
      </c>
      <c r="BD328" t="s">
        <v>1638</v>
      </c>
      <c r="BG328" t="s">
        <v>1639</v>
      </c>
      <c r="BH328" t="s">
        <v>1640</v>
      </c>
      <c r="BI328" t="s">
        <v>2621</v>
      </c>
      <c r="BJ328" s="3" t="str">
        <f>HYPERLINK("https://youtube.com/shorts/DJTfFASA4GM?si=vVwar0UPcZ_neYtS","https://youtube.com/shorts/DJTfFASA4GM?si=vVwar0UPcZ_neYtS")</f>
        <v>https://youtube.com/shorts/DJTfFASA4GM?si=vVwar0UPcZ_neYtS</v>
      </c>
    </row>
    <row r="329" ht="25.5" customHeight="1" spans="2:62">
      <c r="B329" t="s">
        <v>1625</v>
      </c>
      <c r="F329" s="2"/>
      <c r="K329" s="3" t="str">
        <f>HYPERLINK("https://vt.tiktok.com/ZSMdfFXXB/","https://vt.tiktok.com/ZSMdfFXXB/")</f>
        <v>https://vt.tiktok.com/ZSMdfFXXB/</v>
      </c>
      <c r="L329" t="s">
        <v>1630</v>
      </c>
      <c r="N329" s="3"/>
      <c r="O329" s="3"/>
      <c r="P329" t="s">
        <v>56</v>
      </c>
      <c r="S329" t="s">
        <v>54</v>
      </c>
      <c r="W329" t="s">
        <v>55</v>
      </c>
      <c r="Y329" t="s">
        <v>54</v>
      </c>
      <c r="AA329" t="s">
        <v>55</v>
      </c>
      <c r="AE329" t="s">
        <v>55</v>
      </c>
      <c r="AG329" t="s">
        <v>54</v>
      </c>
      <c r="AI329" t="s">
        <v>55</v>
      </c>
      <c r="AK329" t="s">
        <v>55</v>
      </c>
      <c r="AM329" t="s">
        <v>55</v>
      </c>
      <c r="AO329" t="s">
        <v>55</v>
      </c>
      <c r="AQ329" t="s">
        <v>54</v>
      </c>
      <c r="AT329" t="s">
        <v>54</v>
      </c>
      <c r="AW329" t="s">
        <v>54</v>
      </c>
      <c r="BD329" t="s">
        <v>1638</v>
      </c>
      <c r="BG329" t="s">
        <v>1639</v>
      </c>
      <c r="BH329" t="s">
        <v>1640</v>
      </c>
      <c r="BI329" t="s">
        <v>320</v>
      </c>
      <c r="BJ329" s="3" t="str">
        <f>HYPERLINK("https://vt.tiktok.com/ZSMdfFXXB/","https://vt.tiktok.com/ZSMdfFXXB/")</f>
        <v>https://vt.tiktok.com/ZSMdfFXXB/</v>
      </c>
    </row>
  </sheetData>
  <dataValidations count="8">
    <dataValidation type="list" sqref="D2:D328">
      <formula1>"已付,已提醒,预付一半"</formula1>
    </dataValidation>
    <dataValidation type="list" sqref="L2:L328">
      <formula1>"Posted,Not yet,取消合作"</formula1>
    </dataValidation>
    <dataValidation type="list" sqref="M2:M328">
      <formula1>"Paid,Should be paid ASAP,50% paid,No rush on payment"</formula1>
    </dataValidation>
    <dataValidation type="list" sqref="P2:P328">
      <formula1>"Instagram,Youtube,Tiktok,Facebook,Snapchat,TTCM,Linkedin,Pinterest,唐旭康,Twitter,,Threads"</formula1>
    </dataValidation>
    <dataValidation type="list" sqref="R2:R328">
      <formula1>"T1 - United States,T1 - United Kingdom,T1 - Canada,T1 - Australia,T1 - Spain,T1 - France,T1 - United Arab Emirates,T2 - Mexico,T2 - Italy,T2 - Japan,T2 - Germany,其他国家,T1国家,T2国家,波兰,December,T1国家 ,暂停合作,Taiwan"</formula1>
    </dataValidation>
    <dataValidation type="list" sqref="X2:X328">
      <formula1>"Business &amp; Careers,Tech(software),Tech(software+hardware),Entrepeneurship &amp; Startups,Others"</formula1>
    </dataValidation>
    <dataValidation type="list" sqref="AB2:AB328">
      <formula1>"Exellent,Good,Average,Could be improved,Low,https://www.tiktok.com/@eloiljf?lang=en"</formula1>
    </dataValidation>
    <dataValidation type="list" sqref="AF2:AF328 AP2:AP328">
      <formula1>"Yes,No"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70"/>
  <sheetViews>
    <sheetView workbookViewId="0">
      <selection activeCell="A1" sqref="A1"/>
    </sheetView>
  </sheetViews>
  <sheetFormatPr defaultColWidth="9.64285714285714" defaultRowHeight="16.8"/>
  <cols>
    <col min="1" max="20" width="19" customWidth="1"/>
  </cols>
  <sheetData>
    <row r="1" ht="13" customHeight="1" spans="1:20">
      <c r="A1" s="1" t="s">
        <v>0</v>
      </c>
      <c r="B1" s="1" t="s">
        <v>8</v>
      </c>
      <c r="C1" s="1" t="s">
        <v>3117</v>
      </c>
      <c r="D1" s="1" t="s">
        <v>3118</v>
      </c>
      <c r="E1" s="1" t="s">
        <v>3119</v>
      </c>
      <c r="F1" s="1" t="s">
        <v>3120</v>
      </c>
      <c r="G1" s="1" t="s">
        <v>3121</v>
      </c>
      <c r="H1" s="1" t="s">
        <v>3122</v>
      </c>
      <c r="I1" s="1" t="s">
        <v>3123</v>
      </c>
      <c r="J1" s="1" t="s">
        <v>3124</v>
      </c>
      <c r="K1" s="1" t="s">
        <v>3125</v>
      </c>
      <c r="L1" s="1" t="s">
        <v>3126</v>
      </c>
      <c r="M1" s="1" t="s">
        <v>3127</v>
      </c>
      <c r="N1" s="1" t="s">
        <v>1630</v>
      </c>
      <c r="O1" s="1" t="s">
        <v>3128</v>
      </c>
      <c r="P1" s="1" t="s">
        <v>9</v>
      </c>
      <c r="Q1" s="1" t="s">
        <v>10</v>
      </c>
      <c r="R1" s="1" t="s">
        <v>3129</v>
      </c>
      <c r="S1" s="1" t="s">
        <v>3130</v>
      </c>
      <c r="T1" s="1" t="s">
        <v>3131</v>
      </c>
    </row>
    <row r="2" ht="25.5" customHeight="1" spans="1:20">
      <c r="A2" t="s">
        <v>2850</v>
      </c>
      <c r="B2" t="s">
        <v>56</v>
      </c>
      <c r="D2" s="3"/>
      <c r="E2" s="2"/>
      <c r="M2" t="s">
        <v>3132</v>
      </c>
      <c r="N2" t="s">
        <v>1645</v>
      </c>
      <c r="O2" s="4">
        <v>45670.743587963</v>
      </c>
      <c r="P2" t="s">
        <v>57</v>
      </c>
      <c r="Q2" t="s">
        <v>1652</v>
      </c>
      <c r="R2" t="s">
        <v>3133</v>
      </c>
      <c r="T2" t="s">
        <v>57</v>
      </c>
    </row>
    <row r="3" ht="25.5" customHeight="1" spans="1:18">
      <c r="A3" t="s">
        <v>3134</v>
      </c>
      <c r="D3" s="3" t="str">
        <f>HYPERLINK("https://www.instagram.com/theaifield/","https://www.instagram.com/theaifield/")</f>
        <v>https://www.instagram.com/theaifield/</v>
      </c>
      <c r="E3" s="2">
        <v>45668</v>
      </c>
      <c r="F3">
        <v>108000</v>
      </c>
      <c r="O3" s="4">
        <v>45673.4839351852</v>
      </c>
      <c r="R3" t="s">
        <v>3133</v>
      </c>
    </row>
    <row r="4" ht="25.5" customHeight="1" spans="1:18">
      <c r="A4" t="s">
        <v>3134</v>
      </c>
      <c r="D4" s="3"/>
      <c r="E4" s="2">
        <v>45671</v>
      </c>
      <c r="F4">
        <v>110000</v>
      </c>
      <c r="O4" s="4">
        <v>45673.4851273148</v>
      </c>
      <c r="R4" t="s">
        <v>3133</v>
      </c>
    </row>
    <row r="5" ht="25.5" customHeight="1" spans="1:18">
      <c r="A5" t="s">
        <v>3135</v>
      </c>
      <c r="D5" s="3"/>
      <c r="E5" s="2">
        <v>45672</v>
      </c>
      <c r="F5">
        <v>112000</v>
      </c>
      <c r="O5" s="4">
        <v>45674.5192824074</v>
      </c>
      <c r="R5" t="s">
        <v>3133</v>
      </c>
    </row>
    <row r="6" ht="25.5" customHeight="1" spans="1:18">
      <c r="A6" t="s">
        <v>3135</v>
      </c>
      <c r="D6" s="3"/>
      <c r="E6" s="2">
        <v>45673</v>
      </c>
      <c r="F6">
        <v>116000</v>
      </c>
      <c r="O6" s="4">
        <v>45674.5195601852</v>
      </c>
      <c r="R6" t="s">
        <v>3133</v>
      </c>
    </row>
    <row r="7" ht="25.5" customHeight="1" spans="1:18">
      <c r="A7" t="s">
        <v>3136</v>
      </c>
      <c r="D7" s="3"/>
      <c r="E7" s="2">
        <v>45674</v>
      </c>
      <c r="F7">
        <v>123000</v>
      </c>
      <c r="O7" s="4">
        <v>45677.3920717593</v>
      </c>
      <c r="R7" t="s">
        <v>3133</v>
      </c>
    </row>
    <row r="8" ht="25.5" customHeight="1" spans="1:18">
      <c r="A8" t="s">
        <v>3136</v>
      </c>
      <c r="D8" s="3"/>
      <c r="E8" s="2">
        <v>45677</v>
      </c>
      <c r="F8">
        <v>131000</v>
      </c>
      <c r="O8" s="4">
        <v>45677.3933217593</v>
      </c>
      <c r="R8" t="s">
        <v>3133</v>
      </c>
    </row>
    <row r="9" ht="25.5" customHeight="1" spans="1:20">
      <c r="A9" t="s">
        <v>2047</v>
      </c>
      <c r="B9" t="s">
        <v>65</v>
      </c>
      <c r="C9" t="s">
        <v>3137</v>
      </c>
      <c r="D9" s="3" t="str">
        <f>HYPERLINK("https://www.instagram.com/adam.godigital/reels/","https://www.instagram.com/adam.godigital/reels/")</f>
        <v>https://www.instagram.com/adam.godigital/reels/</v>
      </c>
      <c r="E9" s="2">
        <v>45664</v>
      </c>
      <c r="F9">
        <v>1200000</v>
      </c>
      <c r="G9">
        <v>17200</v>
      </c>
      <c r="H9">
        <v>276</v>
      </c>
      <c r="I9">
        <v>16</v>
      </c>
      <c r="L9" t="s">
        <v>3138</v>
      </c>
      <c r="M9" t="s">
        <v>3139</v>
      </c>
      <c r="N9" t="s">
        <v>1630</v>
      </c>
      <c r="O9" s="4">
        <v>45680.5032291667</v>
      </c>
      <c r="P9" t="s">
        <v>116</v>
      </c>
      <c r="Q9" t="s">
        <v>97</v>
      </c>
      <c r="R9" t="s">
        <v>3140</v>
      </c>
      <c r="T9" t="s">
        <v>116</v>
      </c>
    </row>
    <row r="10" ht="25.5" customHeight="1" spans="1:20">
      <c r="A10" t="s">
        <v>2047</v>
      </c>
      <c r="B10" t="s">
        <v>65</v>
      </c>
      <c r="C10" t="s">
        <v>3137</v>
      </c>
      <c r="D10" s="3"/>
      <c r="E10" s="2">
        <v>45665</v>
      </c>
      <c r="F10">
        <v>1200000</v>
      </c>
      <c r="G10">
        <v>21400</v>
      </c>
      <c r="H10">
        <v>321</v>
      </c>
      <c r="I10">
        <v>18</v>
      </c>
      <c r="L10" t="s">
        <v>3138</v>
      </c>
      <c r="M10" t="s">
        <v>3139</v>
      </c>
      <c r="N10" t="s">
        <v>1630</v>
      </c>
      <c r="O10" s="4">
        <v>45672.5030092593</v>
      </c>
      <c r="P10" t="s">
        <v>116</v>
      </c>
      <c r="Q10" t="s">
        <v>97</v>
      </c>
      <c r="R10" t="s">
        <v>3141</v>
      </c>
      <c r="T10" t="s">
        <v>116</v>
      </c>
    </row>
    <row r="11" ht="25.5" customHeight="1" spans="1:20">
      <c r="A11" t="s">
        <v>2047</v>
      </c>
      <c r="B11" t="s">
        <v>65</v>
      </c>
      <c r="C11" t="s">
        <v>3137</v>
      </c>
      <c r="D11" s="3"/>
      <c r="E11" s="2">
        <v>45670</v>
      </c>
      <c r="F11">
        <v>1200000</v>
      </c>
      <c r="G11">
        <v>31400</v>
      </c>
      <c r="H11">
        <v>426</v>
      </c>
      <c r="I11">
        <v>22</v>
      </c>
      <c r="L11" t="s">
        <v>3138</v>
      </c>
      <c r="M11" t="s">
        <v>3139</v>
      </c>
      <c r="N11" t="s">
        <v>1630</v>
      </c>
      <c r="O11" s="4">
        <v>45672.5030092593</v>
      </c>
      <c r="P11" t="s">
        <v>116</v>
      </c>
      <c r="Q11" t="s">
        <v>97</v>
      </c>
      <c r="R11" t="s">
        <v>3142</v>
      </c>
      <c r="T11" t="s">
        <v>116</v>
      </c>
    </row>
    <row r="12" ht="25.5" customHeight="1" spans="1:20">
      <c r="A12" t="s">
        <v>2047</v>
      </c>
      <c r="B12" t="s">
        <v>65</v>
      </c>
      <c r="C12" t="s">
        <v>3137</v>
      </c>
      <c r="D12" s="3"/>
      <c r="E12" s="2">
        <v>45671</v>
      </c>
      <c r="F12">
        <v>1200000</v>
      </c>
      <c r="G12">
        <v>31800</v>
      </c>
      <c r="H12">
        <v>433</v>
      </c>
      <c r="I12">
        <v>23</v>
      </c>
      <c r="L12" t="s">
        <v>3138</v>
      </c>
      <c r="M12" t="s">
        <v>3139</v>
      </c>
      <c r="N12" t="s">
        <v>1630</v>
      </c>
      <c r="O12" s="4">
        <v>45672.5030092593</v>
      </c>
      <c r="P12" t="s">
        <v>116</v>
      </c>
      <c r="Q12" t="s">
        <v>97</v>
      </c>
      <c r="R12" t="s">
        <v>3143</v>
      </c>
      <c r="T12" t="s">
        <v>116</v>
      </c>
    </row>
    <row r="13" ht="25.5" customHeight="1" spans="1:20">
      <c r="A13" t="s">
        <v>2047</v>
      </c>
      <c r="B13" t="s">
        <v>65</v>
      </c>
      <c r="C13" t="s">
        <v>3137</v>
      </c>
      <c r="D13" s="3"/>
      <c r="E13" s="2">
        <v>45672</v>
      </c>
      <c r="F13">
        <v>1200000</v>
      </c>
      <c r="G13">
        <v>32100</v>
      </c>
      <c r="H13">
        <v>436</v>
      </c>
      <c r="I13">
        <v>23</v>
      </c>
      <c r="L13" t="s">
        <v>3138</v>
      </c>
      <c r="M13" t="s">
        <v>3139</v>
      </c>
      <c r="N13" t="s">
        <v>1630</v>
      </c>
      <c r="O13" s="4">
        <v>45672.5030092593</v>
      </c>
      <c r="P13" t="s">
        <v>116</v>
      </c>
      <c r="Q13" t="s">
        <v>97</v>
      </c>
      <c r="R13" t="s">
        <v>3144</v>
      </c>
      <c r="T13" t="s">
        <v>116</v>
      </c>
    </row>
    <row r="14" ht="25.5" customHeight="1" spans="1:20">
      <c r="A14" t="s">
        <v>2047</v>
      </c>
      <c r="B14" t="s">
        <v>65</v>
      </c>
      <c r="C14" t="s">
        <v>3137</v>
      </c>
      <c r="D14" s="3"/>
      <c r="E14" s="2">
        <v>45673</v>
      </c>
      <c r="F14">
        <v>1200000</v>
      </c>
      <c r="G14">
        <v>32400</v>
      </c>
      <c r="H14">
        <v>440</v>
      </c>
      <c r="I14">
        <v>23</v>
      </c>
      <c r="L14" t="s">
        <v>3138</v>
      </c>
      <c r="M14" t="s">
        <v>3139</v>
      </c>
      <c r="N14" t="s">
        <v>1630</v>
      </c>
      <c r="O14" s="4">
        <v>45673.4836805556</v>
      </c>
      <c r="P14" t="s">
        <v>116</v>
      </c>
      <c r="Q14" t="s">
        <v>97</v>
      </c>
      <c r="R14" t="s">
        <v>3145</v>
      </c>
      <c r="T14" t="s">
        <v>116</v>
      </c>
    </row>
    <row r="15" ht="25.5" customHeight="1" spans="1:20">
      <c r="A15" t="s">
        <v>2047</v>
      </c>
      <c r="B15" t="s">
        <v>65</v>
      </c>
      <c r="C15" t="s">
        <v>3137</v>
      </c>
      <c r="D15" s="3"/>
      <c r="E15" s="2">
        <v>45674</v>
      </c>
      <c r="F15">
        <v>1200000</v>
      </c>
      <c r="G15">
        <v>32600</v>
      </c>
      <c r="H15">
        <v>445</v>
      </c>
      <c r="I15">
        <v>23</v>
      </c>
      <c r="L15" t="s">
        <v>3138</v>
      </c>
      <c r="M15" t="s">
        <v>3139</v>
      </c>
      <c r="N15" t="s">
        <v>1630</v>
      </c>
      <c r="O15" s="4">
        <v>45674.5210763889</v>
      </c>
      <c r="P15" t="s">
        <v>116</v>
      </c>
      <c r="Q15" t="s">
        <v>97</v>
      </c>
      <c r="R15" t="s">
        <v>3146</v>
      </c>
      <c r="T15" t="s">
        <v>116</v>
      </c>
    </row>
    <row r="16" ht="25.5" customHeight="1" spans="1:20">
      <c r="A16" t="s">
        <v>2047</v>
      </c>
      <c r="B16" t="s">
        <v>65</v>
      </c>
      <c r="C16" t="s">
        <v>3137</v>
      </c>
      <c r="D16" s="3"/>
      <c r="E16" s="2">
        <v>45677</v>
      </c>
      <c r="F16">
        <v>1200000</v>
      </c>
      <c r="G16">
        <v>33500</v>
      </c>
      <c r="H16">
        <v>453</v>
      </c>
      <c r="I16">
        <v>23</v>
      </c>
      <c r="L16" t="s">
        <v>3138</v>
      </c>
      <c r="M16" t="s">
        <v>3139</v>
      </c>
      <c r="N16" t="s">
        <v>1630</v>
      </c>
      <c r="O16" s="4">
        <v>45677.3860300926</v>
      </c>
      <c r="P16" t="s">
        <v>116</v>
      </c>
      <c r="Q16" t="s">
        <v>97</v>
      </c>
      <c r="R16" t="s">
        <v>3147</v>
      </c>
      <c r="T16" t="s">
        <v>116</v>
      </c>
    </row>
    <row r="17" ht="25.5" customHeight="1" spans="1:20">
      <c r="A17" t="s">
        <v>2047</v>
      </c>
      <c r="B17" t="s">
        <v>65</v>
      </c>
      <c r="C17" t="s">
        <v>3137</v>
      </c>
      <c r="D17" s="3"/>
      <c r="E17" s="2">
        <v>45678</v>
      </c>
      <c r="F17">
        <v>1200000</v>
      </c>
      <c r="G17">
        <v>33700</v>
      </c>
      <c r="H17">
        <v>454</v>
      </c>
      <c r="I17">
        <v>23</v>
      </c>
      <c r="L17" t="s">
        <v>3138</v>
      </c>
      <c r="M17" t="s">
        <v>3139</v>
      </c>
      <c r="N17" t="s">
        <v>1630</v>
      </c>
      <c r="O17" s="4">
        <v>45678.4925925926</v>
      </c>
      <c r="P17" t="s">
        <v>116</v>
      </c>
      <c r="Q17" t="s">
        <v>97</v>
      </c>
      <c r="R17" t="s">
        <v>3148</v>
      </c>
      <c r="T17" t="s">
        <v>116</v>
      </c>
    </row>
    <row r="18" ht="25.5" customHeight="1" spans="1:20">
      <c r="A18" t="s">
        <v>2047</v>
      </c>
      <c r="B18" t="s">
        <v>65</v>
      </c>
      <c r="C18" t="s">
        <v>3137</v>
      </c>
      <c r="D18" s="3"/>
      <c r="E18" s="2">
        <v>45679</v>
      </c>
      <c r="F18">
        <v>1200000</v>
      </c>
      <c r="G18">
        <v>33900</v>
      </c>
      <c r="H18">
        <v>457</v>
      </c>
      <c r="I18">
        <v>23</v>
      </c>
      <c r="L18" t="s">
        <v>3138</v>
      </c>
      <c r="M18" t="s">
        <v>3139</v>
      </c>
      <c r="N18" t="s">
        <v>1630</v>
      </c>
      <c r="O18" s="4">
        <v>45679.6550925926</v>
      </c>
      <c r="P18" t="s">
        <v>116</v>
      </c>
      <c r="Q18" t="s">
        <v>97</v>
      </c>
      <c r="R18" t="s">
        <v>3149</v>
      </c>
      <c r="T18" t="s">
        <v>116</v>
      </c>
    </row>
    <row r="19" ht="25.5" customHeight="1" spans="1:20">
      <c r="A19" t="s">
        <v>2047</v>
      </c>
      <c r="B19" t="s">
        <v>65</v>
      </c>
      <c r="C19" t="s">
        <v>3137</v>
      </c>
      <c r="D19" s="3"/>
      <c r="E19" s="2">
        <v>45680</v>
      </c>
      <c r="F19">
        <v>1200000</v>
      </c>
      <c r="G19">
        <v>34000</v>
      </c>
      <c r="H19">
        <v>457</v>
      </c>
      <c r="I19">
        <v>23</v>
      </c>
      <c r="L19" t="s">
        <v>3138</v>
      </c>
      <c r="M19" t="s">
        <v>3139</v>
      </c>
      <c r="N19" t="s">
        <v>1630</v>
      </c>
      <c r="O19" s="4">
        <v>45680.5033912037</v>
      </c>
      <c r="P19" t="s">
        <v>116</v>
      </c>
      <c r="Q19" t="s">
        <v>97</v>
      </c>
      <c r="R19" t="s">
        <v>3149</v>
      </c>
      <c r="T19" t="s">
        <v>116</v>
      </c>
    </row>
    <row r="20" ht="25.5" customHeight="1" spans="1:20">
      <c r="A20" t="s">
        <v>2047</v>
      </c>
      <c r="B20" t="s">
        <v>65</v>
      </c>
      <c r="C20" t="s">
        <v>3137</v>
      </c>
      <c r="D20" s="3"/>
      <c r="E20" s="2">
        <v>45681</v>
      </c>
      <c r="F20">
        <v>1200000</v>
      </c>
      <c r="G20">
        <v>34100</v>
      </c>
      <c r="H20">
        <v>459</v>
      </c>
      <c r="I20">
        <v>23</v>
      </c>
      <c r="L20" t="s">
        <v>3138</v>
      </c>
      <c r="M20" t="s">
        <v>3139</v>
      </c>
      <c r="N20" t="s">
        <v>1630</v>
      </c>
      <c r="O20" s="4">
        <v>45681.4761342593</v>
      </c>
      <c r="P20" t="s">
        <v>116</v>
      </c>
      <c r="Q20" t="s">
        <v>97</v>
      </c>
      <c r="R20" t="s">
        <v>3150</v>
      </c>
      <c r="T20" t="s">
        <v>116</v>
      </c>
    </row>
    <row r="21" ht="25.5" customHeight="1" spans="1:20">
      <c r="A21" t="s">
        <v>2047</v>
      </c>
      <c r="B21" t="s">
        <v>65</v>
      </c>
      <c r="C21" t="s">
        <v>3137</v>
      </c>
      <c r="D21" s="3"/>
      <c r="E21" s="2">
        <v>45683</v>
      </c>
      <c r="F21">
        <v>1200000</v>
      </c>
      <c r="G21">
        <v>34200</v>
      </c>
      <c r="H21">
        <v>459</v>
      </c>
      <c r="I21">
        <v>23</v>
      </c>
      <c r="L21" t="s">
        <v>3138</v>
      </c>
      <c r="M21" t="s">
        <v>3139</v>
      </c>
      <c r="N21" t="s">
        <v>1630</v>
      </c>
      <c r="O21" s="4">
        <v>45683.7019791667</v>
      </c>
      <c r="P21" t="s">
        <v>116</v>
      </c>
      <c r="Q21" t="s">
        <v>97</v>
      </c>
      <c r="R21" t="s">
        <v>3150</v>
      </c>
      <c r="T21" t="s">
        <v>116</v>
      </c>
    </row>
    <row r="22" ht="25.5" customHeight="1" spans="1:20">
      <c r="A22" t="s">
        <v>2047</v>
      </c>
      <c r="B22" t="s">
        <v>65</v>
      </c>
      <c r="C22" t="s">
        <v>3137</v>
      </c>
      <c r="D22" s="3"/>
      <c r="E22" s="2">
        <v>45684</v>
      </c>
      <c r="F22">
        <v>1200000</v>
      </c>
      <c r="G22">
        <v>34200</v>
      </c>
      <c r="H22">
        <v>459</v>
      </c>
      <c r="I22">
        <v>23</v>
      </c>
      <c r="L22" t="s">
        <v>3138</v>
      </c>
      <c r="M22" t="s">
        <v>3139</v>
      </c>
      <c r="N22" t="s">
        <v>1630</v>
      </c>
      <c r="O22" s="4">
        <v>45684.7620486111</v>
      </c>
      <c r="P22" t="s">
        <v>116</v>
      </c>
      <c r="Q22" t="s">
        <v>97</v>
      </c>
      <c r="R22" t="s">
        <v>3150</v>
      </c>
      <c r="T22" t="s">
        <v>116</v>
      </c>
    </row>
    <row r="23" ht="25.5" customHeight="1" spans="1:20">
      <c r="A23" t="s">
        <v>2047</v>
      </c>
      <c r="B23" t="s">
        <v>65</v>
      </c>
      <c r="C23" t="s">
        <v>3137</v>
      </c>
      <c r="D23" s="3" t="str">
        <f>HYPERLINK("https://www.instagram.com/adam.godigital/reels/","https://www.instagram.com/adam.godigital/reels/")</f>
        <v>https://www.instagram.com/adam.godigital/reels/</v>
      </c>
      <c r="E23" s="2">
        <v>45693</v>
      </c>
      <c r="F23">
        <v>1200000</v>
      </c>
      <c r="G23">
        <v>34500</v>
      </c>
      <c r="H23">
        <v>463</v>
      </c>
      <c r="I23">
        <v>23</v>
      </c>
      <c r="L23" t="s">
        <v>3138</v>
      </c>
      <c r="M23" t="s">
        <v>3139</v>
      </c>
      <c r="N23" t="s">
        <v>1630</v>
      </c>
      <c r="O23" s="4">
        <v>45695.4628240741</v>
      </c>
      <c r="P23" t="s">
        <v>116</v>
      </c>
      <c r="Q23" t="s">
        <v>97</v>
      </c>
      <c r="R23" t="s">
        <v>3151</v>
      </c>
      <c r="T23" t="s">
        <v>116</v>
      </c>
    </row>
    <row r="24" ht="25.5" customHeight="1" spans="1:20">
      <c r="A24" t="s">
        <v>2047</v>
      </c>
      <c r="B24" t="s">
        <v>65</v>
      </c>
      <c r="C24" t="s">
        <v>3137</v>
      </c>
      <c r="D24" s="3"/>
      <c r="E24" s="2">
        <v>45694</v>
      </c>
      <c r="F24">
        <v>1200000</v>
      </c>
      <c r="G24">
        <v>34500</v>
      </c>
      <c r="H24">
        <v>463</v>
      </c>
      <c r="I24">
        <v>23</v>
      </c>
      <c r="L24" t="s">
        <v>3138</v>
      </c>
      <c r="M24" t="s">
        <v>3139</v>
      </c>
      <c r="N24" t="s">
        <v>1630</v>
      </c>
      <c r="O24" s="4">
        <v>45698.6216782407</v>
      </c>
      <c r="P24" t="s">
        <v>116</v>
      </c>
      <c r="Q24" t="s">
        <v>97</v>
      </c>
      <c r="R24" t="s">
        <v>3151</v>
      </c>
      <c r="S24" t="s">
        <v>3152</v>
      </c>
      <c r="T24" t="s">
        <v>116</v>
      </c>
    </row>
    <row r="25" ht="25.5" customHeight="1" spans="1:20">
      <c r="A25" t="s">
        <v>2047</v>
      </c>
      <c r="B25" t="s">
        <v>65</v>
      </c>
      <c r="C25" t="s">
        <v>3137</v>
      </c>
      <c r="D25" s="3"/>
      <c r="E25" s="2">
        <v>45695</v>
      </c>
      <c r="F25">
        <v>1200000</v>
      </c>
      <c r="G25">
        <v>34500</v>
      </c>
      <c r="H25">
        <v>463</v>
      </c>
      <c r="I25">
        <v>23</v>
      </c>
      <c r="L25" t="s">
        <v>3138</v>
      </c>
      <c r="M25" t="s">
        <v>3139</v>
      </c>
      <c r="N25" t="s">
        <v>1630</v>
      </c>
      <c r="O25" s="4">
        <v>45695.4679050926</v>
      </c>
      <c r="P25" t="s">
        <v>116</v>
      </c>
      <c r="Q25" t="s">
        <v>97</v>
      </c>
      <c r="R25" t="s">
        <v>3151</v>
      </c>
      <c r="T25" t="s">
        <v>116</v>
      </c>
    </row>
    <row r="26" ht="25.5" customHeight="1" spans="1:20">
      <c r="A26" t="s">
        <v>1689</v>
      </c>
      <c r="B26" t="s">
        <v>65</v>
      </c>
      <c r="C26" t="s">
        <v>3153</v>
      </c>
      <c r="D26" s="3" t="str">
        <f>HYPERLINK("https://www.instagram.com/inspiredanalyst/reels/","https://www.instagram.com/inspiredanalyst/reels/")</f>
        <v>https://www.instagram.com/inspiredanalyst/reels/</v>
      </c>
      <c r="E26" s="2">
        <v>45666</v>
      </c>
      <c r="F26">
        <v>487000</v>
      </c>
      <c r="G26">
        <v>74600</v>
      </c>
      <c r="H26">
        <v>1592</v>
      </c>
      <c r="I26">
        <v>80</v>
      </c>
      <c r="L26" t="s">
        <v>3138</v>
      </c>
      <c r="M26" t="s">
        <v>3154</v>
      </c>
      <c r="N26" t="s">
        <v>1630</v>
      </c>
      <c r="O26" s="4">
        <v>45672.5022569444</v>
      </c>
      <c r="P26" t="s">
        <v>116</v>
      </c>
      <c r="Q26" t="s">
        <v>1693</v>
      </c>
      <c r="R26" t="s">
        <v>3155</v>
      </c>
      <c r="T26" t="s">
        <v>116</v>
      </c>
    </row>
    <row r="27" ht="25.5" customHeight="1" spans="1:20">
      <c r="A27" t="s">
        <v>1689</v>
      </c>
      <c r="B27" t="s">
        <v>65</v>
      </c>
      <c r="C27" t="s">
        <v>3153</v>
      </c>
      <c r="D27" s="3"/>
      <c r="E27" s="2">
        <v>45671</v>
      </c>
      <c r="F27">
        <v>488000</v>
      </c>
      <c r="G27">
        <v>76100</v>
      </c>
      <c r="H27">
        <v>1614</v>
      </c>
      <c r="I27">
        <v>81</v>
      </c>
      <c r="L27" t="s">
        <v>3138</v>
      </c>
      <c r="M27" t="s">
        <v>3154</v>
      </c>
      <c r="N27" t="s">
        <v>1630</v>
      </c>
      <c r="O27" s="4">
        <v>45672.5030092593</v>
      </c>
      <c r="P27" t="s">
        <v>116</v>
      </c>
      <c r="Q27" t="s">
        <v>1693</v>
      </c>
      <c r="R27" t="s">
        <v>3156</v>
      </c>
      <c r="T27" t="s">
        <v>116</v>
      </c>
    </row>
    <row r="28" ht="25.5" customHeight="1" spans="1:20">
      <c r="A28" t="s">
        <v>1689</v>
      </c>
      <c r="B28" t="s">
        <v>65</v>
      </c>
      <c r="C28" t="s">
        <v>3153</v>
      </c>
      <c r="D28" s="3"/>
      <c r="E28" s="2">
        <v>45672</v>
      </c>
      <c r="F28">
        <v>488000</v>
      </c>
      <c r="G28">
        <v>77200</v>
      </c>
      <c r="H28">
        <v>1630</v>
      </c>
      <c r="I28">
        <v>81</v>
      </c>
      <c r="L28" t="s">
        <v>3138</v>
      </c>
      <c r="M28" t="s">
        <v>3154</v>
      </c>
      <c r="N28" t="s">
        <v>1630</v>
      </c>
      <c r="O28" s="4">
        <v>45672.5030092593</v>
      </c>
      <c r="P28" t="s">
        <v>116</v>
      </c>
      <c r="Q28" t="s">
        <v>1693</v>
      </c>
      <c r="R28" t="s">
        <v>3157</v>
      </c>
      <c r="T28" t="s">
        <v>116</v>
      </c>
    </row>
    <row r="29" ht="25.5" customHeight="1" spans="1:20">
      <c r="A29" t="s">
        <v>1689</v>
      </c>
      <c r="B29" t="s">
        <v>65</v>
      </c>
      <c r="C29" t="s">
        <v>3153</v>
      </c>
      <c r="D29" s="3"/>
      <c r="E29" s="2">
        <v>45673</v>
      </c>
      <c r="F29">
        <v>489000</v>
      </c>
      <c r="G29">
        <v>78300</v>
      </c>
      <c r="H29">
        <v>1646</v>
      </c>
      <c r="I29">
        <v>81</v>
      </c>
      <c r="L29" t="s">
        <v>3138</v>
      </c>
      <c r="M29" t="s">
        <v>3154</v>
      </c>
      <c r="N29" t="s">
        <v>1630</v>
      </c>
      <c r="O29" s="4">
        <v>45673.486087963</v>
      </c>
      <c r="P29" t="s">
        <v>116</v>
      </c>
      <c r="Q29" t="s">
        <v>1693</v>
      </c>
      <c r="R29" t="s">
        <v>3158</v>
      </c>
      <c r="T29" t="s">
        <v>116</v>
      </c>
    </row>
    <row r="30" ht="25.5" customHeight="1" spans="1:20">
      <c r="A30" t="s">
        <v>1689</v>
      </c>
      <c r="B30" t="s">
        <v>65</v>
      </c>
      <c r="C30" t="s">
        <v>3153</v>
      </c>
      <c r="D30" s="3"/>
      <c r="E30" s="2">
        <v>45674</v>
      </c>
      <c r="F30">
        <v>490000</v>
      </c>
      <c r="G30">
        <v>79300</v>
      </c>
      <c r="H30">
        <v>1662</v>
      </c>
      <c r="I30">
        <v>81</v>
      </c>
      <c r="L30" t="s">
        <v>3138</v>
      </c>
      <c r="M30" t="s">
        <v>3154</v>
      </c>
      <c r="N30" t="s">
        <v>1630</v>
      </c>
      <c r="O30" s="4">
        <v>45674.6162731481</v>
      </c>
      <c r="P30" t="s">
        <v>116</v>
      </c>
      <c r="Q30" t="s">
        <v>1693</v>
      </c>
      <c r="R30" t="s">
        <v>3159</v>
      </c>
      <c r="T30" t="s">
        <v>116</v>
      </c>
    </row>
    <row r="31" ht="25.5" customHeight="1" spans="1:20">
      <c r="A31" t="s">
        <v>1689</v>
      </c>
      <c r="B31" t="s">
        <v>65</v>
      </c>
      <c r="C31" t="s">
        <v>3153</v>
      </c>
      <c r="D31" s="3"/>
      <c r="E31" s="2">
        <v>45677</v>
      </c>
      <c r="F31">
        <v>493000</v>
      </c>
      <c r="G31">
        <v>82600</v>
      </c>
      <c r="H31">
        <v>1702</v>
      </c>
      <c r="I31">
        <v>81</v>
      </c>
      <c r="L31" t="s">
        <v>3138</v>
      </c>
      <c r="M31" t="s">
        <v>3154</v>
      </c>
      <c r="N31" t="s">
        <v>1630</v>
      </c>
      <c r="O31" s="4">
        <v>45677.3864699074</v>
      </c>
      <c r="P31" t="s">
        <v>116</v>
      </c>
      <c r="Q31" t="s">
        <v>1693</v>
      </c>
      <c r="R31" t="s">
        <v>3160</v>
      </c>
      <c r="T31" t="s">
        <v>116</v>
      </c>
    </row>
    <row r="32" ht="25.5" customHeight="1" spans="1:20">
      <c r="A32" t="s">
        <v>1689</v>
      </c>
      <c r="B32" t="s">
        <v>65</v>
      </c>
      <c r="C32" t="s">
        <v>3153</v>
      </c>
      <c r="D32" s="3"/>
      <c r="E32" s="2">
        <v>45678</v>
      </c>
      <c r="F32">
        <v>495000</v>
      </c>
      <c r="G32">
        <v>84100</v>
      </c>
      <c r="H32">
        <v>1717</v>
      </c>
      <c r="I32">
        <v>81</v>
      </c>
      <c r="L32" t="s">
        <v>3138</v>
      </c>
      <c r="M32" t="s">
        <v>3154</v>
      </c>
      <c r="N32" t="s">
        <v>1630</v>
      </c>
      <c r="O32" s="4">
        <v>45678.4928009259</v>
      </c>
      <c r="P32" t="s">
        <v>116</v>
      </c>
      <c r="Q32" t="s">
        <v>1693</v>
      </c>
      <c r="R32" t="s">
        <v>3161</v>
      </c>
      <c r="T32" t="s">
        <v>116</v>
      </c>
    </row>
    <row r="33" ht="25.5" customHeight="1" spans="1:20">
      <c r="A33" t="s">
        <v>1689</v>
      </c>
      <c r="B33" t="s">
        <v>65</v>
      </c>
      <c r="C33" t="s">
        <v>3153</v>
      </c>
      <c r="D33" s="3"/>
      <c r="E33" s="2">
        <v>45679</v>
      </c>
      <c r="F33">
        <v>497000</v>
      </c>
      <c r="G33">
        <v>85400</v>
      </c>
      <c r="H33">
        <v>1735</v>
      </c>
      <c r="I33">
        <v>81</v>
      </c>
      <c r="L33" t="s">
        <v>3138</v>
      </c>
      <c r="M33" t="s">
        <v>3154</v>
      </c>
      <c r="N33" t="s">
        <v>1630</v>
      </c>
      <c r="O33" s="4">
        <v>45679.6555439815</v>
      </c>
      <c r="P33" t="s">
        <v>116</v>
      </c>
      <c r="Q33" t="s">
        <v>1693</v>
      </c>
      <c r="R33" t="s">
        <v>3162</v>
      </c>
      <c r="T33" t="s">
        <v>116</v>
      </c>
    </row>
    <row r="34" ht="25.5" customHeight="1" spans="1:20">
      <c r="A34" t="s">
        <v>1689</v>
      </c>
      <c r="B34" t="s">
        <v>65</v>
      </c>
      <c r="C34" t="s">
        <v>3153</v>
      </c>
      <c r="D34" s="3"/>
      <c r="E34" s="2">
        <v>45680</v>
      </c>
      <c r="F34">
        <v>498000</v>
      </c>
      <c r="G34">
        <v>86100</v>
      </c>
      <c r="H34">
        <v>1744</v>
      </c>
      <c r="I34">
        <v>81</v>
      </c>
      <c r="L34" t="s">
        <v>3138</v>
      </c>
      <c r="M34" t="s">
        <v>3154</v>
      </c>
      <c r="N34" t="s">
        <v>1630</v>
      </c>
      <c r="O34" s="4">
        <v>45680.5036342593</v>
      </c>
      <c r="P34" t="s">
        <v>116</v>
      </c>
      <c r="Q34" t="s">
        <v>1693</v>
      </c>
      <c r="R34" t="s">
        <v>3163</v>
      </c>
      <c r="T34" t="s">
        <v>116</v>
      </c>
    </row>
    <row r="35" ht="25.5" customHeight="1" spans="1:20">
      <c r="A35" t="s">
        <v>1689</v>
      </c>
      <c r="B35" t="s">
        <v>65</v>
      </c>
      <c r="C35" t="s">
        <v>3153</v>
      </c>
      <c r="D35" s="3"/>
      <c r="E35" s="2">
        <v>45681</v>
      </c>
      <c r="F35">
        <v>500000</v>
      </c>
      <c r="G35">
        <v>86500</v>
      </c>
      <c r="H35">
        <v>1775</v>
      </c>
      <c r="I35">
        <v>82</v>
      </c>
      <c r="L35" t="s">
        <v>3138</v>
      </c>
      <c r="M35" t="s">
        <v>3154</v>
      </c>
      <c r="N35" t="s">
        <v>1630</v>
      </c>
      <c r="O35" s="4">
        <v>45681.4765046296</v>
      </c>
      <c r="P35" t="s">
        <v>116</v>
      </c>
      <c r="Q35" t="s">
        <v>1693</v>
      </c>
      <c r="R35" t="s">
        <v>3164</v>
      </c>
      <c r="T35" t="s">
        <v>116</v>
      </c>
    </row>
    <row r="36" ht="25.5" customHeight="1" spans="1:20">
      <c r="A36" t="s">
        <v>1689</v>
      </c>
      <c r="B36" t="s">
        <v>65</v>
      </c>
      <c r="C36" t="s">
        <v>3153</v>
      </c>
      <c r="D36" s="3"/>
      <c r="E36" s="2">
        <v>45683</v>
      </c>
      <c r="F36">
        <v>501000</v>
      </c>
      <c r="G36">
        <v>87000</v>
      </c>
      <c r="H36">
        <v>1784</v>
      </c>
      <c r="I36">
        <v>82</v>
      </c>
      <c r="L36" t="s">
        <v>3138</v>
      </c>
      <c r="M36" t="s">
        <v>3154</v>
      </c>
      <c r="N36" t="s">
        <v>1630</v>
      </c>
      <c r="O36" s="4">
        <v>45683.7059375</v>
      </c>
      <c r="P36" t="s">
        <v>116</v>
      </c>
      <c r="Q36" t="s">
        <v>1693</v>
      </c>
      <c r="R36" t="s">
        <v>3165</v>
      </c>
      <c r="T36" t="s">
        <v>116</v>
      </c>
    </row>
    <row r="37" ht="25.5" customHeight="1" spans="1:20">
      <c r="A37" t="s">
        <v>1689</v>
      </c>
      <c r="B37" t="s">
        <v>65</v>
      </c>
      <c r="C37" t="s">
        <v>3153</v>
      </c>
      <c r="D37" s="3"/>
      <c r="E37" s="2">
        <v>45684</v>
      </c>
      <c r="F37">
        <v>502000</v>
      </c>
      <c r="G37">
        <v>87200</v>
      </c>
      <c r="H37">
        <v>1787</v>
      </c>
      <c r="I37">
        <v>82</v>
      </c>
      <c r="L37" t="s">
        <v>3138</v>
      </c>
      <c r="M37" t="s">
        <v>3154</v>
      </c>
      <c r="N37" t="s">
        <v>1630</v>
      </c>
      <c r="O37" s="4">
        <v>45684.7624537037</v>
      </c>
      <c r="P37" t="s">
        <v>116</v>
      </c>
      <c r="Q37" t="s">
        <v>1693</v>
      </c>
      <c r="R37" t="s">
        <v>3166</v>
      </c>
      <c r="T37" t="s">
        <v>116</v>
      </c>
    </row>
    <row r="38" ht="25.5" customHeight="1" spans="1:20">
      <c r="A38" t="s">
        <v>1689</v>
      </c>
      <c r="B38" t="s">
        <v>65</v>
      </c>
      <c r="C38" t="s">
        <v>3153</v>
      </c>
      <c r="D38" s="3" t="str">
        <f>HYPERLINK("https://www.instagram.com/inspiredanalyst/reels/","https://www.instagram.com/inspiredanalyst/reels/")</f>
        <v>https://www.instagram.com/inspiredanalyst/reels/</v>
      </c>
      <c r="E38" s="2">
        <v>45693</v>
      </c>
      <c r="F38">
        <v>507000</v>
      </c>
      <c r="G38">
        <v>88000</v>
      </c>
      <c r="H38">
        <v>1799</v>
      </c>
      <c r="I38">
        <v>82</v>
      </c>
      <c r="L38" t="s">
        <v>3138</v>
      </c>
      <c r="M38" t="s">
        <v>3154</v>
      </c>
      <c r="N38" t="s">
        <v>1630</v>
      </c>
      <c r="O38" s="4">
        <v>45695.4628935185</v>
      </c>
      <c r="P38" t="s">
        <v>116</v>
      </c>
      <c r="Q38" t="s">
        <v>1693</v>
      </c>
      <c r="R38" t="s">
        <v>3167</v>
      </c>
      <c r="T38" t="s">
        <v>116</v>
      </c>
    </row>
    <row r="39" ht="25.5" customHeight="1" spans="1:20">
      <c r="A39" t="s">
        <v>1689</v>
      </c>
      <c r="B39" t="s">
        <v>65</v>
      </c>
      <c r="C39" t="s">
        <v>3153</v>
      </c>
      <c r="D39" s="3"/>
      <c r="E39" s="2">
        <v>45694</v>
      </c>
      <c r="F39">
        <v>508000</v>
      </c>
      <c r="G39">
        <v>88400</v>
      </c>
      <c r="H39">
        <v>1800</v>
      </c>
      <c r="I39">
        <v>82</v>
      </c>
      <c r="L39" t="s">
        <v>3138</v>
      </c>
      <c r="M39" t="s">
        <v>3154</v>
      </c>
      <c r="N39" t="s">
        <v>1630</v>
      </c>
      <c r="O39" s="4">
        <v>45698.6216782407</v>
      </c>
      <c r="P39" t="s">
        <v>116</v>
      </c>
      <c r="Q39" t="s">
        <v>1693</v>
      </c>
      <c r="R39" t="s">
        <v>3168</v>
      </c>
      <c r="S39" t="s">
        <v>3169</v>
      </c>
      <c r="T39" t="s">
        <v>116</v>
      </c>
    </row>
    <row r="40" ht="25.5" customHeight="1" spans="1:20">
      <c r="A40" t="s">
        <v>1689</v>
      </c>
      <c r="B40" t="s">
        <v>65</v>
      </c>
      <c r="C40" t="s">
        <v>3153</v>
      </c>
      <c r="D40" s="3"/>
      <c r="E40" s="2">
        <v>45695</v>
      </c>
      <c r="F40">
        <v>509000</v>
      </c>
      <c r="G40">
        <v>88500</v>
      </c>
      <c r="H40">
        <v>1801</v>
      </c>
      <c r="I40">
        <v>82</v>
      </c>
      <c r="L40" t="s">
        <v>3138</v>
      </c>
      <c r="M40" t="s">
        <v>3154</v>
      </c>
      <c r="N40" t="s">
        <v>1630</v>
      </c>
      <c r="O40" s="4">
        <v>45695.4712037037</v>
      </c>
      <c r="P40" t="s">
        <v>116</v>
      </c>
      <c r="Q40" t="s">
        <v>1693</v>
      </c>
      <c r="R40" t="s">
        <v>3170</v>
      </c>
      <c r="T40" t="s">
        <v>116</v>
      </c>
    </row>
    <row r="41" ht="25.5" customHeight="1" spans="1:20">
      <c r="A41" t="s">
        <v>3096</v>
      </c>
      <c r="B41" t="s">
        <v>3097</v>
      </c>
      <c r="C41" t="s">
        <v>3171</v>
      </c>
      <c r="D41" s="3"/>
      <c r="E41" s="2"/>
      <c r="N41" t="s">
        <v>1630</v>
      </c>
      <c r="O41" s="4">
        <v>45670.743587963</v>
      </c>
      <c r="P41" t="s">
        <v>3098</v>
      </c>
      <c r="Q41" t="s">
        <v>1693</v>
      </c>
      <c r="R41" t="s">
        <v>3133</v>
      </c>
      <c r="T41" t="s">
        <v>3098</v>
      </c>
    </row>
    <row r="42" ht="25.5" customHeight="1" spans="1:20">
      <c r="A42" t="s">
        <v>3101</v>
      </c>
      <c r="B42" t="s">
        <v>1816</v>
      </c>
      <c r="C42" t="s">
        <v>3172</v>
      </c>
      <c r="D42" s="3"/>
      <c r="E42" s="2">
        <v>45665</v>
      </c>
      <c r="F42">
        <v>18700</v>
      </c>
      <c r="G42">
        <v>1779</v>
      </c>
      <c r="H42">
        <v>31</v>
      </c>
      <c r="I42">
        <v>5</v>
      </c>
      <c r="J42">
        <v>5</v>
      </c>
      <c r="K42">
        <v>6</v>
      </c>
      <c r="L42" t="s">
        <v>3138</v>
      </c>
      <c r="N42" t="s">
        <v>1630</v>
      </c>
      <c r="O42" s="4">
        <v>45671.7163541667</v>
      </c>
      <c r="P42" t="s">
        <v>1817</v>
      </c>
      <c r="Q42" t="s">
        <v>1693</v>
      </c>
      <c r="R42" t="s">
        <v>3173</v>
      </c>
      <c r="T42" t="s">
        <v>1817</v>
      </c>
    </row>
    <row r="43" ht="25.5" customHeight="1" spans="1:20">
      <c r="A43" t="s">
        <v>3101</v>
      </c>
      <c r="B43" t="s">
        <v>1816</v>
      </c>
      <c r="C43" t="s">
        <v>3172</v>
      </c>
      <c r="D43" s="3"/>
      <c r="E43" s="2">
        <v>45671</v>
      </c>
      <c r="F43">
        <v>18700</v>
      </c>
      <c r="G43">
        <v>1796</v>
      </c>
      <c r="H43">
        <v>32</v>
      </c>
      <c r="I43">
        <v>5</v>
      </c>
      <c r="J43">
        <v>5</v>
      </c>
      <c r="K43">
        <v>6</v>
      </c>
      <c r="L43" t="s">
        <v>3138</v>
      </c>
      <c r="N43" t="s">
        <v>1630</v>
      </c>
      <c r="O43" s="4">
        <v>45672.5030092593</v>
      </c>
      <c r="P43" t="s">
        <v>1817</v>
      </c>
      <c r="Q43" t="s">
        <v>1693</v>
      </c>
      <c r="R43" t="s">
        <v>3174</v>
      </c>
      <c r="T43" t="s">
        <v>1817</v>
      </c>
    </row>
    <row r="44" ht="25.5" customHeight="1" spans="1:20">
      <c r="A44" t="s">
        <v>3101</v>
      </c>
      <c r="B44" t="s">
        <v>1816</v>
      </c>
      <c r="C44" t="s">
        <v>3172</v>
      </c>
      <c r="D44" s="3"/>
      <c r="E44" s="2">
        <v>45672</v>
      </c>
      <c r="F44">
        <v>18700</v>
      </c>
      <c r="G44">
        <v>1822</v>
      </c>
      <c r="H44">
        <v>32</v>
      </c>
      <c r="I44">
        <v>5</v>
      </c>
      <c r="J44">
        <v>5</v>
      </c>
      <c r="K44">
        <v>6</v>
      </c>
      <c r="L44" t="s">
        <v>3138</v>
      </c>
      <c r="N44" t="s">
        <v>1630</v>
      </c>
      <c r="O44" s="4">
        <v>45672.708587963</v>
      </c>
      <c r="P44" t="s">
        <v>1817</v>
      </c>
      <c r="Q44" t="s">
        <v>1693</v>
      </c>
      <c r="R44" t="s">
        <v>3174</v>
      </c>
      <c r="T44" t="s">
        <v>1817</v>
      </c>
    </row>
    <row r="45" ht="25.5" customHeight="1" spans="1:20">
      <c r="A45" t="s">
        <v>3101</v>
      </c>
      <c r="B45" t="s">
        <v>1816</v>
      </c>
      <c r="C45" t="s">
        <v>3172</v>
      </c>
      <c r="D45" s="3"/>
      <c r="E45" s="2">
        <v>45673</v>
      </c>
      <c r="F45">
        <v>18800</v>
      </c>
      <c r="G45">
        <v>1843</v>
      </c>
      <c r="H45">
        <v>30</v>
      </c>
      <c r="I45">
        <v>5</v>
      </c>
      <c r="J45">
        <v>5</v>
      </c>
      <c r="K45">
        <v>6</v>
      </c>
      <c r="L45" t="s">
        <v>3138</v>
      </c>
      <c r="N45" t="s">
        <v>1630</v>
      </c>
      <c r="O45" s="4">
        <v>45673.6255324074</v>
      </c>
      <c r="P45" t="s">
        <v>1817</v>
      </c>
      <c r="Q45" t="s">
        <v>1693</v>
      </c>
      <c r="R45" t="s">
        <v>3175</v>
      </c>
      <c r="T45" t="s">
        <v>1817</v>
      </c>
    </row>
    <row r="46" ht="25.5" customHeight="1" spans="1:20">
      <c r="A46" t="s">
        <v>3101</v>
      </c>
      <c r="B46" t="s">
        <v>1816</v>
      </c>
      <c r="C46" t="s">
        <v>3172</v>
      </c>
      <c r="D46" s="3"/>
      <c r="E46" s="2">
        <v>45674</v>
      </c>
      <c r="F46">
        <v>18800</v>
      </c>
      <c r="G46">
        <v>1854</v>
      </c>
      <c r="H46">
        <v>31</v>
      </c>
      <c r="I46">
        <v>5</v>
      </c>
      <c r="J46">
        <v>5</v>
      </c>
      <c r="K46">
        <v>6</v>
      </c>
      <c r="L46" t="s">
        <v>3138</v>
      </c>
      <c r="N46" t="s">
        <v>1630</v>
      </c>
      <c r="O46" s="4">
        <v>45674.6807407407</v>
      </c>
      <c r="P46" t="s">
        <v>1817</v>
      </c>
      <c r="Q46" t="s">
        <v>1693</v>
      </c>
      <c r="R46" t="s">
        <v>3173</v>
      </c>
      <c r="T46" t="s">
        <v>1817</v>
      </c>
    </row>
    <row r="47" ht="25.5" customHeight="1" spans="1:20">
      <c r="A47" t="s">
        <v>3101</v>
      </c>
      <c r="B47" t="s">
        <v>1816</v>
      </c>
      <c r="C47" t="s">
        <v>3172</v>
      </c>
      <c r="D47" s="3"/>
      <c r="E47" s="2">
        <v>45677</v>
      </c>
      <c r="F47">
        <v>18800</v>
      </c>
      <c r="G47">
        <v>1876</v>
      </c>
      <c r="H47">
        <v>34</v>
      </c>
      <c r="I47">
        <v>5</v>
      </c>
      <c r="J47">
        <v>5</v>
      </c>
      <c r="K47">
        <v>6</v>
      </c>
      <c r="L47" t="s">
        <v>3138</v>
      </c>
      <c r="N47" t="s">
        <v>1630</v>
      </c>
      <c r="O47" s="4">
        <v>45677.4399305556</v>
      </c>
      <c r="P47" t="s">
        <v>1817</v>
      </c>
      <c r="Q47" t="s">
        <v>1693</v>
      </c>
      <c r="R47" t="s">
        <v>3176</v>
      </c>
      <c r="T47" t="s">
        <v>1817</v>
      </c>
    </row>
    <row r="48" ht="25.5" customHeight="1" spans="1:20">
      <c r="A48" t="s">
        <v>3101</v>
      </c>
      <c r="B48" t="s">
        <v>1816</v>
      </c>
      <c r="C48" t="s">
        <v>3172</v>
      </c>
      <c r="D48" s="3"/>
      <c r="E48" s="2">
        <v>45678</v>
      </c>
      <c r="F48">
        <v>19300</v>
      </c>
      <c r="G48">
        <v>1886</v>
      </c>
      <c r="H48">
        <v>33</v>
      </c>
      <c r="I48">
        <v>5</v>
      </c>
      <c r="J48">
        <v>5</v>
      </c>
      <c r="K48">
        <v>6</v>
      </c>
      <c r="L48" t="s">
        <v>3138</v>
      </c>
      <c r="N48" t="s">
        <v>1630</v>
      </c>
      <c r="O48" s="4">
        <v>45678.6633912037</v>
      </c>
      <c r="P48" t="s">
        <v>1817</v>
      </c>
      <c r="Q48" t="s">
        <v>1693</v>
      </c>
      <c r="R48" t="s">
        <v>3177</v>
      </c>
      <c r="T48" t="s">
        <v>1817</v>
      </c>
    </row>
    <row r="49" ht="25.5" customHeight="1" spans="1:20">
      <c r="A49" t="s">
        <v>3101</v>
      </c>
      <c r="B49" t="s">
        <v>1816</v>
      </c>
      <c r="C49" t="s">
        <v>3172</v>
      </c>
      <c r="D49" s="3"/>
      <c r="E49" s="2">
        <v>45679</v>
      </c>
      <c r="F49">
        <v>19400</v>
      </c>
      <c r="G49">
        <v>1891</v>
      </c>
      <c r="H49">
        <v>34</v>
      </c>
      <c r="I49">
        <v>5</v>
      </c>
      <c r="J49">
        <v>5</v>
      </c>
      <c r="K49">
        <v>6</v>
      </c>
      <c r="L49" t="s">
        <v>3138</v>
      </c>
      <c r="N49" t="s">
        <v>1630</v>
      </c>
      <c r="O49" s="4">
        <v>45679.6502314815</v>
      </c>
      <c r="P49" t="s">
        <v>1817</v>
      </c>
      <c r="Q49" t="s">
        <v>1693</v>
      </c>
      <c r="R49" t="s">
        <v>3176</v>
      </c>
      <c r="T49" t="s">
        <v>1817</v>
      </c>
    </row>
    <row r="50" ht="25.5" customHeight="1" spans="1:20">
      <c r="A50" t="s">
        <v>3101</v>
      </c>
      <c r="B50" t="s">
        <v>1816</v>
      </c>
      <c r="C50" t="s">
        <v>3172</v>
      </c>
      <c r="D50" s="3"/>
      <c r="E50" s="2">
        <v>45680</v>
      </c>
      <c r="F50">
        <v>19500</v>
      </c>
      <c r="G50">
        <v>1896</v>
      </c>
      <c r="H50">
        <v>35</v>
      </c>
      <c r="I50">
        <v>5</v>
      </c>
      <c r="J50">
        <v>5</v>
      </c>
      <c r="K50">
        <v>6</v>
      </c>
      <c r="L50" t="s">
        <v>3138</v>
      </c>
      <c r="N50" t="s">
        <v>1630</v>
      </c>
      <c r="O50" s="4">
        <v>45680.6650462963</v>
      </c>
      <c r="P50" t="s">
        <v>1817</v>
      </c>
      <c r="Q50" t="s">
        <v>1693</v>
      </c>
      <c r="R50" t="s">
        <v>3178</v>
      </c>
      <c r="T50" t="s">
        <v>1817</v>
      </c>
    </row>
    <row r="51" ht="25.5" customHeight="1" spans="1:20">
      <c r="A51" t="s">
        <v>3101</v>
      </c>
      <c r="B51" t="s">
        <v>1816</v>
      </c>
      <c r="C51" t="s">
        <v>3172</v>
      </c>
      <c r="D51" s="3"/>
      <c r="E51" s="2">
        <v>45681</v>
      </c>
      <c r="F51">
        <v>20100</v>
      </c>
      <c r="G51">
        <v>1901</v>
      </c>
      <c r="H51">
        <v>35</v>
      </c>
      <c r="I51">
        <v>5</v>
      </c>
      <c r="J51">
        <v>5</v>
      </c>
      <c r="K51">
        <v>6</v>
      </c>
      <c r="L51" t="s">
        <v>3138</v>
      </c>
      <c r="N51" t="s">
        <v>1630</v>
      </c>
      <c r="O51" s="4">
        <v>45681.6509722222</v>
      </c>
      <c r="P51" t="s">
        <v>1817</v>
      </c>
      <c r="Q51" t="s">
        <v>1693</v>
      </c>
      <c r="R51" t="s">
        <v>3178</v>
      </c>
      <c r="T51" t="s">
        <v>1817</v>
      </c>
    </row>
    <row r="52" ht="25.5" customHeight="1" spans="1:20">
      <c r="A52" t="s">
        <v>3101</v>
      </c>
      <c r="B52" t="s">
        <v>1816</v>
      </c>
      <c r="C52" t="s">
        <v>3172</v>
      </c>
      <c r="D52" s="3"/>
      <c r="E52" s="2">
        <v>45683</v>
      </c>
      <c r="F52">
        <v>20300</v>
      </c>
      <c r="G52">
        <v>1907</v>
      </c>
      <c r="H52">
        <v>35</v>
      </c>
      <c r="I52">
        <v>5</v>
      </c>
      <c r="J52">
        <v>5</v>
      </c>
      <c r="K52">
        <v>6</v>
      </c>
      <c r="L52" t="s">
        <v>3138</v>
      </c>
      <c r="N52" t="s">
        <v>1630</v>
      </c>
      <c r="O52" s="4">
        <v>45683.7915972222</v>
      </c>
      <c r="P52" t="s">
        <v>1817</v>
      </c>
      <c r="Q52" t="s">
        <v>1693</v>
      </c>
      <c r="R52" t="s">
        <v>3178</v>
      </c>
      <c r="T52" t="s">
        <v>1817</v>
      </c>
    </row>
    <row r="53" ht="25.5" customHeight="1" spans="1:20">
      <c r="A53" t="s">
        <v>3101</v>
      </c>
      <c r="B53" t="s">
        <v>1816</v>
      </c>
      <c r="C53" t="s">
        <v>3172</v>
      </c>
      <c r="D53" s="3"/>
      <c r="E53" s="2">
        <v>45684</v>
      </c>
      <c r="F53">
        <v>20400</v>
      </c>
      <c r="G53">
        <v>1911</v>
      </c>
      <c r="H53">
        <v>34</v>
      </c>
      <c r="I53">
        <v>5</v>
      </c>
      <c r="J53">
        <v>5</v>
      </c>
      <c r="K53">
        <v>6</v>
      </c>
      <c r="L53" t="s">
        <v>3138</v>
      </c>
      <c r="N53" t="s">
        <v>1630</v>
      </c>
      <c r="O53" s="4">
        <v>45684.7519212963</v>
      </c>
      <c r="P53" t="s">
        <v>1817</v>
      </c>
      <c r="Q53" t="s">
        <v>1693</v>
      </c>
      <c r="R53" t="s">
        <v>3176</v>
      </c>
      <c r="T53" t="s">
        <v>1817</v>
      </c>
    </row>
    <row r="54" ht="25.5" customHeight="1" spans="1:20">
      <c r="A54" t="s">
        <v>3101</v>
      </c>
      <c r="B54" t="s">
        <v>1816</v>
      </c>
      <c r="C54" t="s">
        <v>3172</v>
      </c>
      <c r="D54" s="3"/>
      <c r="E54" s="2">
        <v>45693</v>
      </c>
      <c r="F54">
        <v>21900</v>
      </c>
      <c r="G54">
        <v>1921</v>
      </c>
      <c r="H54">
        <v>36</v>
      </c>
      <c r="I54">
        <v>5</v>
      </c>
      <c r="J54">
        <v>5</v>
      </c>
      <c r="K54">
        <v>6</v>
      </c>
      <c r="L54" t="s">
        <v>3138</v>
      </c>
      <c r="N54" t="s">
        <v>1630</v>
      </c>
      <c r="O54" s="4">
        <v>45693.8351273148</v>
      </c>
      <c r="P54" t="s">
        <v>1817</v>
      </c>
      <c r="Q54" t="s">
        <v>1693</v>
      </c>
      <c r="R54" t="s">
        <v>3179</v>
      </c>
      <c r="T54" t="s">
        <v>1817</v>
      </c>
    </row>
    <row r="55" ht="25.5" customHeight="1" spans="1:20">
      <c r="A55" t="s">
        <v>3101</v>
      </c>
      <c r="B55" t="s">
        <v>1816</v>
      </c>
      <c r="C55" t="s">
        <v>3172</v>
      </c>
      <c r="D55" s="3"/>
      <c r="E55" s="2">
        <v>45694</v>
      </c>
      <c r="F55">
        <v>21900</v>
      </c>
      <c r="G55">
        <v>1921</v>
      </c>
      <c r="H55">
        <v>36</v>
      </c>
      <c r="I55">
        <v>5</v>
      </c>
      <c r="J55">
        <v>5</v>
      </c>
      <c r="K55">
        <v>6</v>
      </c>
      <c r="L55" t="s">
        <v>3138</v>
      </c>
      <c r="N55" t="s">
        <v>1630</v>
      </c>
      <c r="O55" s="4">
        <v>45698.6216782407</v>
      </c>
      <c r="P55" t="s">
        <v>1817</v>
      </c>
      <c r="Q55" t="s">
        <v>1693</v>
      </c>
      <c r="R55" t="s">
        <v>3179</v>
      </c>
      <c r="S55" t="s">
        <v>3180</v>
      </c>
      <c r="T55" t="s">
        <v>1817</v>
      </c>
    </row>
    <row r="56" ht="25.5" customHeight="1" spans="1:20">
      <c r="A56" t="s">
        <v>3095</v>
      </c>
      <c r="B56" t="s">
        <v>269</v>
      </c>
      <c r="C56" t="s">
        <v>3181</v>
      </c>
      <c r="D56" s="3" t="str">
        <f>HYPERLINK("https://www.youtube.com/@InspiredAnalyst/shorts","https://www.youtube.com/@InspiredAnalyst/shorts")</f>
        <v>https://www.youtube.com/@InspiredAnalyst/shorts</v>
      </c>
      <c r="E56" s="2">
        <v>45665</v>
      </c>
      <c r="F56">
        <v>69100</v>
      </c>
      <c r="G56">
        <v>1350</v>
      </c>
      <c r="H56">
        <v>124</v>
      </c>
      <c r="I56">
        <v>23</v>
      </c>
      <c r="L56" t="s">
        <v>3138</v>
      </c>
      <c r="N56" t="s">
        <v>1630</v>
      </c>
      <c r="O56" s="4">
        <v>45670.8673842593</v>
      </c>
      <c r="P56" t="s">
        <v>423</v>
      </c>
      <c r="Q56" t="s">
        <v>1693</v>
      </c>
      <c r="R56" t="s">
        <v>3182</v>
      </c>
      <c r="T56" t="s">
        <v>423</v>
      </c>
    </row>
    <row r="57" ht="25.5" customHeight="1" spans="1:20">
      <c r="A57" t="s">
        <v>3095</v>
      </c>
      <c r="B57" t="s">
        <v>269</v>
      </c>
      <c r="C57" t="s">
        <v>3181</v>
      </c>
      <c r="D57" s="3"/>
      <c r="E57" s="2">
        <v>45674</v>
      </c>
      <c r="F57">
        <v>69600</v>
      </c>
      <c r="G57">
        <v>1600</v>
      </c>
      <c r="H57">
        <v>148</v>
      </c>
      <c r="I57">
        <v>23</v>
      </c>
      <c r="L57" t="s">
        <v>3138</v>
      </c>
      <c r="N57" t="s">
        <v>1630</v>
      </c>
      <c r="O57" s="4">
        <v>45674.713287037</v>
      </c>
      <c r="P57" t="s">
        <v>423</v>
      </c>
      <c r="Q57" t="s">
        <v>1693</v>
      </c>
      <c r="R57" t="s">
        <v>3183</v>
      </c>
      <c r="T57" t="s">
        <v>423</v>
      </c>
    </row>
    <row r="58" ht="25.5" customHeight="1" spans="1:20">
      <c r="A58" t="s">
        <v>3095</v>
      </c>
      <c r="B58" t="s">
        <v>269</v>
      </c>
      <c r="C58" t="s">
        <v>3181</v>
      </c>
      <c r="D58" s="3"/>
      <c r="E58" s="2">
        <v>45677</v>
      </c>
      <c r="F58">
        <v>70100</v>
      </c>
      <c r="G58">
        <v>1700</v>
      </c>
      <c r="H58">
        <v>159</v>
      </c>
      <c r="I58">
        <v>23</v>
      </c>
      <c r="L58" t="s">
        <v>3138</v>
      </c>
      <c r="N58" t="s">
        <v>1630</v>
      </c>
      <c r="O58" s="4">
        <v>45677.4161574074</v>
      </c>
      <c r="P58" t="s">
        <v>423</v>
      </c>
      <c r="Q58" t="s">
        <v>1693</v>
      </c>
      <c r="R58" t="s">
        <v>3184</v>
      </c>
      <c r="T58" t="s">
        <v>423</v>
      </c>
    </row>
    <row r="59" ht="25.5" customHeight="1" spans="1:20">
      <c r="A59" t="s">
        <v>3095</v>
      </c>
      <c r="B59" t="s">
        <v>269</v>
      </c>
      <c r="C59" t="s">
        <v>3181</v>
      </c>
      <c r="D59" s="3"/>
      <c r="E59" s="2">
        <v>45678</v>
      </c>
      <c r="F59">
        <v>70900</v>
      </c>
      <c r="G59">
        <v>1800</v>
      </c>
      <c r="H59">
        <v>162</v>
      </c>
      <c r="I59">
        <v>23</v>
      </c>
      <c r="L59" t="s">
        <v>3138</v>
      </c>
      <c r="N59" t="s">
        <v>1630</v>
      </c>
      <c r="O59" s="4">
        <v>45678.5197337963</v>
      </c>
      <c r="P59" t="s">
        <v>423</v>
      </c>
      <c r="Q59" t="s">
        <v>1693</v>
      </c>
      <c r="R59" t="s">
        <v>3185</v>
      </c>
      <c r="T59" t="s">
        <v>423</v>
      </c>
    </row>
    <row r="60" ht="25.5" customHeight="1" spans="1:20">
      <c r="A60" t="s">
        <v>3095</v>
      </c>
      <c r="B60" t="s">
        <v>269</v>
      </c>
      <c r="C60" t="s">
        <v>3181</v>
      </c>
      <c r="D60" s="3"/>
      <c r="E60" s="2">
        <v>45679</v>
      </c>
      <c r="F60">
        <v>71300</v>
      </c>
      <c r="G60">
        <v>1800</v>
      </c>
      <c r="H60">
        <v>167</v>
      </c>
      <c r="I60">
        <v>23</v>
      </c>
      <c r="L60" t="s">
        <v>3138</v>
      </c>
      <c r="N60" t="s">
        <v>1630</v>
      </c>
      <c r="O60" s="4">
        <v>45679.6794444444</v>
      </c>
      <c r="P60" t="s">
        <v>423</v>
      </c>
      <c r="Q60" t="s">
        <v>1693</v>
      </c>
      <c r="R60" t="s">
        <v>3186</v>
      </c>
      <c r="T60" t="s">
        <v>423</v>
      </c>
    </row>
    <row r="61" ht="25.5" customHeight="1" spans="1:20">
      <c r="A61" t="s">
        <v>3095</v>
      </c>
      <c r="B61" t="s">
        <v>269</v>
      </c>
      <c r="C61" t="s">
        <v>3181</v>
      </c>
      <c r="D61" s="3"/>
      <c r="E61" s="2">
        <v>45680</v>
      </c>
      <c r="F61">
        <v>71500</v>
      </c>
      <c r="G61">
        <v>1900</v>
      </c>
      <c r="H61">
        <v>174</v>
      </c>
      <c r="I61">
        <v>23</v>
      </c>
      <c r="L61" t="s">
        <v>3138</v>
      </c>
      <c r="N61" t="s">
        <v>1630</v>
      </c>
      <c r="O61" s="4">
        <v>45680.6297453704</v>
      </c>
      <c r="P61" t="s">
        <v>423</v>
      </c>
      <c r="Q61" t="s">
        <v>1693</v>
      </c>
      <c r="R61" t="s">
        <v>3187</v>
      </c>
      <c r="T61" t="s">
        <v>423</v>
      </c>
    </row>
    <row r="62" ht="25.5" customHeight="1" spans="1:20">
      <c r="A62" t="s">
        <v>3095</v>
      </c>
      <c r="B62" t="s">
        <v>269</v>
      </c>
      <c r="C62" t="s">
        <v>3181</v>
      </c>
      <c r="D62" s="3"/>
      <c r="E62" s="2">
        <v>45681</v>
      </c>
      <c r="F62">
        <v>71700</v>
      </c>
      <c r="G62">
        <v>1987</v>
      </c>
      <c r="H62">
        <v>178</v>
      </c>
      <c r="I62">
        <v>23</v>
      </c>
      <c r="L62" t="s">
        <v>3138</v>
      </c>
      <c r="N62" t="s">
        <v>1630</v>
      </c>
      <c r="O62" s="4">
        <v>45681.5312962963</v>
      </c>
      <c r="P62" t="s">
        <v>423</v>
      </c>
      <c r="Q62" t="s">
        <v>1693</v>
      </c>
      <c r="R62" t="s">
        <v>3188</v>
      </c>
      <c r="T62" t="s">
        <v>423</v>
      </c>
    </row>
    <row r="63" ht="25.5" customHeight="1" spans="1:20">
      <c r="A63" t="s">
        <v>3095</v>
      </c>
      <c r="B63" t="s">
        <v>269</v>
      </c>
      <c r="C63" t="s">
        <v>3181</v>
      </c>
      <c r="D63" s="3"/>
      <c r="E63" s="2">
        <v>45683</v>
      </c>
      <c r="F63">
        <v>72100</v>
      </c>
      <c r="G63">
        <v>2082</v>
      </c>
      <c r="H63">
        <v>184</v>
      </c>
      <c r="I63">
        <v>23</v>
      </c>
      <c r="L63" t="s">
        <v>3138</v>
      </c>
      <c r="N63" t="s">
        <v>1630</v>
      </c>
      <c r="O63" s="4">
        <v>45683.7427430556</v>
      </c>
      <c r="P63" t="s">
        <v>423</v>
      </c>
      <c r="Q63" t="s">
        <v>1693</v>
      </c>
      <c r="R63" t="s">
        <v>3189</v>
      </c>
      <c r="T63" t="s">
        <v>423</v>
      </c>
    </row>
    <row r="64" ht="25.5" customHeight="1" spans="1:20">
      <c r="A64" t="s">
        <v>3095</v>
      </c>
      <c r="B64" t="s">
        <v>269</v>
      </c>
      <c r="C64" t="s">
        <v>3181</v>
      </c>
      <c r="D64" s="3"/>
      <c r="E64" s="2">
        <v>45684</v>
      </c>
      <c r="F64">
        <v>72400</v>
      </c>
      <c r="G64">
        <v>2145</v>
      </c>
      <c r="H64">
        <v>189</v>
      </c>
      <c r="I64">
        <v>23</v>
      </c>
      <c r="L64" t="s">
        <v>3138</v>
      </c>
      <c r="N64" t="s">
        <v>1630</v>
      </c>
      <c r="O64" s="4">
        <v>45684.7915509259</v>
      </c>
      <c r="P64" t="s">
        <v>423</v>
      </c>
      <c r="Q64" t="s">
        <v>1693</v>
      </c>
      <c r="R64" t="s">
        <v>3190</v>
      </c>
      <c r="T64" t="s">
        <v>423</v>
      </c>
    </row>
    <row r="65" ht="25.5" customHeight="1" spans="1:20">
      <c r="A65" t="s">
        <v>3095</v>
      </c>
      <c r="B65" t="s">
        <v>269</v>
      </c>
      <c r="C65" t="s">
        <v>3181</v>
      </c>
      <c r="D65" s="3"/>
      <c r="E65" s="2">
        <v>45693</v>
      </c>
      <c r="F65">
        <v>74700</v>
      </c>
      <c r="G65">
        <v>2518</v>
      </c>
      <c r="H65">
        <v>211</v>
      </c>
      <c r="I65">
        <v>23</v>
      </c>
      <c r="L65" t="s">
        <v>3138</v>
      </c>
      <c r="N65" t="s">
        <v>1630</v>
      </c>
      <c r="O65" s="4">
        <v>45693.7893634259</v>
      </c>
      <c r="P65" t="s">
        <v>423</v>
      </c>
      <c r="Q65" t="s">
        <v>1693</v>
      </c>
      <c r="R65" t="s">
        <v>3191</v>
      </c>
      <c r="T65" t="s">
        <v>423</v>
      </c>
    </row>
    <row r="66" ht="25.5" customHeight="1" spans="1:20">
      <c r="A66" t="s">
        <v>3095</v>
      </c>
      <c r="B66" t="s">
        <v>269</v>
      </c>
      <c r="C66" t="s">
        <v>3181</v>
      </c>
      <c r="D66" s="3"/>
      <c r="E66" s="2">
        <v>45694</v>
      </c>
      <c r="F66">
        <v>75000</v>
      </c>
      <c r="G66">
        <v>2556</v>
      </c>
      <c r="H66">
        <v>216</v>
      </c>
      <c r="I66">
        <v>23</v>
      </c>
      <c r="L66" t="s">
        <v>3138</v>
      </c>
      <c r="N66" t="s">
        <v>1630</v>
      </c>
      <c r="O66" s="4">
        <v>45698.6216782407</v>
      </c>
      <c r="P66" t="s">
        <v>423</v>
      </c>
      <c r="Q66" t="s">
        <v>1693</v>
      </c>
      <c r="R66" t="s">
        <v>3192</v>
      </c>
      <c r="S66" t="s">
        <v>3180</v>
      </c>
      <c r="T66" t="s">
        <v>423</v>
      </c>
    </row>
    <row r="67" ht="25.5" customHeight="1" spans="1:20">
      <c r="A67" t="s">
        <v>3095</v>
      </c>
      <c r="B67" t="s">
        <v>269</v>
      </c>
      <c r="C67" t="s">
        <v>3181</v>
      </c>
      <c r="D67" s="3"/>
      <c r="E67" s="2">
        <v>45695</v>
      </c>
      <c r="F67">
        <v>75500</v>
      </c>
      <c r="G67">
        <v>2597</v>
      </c>
      <c r="H67">
        <v>218</v>
      </c>
      <c r="I67">
        <v>23</v>
      </c>
      <c r="L67" t="s">
        <v>3138</v>
      </c>
      <c r="N67" t="s">
        <v>1630</v>
      </c>
      <c r="O67" s="4">
        <v>45695.6380787037</v>
      </c>
      <c r="P67" t="s">
        <v>423</v>
      </c>
      <c r="Q67" t="s">
        <v>1693</v>
      </c>
      <c r="R67" t="s">
        <v>3193</v>
      </c>
      <c r="T67" t="s">
        <v>423</v>
      </c>
    </row>
    <row r="68" ht="25.5" customHeight="1" spans="1:20">
      <c r="A68" t="s">
        <v>3094</v>
      </c>
      <c r="B68" t="s">
        <v>56</v>
      </c>
      <c r="C68" t="s">
        <v>3194</v>
      </c>
      <c r="D68" s="3" t="str">
        <f>HYPERLINK("https://www.tiktok.com/@inspiredanalyst/video/7457556665387322654?is_from_webapp=1&amp;web_id=7446609952652690990","https://www.tiktok.com/@inspiredanalyst/video/7457556665387322654?is_from_webapp=1&amp;web_id=7446609952652690990")</f>
        <v>https://www.tiktok.com/@inspiredanalyst/video/7457556665387322654?is_from_webapp=1&amp;web_id=7446609952652690990</v>
      </c>
      <c r="E68" s="2">
        <v>45666</v>
      </c>
      <c r="F68">
        <v>999100</v>
      </c>
      <c r="G68">
        <v>14900</v>
      </c>
      <c r="H68">
        <v>663</v>
      </c>
      <c r="I68">
        <v>23</v>
      </c>
      <c r="J68">
        <v>297</v>
      </c>
      <c r="K68">
        <v>50</v>
      </c>
      <c r="L68" t="s">
        <v>3195</v>
      </c>
      <c r="N68" t="s">
        <v>1630</v>
      </c>
      <c r="O68" s="4">
        <v>45671.6831365741</v>
      </c>
      <c r="P68" t="s">
        <v>57</v>
      </c>
      <c r="Q68" t="s">
        <v>1693</v>
      </c>
      <c r="R68" t="s">
        <v>3196</v>
      </c>
      <c r="T68" t="s">
        <v>57</v>
      </c>
    </row>
    <row r="69" ht="25.5" customHeight="1" spans="1:20">
      <c r="A69" t="s">
        <v>3094</v>
      </c>
      <c r="B69" t="s">
        <v>56</v>
      </c>
      <c r="C69" t="s">
        <v>3194</v>
      </c>
      <c r="D69" s="3"/>
      <c r="E69" s="2">
        <v>45671</v>
      </c>
      <c r="F69">
        <v>999200</v>
      </c>
      <c r="G69">
        <v>15400</v>
      </c>
      <c r="H69">
        <v>682</v>
      </c>
      <c r="I69">
        <v>25</v>
      </c>
      <c r="J69">
        <v>300</v>
      </c>
      <c r="K69">
        <v>52</v>
      </c>
      <c r="L69" t="s">
        <v>3195</v>
      </c>
      <c r="N69" t="s">
        <v>1630</v>
      </c>
      <c r="O69" s="4">
        <v>45672.5030092593</v>
      </c>
      <c r="P69" t="s">
        <v>57</v>
      </c>
      <c r="Q69" t="s">
        <v>1693</v>
      </c>
      <c r="R69" t="s">
        <v>3197</v>
      </c>
      <c r="T69" t="s">
        <v>57</v>
      </c>
    </row>
    <row r="70" ht="25.5" customHeight="1" spans="1:20">
      <c r="A70" t="s">
        <v>3094</v>
      </c>
      <c r="B70" t="s">
        <v>56</v>
      </c>
      <c r="C70" t="s">
        <v>3194</v>
      </c>
      <c r="D70" s="3"/>
      <c r="E70" s="2">
        <v>45672</v>
      </c>
      <c r="F70">
        <v>999300</v>
      </c>
      <c r="G70">
        <v>15700</v>
      </c>
      <c r="H70">
        <v>686</v>
      </c>
      <c r="I70">
        <v>26</v>
      </c>
      <c r="J70">
        <v>302</v>
      </c>
      <c r="K70">
        <v>54</v>
      </c>
      <c r="L70" t="s">
        <v>3195</v>
      </c>
      <c r="N70" t="s">
        <v>1630</v>
      </c>
      <c r="O70" s="4">
        <v>45672.5241782407</v>
      </c>
      <c r="P70" t="s">
        <v>57</v>
      </c>
      <c r="Q70" t="s">
        <v>1693</v>
      </c>
      <c r="R70" t="s">
        <v>3198</v>
      </c>
      <c r="T70" t="s">
        <v>57</v>
      </c>
    </row>
    <row r="71" ht="25.5" customHeight="1" spans="1:20">
      <c r="A71" t="s">
        <v>3094</v>
      </c>
      <c r="B71" t="s">
        <v>56</v>
      </c>
      <c r="C71" t="s">
        <v>3194</v>
      </c>
      <c r="D71" s="3"/>
      <c r="E71" s="2">
        <v>45673</v>
      </c>
      <c r="F71">
        <v>999300</v>
      </c>
      <c r="G71">
        <v>16100</v>
      </c>
      <c r="H71">
        <v>697</v>
      </c>
      <c r="I71">
        <v>26</v>
      </c>
      <c r="J71">
        <v>312</v>
      </c>
      <c r="K71">
        <v>60</v>
      </c>
      <c r="L71" t="s">
        <v>3195</v>
      </c>
      <c r="N71" t="s">
        <v>1630</v>
      </c>
      <c r="O71" s="4">
        <v>45673.5058564815</v>
      </c>
      <c r="P71" t="s">
        <v>57</v>
      </c>
      <c r="Q71" t="s">
        <v>1693</v>
      </c>
      <c r="R71" t="s">
        <v>3199</v>
      </c>
      <c r="T71" t="s">
        <v>57</v>
      </c>
    </row>
    <row r="72" ht="25.5" customHeight="1" spans="1:20">
      <c r="A72" t="s">
        <v>3094</v>
      </c>
      <c r="B72" t="s">
        <v>56</v>
      </c>
      <c r="C72" t="s">
        <v>3194</v>
      </c>
      <c r="D72" s="3"/>
      <c r="E72" s="2">
        <v>45674</v>
      </c>
      <c r="F72">
        <v>999400</v>
      </c>
      <c r="G72">
        <v>16500</v>
      </c>
      <c r="H72">
        <v>709</v>
      </c>
      <c r="I72">
        <v>27</v>
      </c>
      <c r="J72">
        <v>316</v>
      </c>
      <c r="K72">
        <v>62</v>
      </c>
      <c r="L72" t="s">
        <v>3195</v>
      </c>
      <c r="N72" t="s">
        <v>1630</v>
      </c>
      <c r="O72" s="4">
        <v>45674.6580671296</v>
      </c>
      <c r="P72" t="s">
        <v>57</v>
      </c>
      <c r="Q72" t="s">
        <v>1693</v>
      </c>
      <c r="R72" t="s">
        <v>3200</v>
      </c>
      <c r="T72" t="s">
        <v>57</v>
      </c>
    </row>
    <row r="73" ht="25.5" customHeight="1" spans="1:20">
      <c r="A73" t="s">
        <v>3094</v>
      </c>
      <c r="B73" t="s">
        <v>56</v>
      </c>
      <c r="C73" t="s">
        <v>3194</v>
      </c>
      <c r="D73" s="3"/>
      <c r="E73" s="2">
        <v>45677</v>
      </c>
      <c r="F73">
        <v>1000000</v>
      </c>
      <c r="G73">
        <v>17300</v>
      </c>
      <c r="H73">
        <v>722</v>
      </c>
      <c r="I73">
        <v>27</v>
      </c>
      <c r="J73">
        <v>325</v>
      </c>
      <c r="K73">
        <v>69</v>
      </c>
      <c r="L73" t="s">
        <v>3195</v>
      </c>
      <c r="N73" t="s">
        <v>1630</v>
      </c>
      <c r="O73" s="4">
        <v>45677.4190625</v>
      </c>
      <c r="P73" t="s">
        <v>57</v>
      </c>
      <c r="Q73" t="s">
        <v>1693</v>
      </c>
      <c r="R73" t="s">
        <v>3201</v>
      </c>
      <c r="T73" t="s">
        <v>57</v>
      </c>
    </row>
    <row r="74" ht="25.5" customHeight="1" spans="1:20">
      <c r="A74" t="s">
        <v>3094</v>
      </c>
      <c r="B74" t="s">
        <v>56</v>
      </c>
      <c r="C74" t="s">
        <v>3194</v>
      </c>
      <c r="D74" s="3"/>
      <c r="E74" s="2">
        <v>45678</v>
      </c>
      <c r="F74">
        <v>1000000</v>
      </c>
      <c r="G74">
        <v>17900</v>
      </c>
      <c r="H74">
        <v>741</v>
      </c>
      <c r="I74">
        <v>27</v>
      </c>
      <c r="J74">
        <v>334</v>
      </c>
      <c r="K74">
        <v>75</v>
      </c>
      <c r="L74" t="s">
        <v>3195</v>
      </c>
      <c r="N74" t="s">
        <v>1630</v>
      </c>
      <c r="O74" s="4">
        <v>45678.605625</v>
      </c>
      <c r="P74" t="s">
        <v>57</v>
      </c>
      <c r="Q74" t="s">
        <v>1693</v>
      </c>
      <c r="R74" t="s">
        <v>3202</v>
      </c>
      <c r="T74" t="s">
        <v>57</v>
      </c>
    </row>
    <row r="75" ht="25.5" customHeight="1" spans="1:20">
      <c r="A75" t="s">
        <v>3094</v>
      </c>
      <c r="B75" t="s">
        <v>56</v>
      </c>
      <c r="C75" t="s">
        <v>3194</v>
      </c>
      <c r="D75" s="3"/>
      <c r="E75" s="2">
        <v>45679</v>
      </c>
      <c r="F75">
        <v>1000000</v>
      </c>
      <c r="G75">
        <v>18500</v>
      </c>
      <c r="H75">
        <v>754</v>
      </c>
      <c r="I75">
        <v>27</v>
      </c>
      <c r="J75">
        <v>343</v>
      </c>
      <c r="K75">
        <v>85</v>
      </c>
      <c r="L75" t="s">
        <v>3195</v>
      </c>
      <c r="N75" t="s">
        <v>1630</v>
      </c>
      <c r="O75" s="4">
        <v>45679.6839236111</v>
      </c>
      <c r="P75" t="s">
        <v>57</v>
      </c>
      <c r="Q75" t="s">
        <v>1693</v>
      </c>
      <c r="R75" t="s">
        <v>3203</v>
      </c>
      <c r="T75" t="s">
        <v>57</v>
      </c>
    </row>
    <row r="76" ht="25.5" customHeight="1" spans="1:20">
      <c r="A76" t="s">
        <v>3094</v>
      </c>
      <c r="B76" t="s">
        <v>56</v>
      </c>
      <c r="C76" t="s">
        <v>3194</v>
      </c>
      <c r="D76" s="3"/>
      <c r="E76" s="2">
        <v>45680</v>
      </c>
      <c r="F76">
        <v>1000000</v>
      </c>
      <c r="G76">
        <v>18900</v>
      </c>
      <c r="H76">
        <v>762</v>
      </c>
      <c r="I76">
        <v>27</v>
      </c>
      <c r="J76">
        <v>350</v>
      </c>
      <c r="K76">
        <v>85</v>
      </c>
      <c r="L76" t="s">
        <v>3195</v>
      </c>
      <c r="N76" t="s">
        <v>1630</v>
      </c>
      <c r="O76" s="4">
        <v>45680.6346296296</v>
      </c>
      <c r="P76" t="s">
        <v>57</v>
      </c>
      <c r="Q76" t="s">
        <v>1693</v>
      </c>
      <c r="R76" t="s">
        <v>3204</v>
      </c>
      <c r="T76" t="s">
        <v>57</v>
      </c>
    </row>
    <row r="77" ht="25.5" customHeight="1" spans="1:20">
      <c r="A77" t="s">
        <v>3094</v>
      </c>
      <c r="B77" t="s">
        <v>56</v>
      </c>
      <c r="C77" t="s">
        <v>3194</v>
      </c>
      <c r="D77" s="3"/>
      <c r="E77" s="2">
        <v>45681</v>
      </c>
      <c r="F77">
        <v>1000000</v>
      </c>
      <c r="G77">
        <v>19100</v>
      </c>
      <c r="H77">
        <v>768</v>
      </c>
      <c r="I77">
        <v>28</v>
      </c>
      <c r="J77">
        <v>355</v>
      </c>
      <c r="K77">
        <v>89</v>
      </c>
      <c r="L77" t="s">
        <v>3195</v>
      </c>
      <c r="N77" t="s">
        <v>1630</v>
      </c>
      <c r="O77" s="4">
        <v>45681.5370717593</v>
      </c>
      <c r="P77" t="s">
        <v>57</v>
      </c>
      <c r="Q77" t="s">
        <v>1693</v>
      </c>
      <c r="R77" t="s">
        <v>3205</v>
      </c>
      <c r="T77" t="s">
        <v>57</v>
      </c>
    </row>
    <row r="78" ht="25.5" customHeight="1" spans="1:20">
      <c r="A78" t="s">
        <v>3094</v>
      </c>
      <c r="B78" t="s">
        <v>56</v>
      </c>
      <c r="C78" t="s">
        <v>3194</v>
      </c>
      <c r="D78" s="3"/>
      <c r="E78" s="2">
        <v>45683</v>
      </c>
      <c r="F78">
        <v>1000000</v>
      </c>
      <c r="G78">
        <v>19500</v>
      </c>
      <c r="H78">
        <v>779</v>
      </c>
      <c r="I78">
        <v>28</v>
      </c>
      <c r="J78">
        <v>359</v>
      </c>
      <c r="K78">
        <v>91</v>
      </c>
      <c r="L78" t="s">
        <v>3195</v>
      </c>
      <c r="N78" t="s">
        <v>1630</v>
      </c>
      <c r="O78" s="4">
        <v>45683.7510648148</v>
      </c>
      <c r="P78" t="s">
        <v>57</v>
      </c>
      <c r="Q78" t="s">
        <v>1693</v>
      </c>
      <c r="R78" t="s">
        <v>3206</v>
      </c>
      <c r="T78" t="s">
        <v>57</v>
      </c>
    </row>
    <row r="79" ht="25.5" customHeight="1" spans="1:20">
      <c r="A79" t="s">
        <v>3094</v>
      </c>
      <c r="B79" t="s">
        <v>56</v>
      </c>
      <c r="C79" t="s">
        <v>3194</v>
      </c>
      <c r="D79" s="3"/>
      <c r="E79" s="2">
        <v>45684</v>
      </c>
      <c r="F79">
        <v>1000000</v>
      </c>
      <c r="G79">
        <v>19800</v>
      </c>
      <c r="H79">
        <v>785</v>
      </c>
      <c r="I79">
        <v>28</v>
      </c>
      <c r="J79">
        <v>366</v>
      </c>
      <c r="K79">
        <v>91</v>
      </c>
      <c r="L79" t="s">
        <v>3195</v>
      </c>
      <c r="N79" t="s">
        <v>1630</v>
      </c>
      <c r="O79" s="4">
        <v>45684.8056712963</v>
      </c>
      <c r="P79" t="s">
        <v>57</v>
      </c>
      <c r="Q79" t="s">
        <v>1693</v>
      </c>
      <c r="R79" t="s">
        <v>3207</v>
      </c>
      <c r="T79" t="s">
        <v>57</v>
      </c>
    </row>
    <row r="80" ht="25.5" customHeight="1" spans="1:20">
      <c r="A80" t="s">
        <v>3094</v>
      </c>
      <c r="B80" t="s">
        <v>56</v>
      </c>
      <c r="C80" t="s">
        <v>3194</v>
      </c>
      <c r="D80" s="3"/>
      <c r="E80" s="2">
        <v>45693</v>
      </c>
      <c r="F80">
        <v>1000000</v>
      </c>
      <c r="G80">
        <v>20800</v>
      </c>
      <c r="H80">
        <v>812</v>
      </c>
      <c r="I80">
        <v>28</v>
      </c>
      <c r="J80">
        <v>373</v>
      </c>
      <c r="K80">
        <v>93</v>
      </c>
      <c r="L80" t="s">
        <v>3208</v>
      </c>
      <c r="N80" t="s">
        <v>1630</v>
      </c>
      <c r="O80" s="4">
        <v>45693.7949652778</v>
      </c>
      <c r="P80" t="s">
        <v>57</v>
      </c>
      <c r="Q80" t="s">
        <v>1693</v>
      </c>
      <c r="R80" t="s">
        <v>3209</v>
      </c>
      <c r="T80" t="s">
        <v>57</v>
      </c>
    </row>
    <row r="81" ht="25.5" customHeight="1" spans="1:20">
      <c r="A81" t="s">
        <v>3094</v>
      </c>
      <c r="B81" t="s">
        <v>56</v>
      </c>
      <c r="C81" t="s">
        <v>3194</v>
      </c>
      <c r="D81" s="3"/>
      <c r="E81" s="2">
        <v>45694</v>
      </c>
      <c r="F81">
        <v>1000000</v>
      </c>
      <c r="G81">
        <v>20800</v>
      </c>
      <c r="H81">
        <v>812</v>
      </c>
      <c r="I81">
        <v>28</v>
      </c>
      <c r="J81">
        <v>373</v>
      </c>
      <c r="K81">
        <v>93</v>
      </c>
      <c r="L81" t="s">
        <v>3208</v>
      </c>
      <c r="N81" t="s">
        <v>1630</v>
      </c>
      <c r="O81" s="4">
        <v>45698.6216782407</v>
      </c>
      <c r="P81" t="s">
        <v>57</v>
      </c>
      <c r="Q81" t="s">
        <v>1693</v>
      </c>
      <c r="R81" t="s">
        <v>3209</v>
      </c>
      <c r="S81" t="s">
        <v>3152</v>
      </c>
      <c r="T81" t="s">
        <v>57</v>
      </c>
    </row>
    <row r="82" ht="25.5" customHeight="1" spans="1:20">
      <c r="A82" t="s">
        <v>3094</v>
      </c>
      <c r="B82" t="s">
        <v>56</v>
      </c>
      <c r="C82" t="s">
        <v>3194</v>
      </c>
      <c r="D82" s="3"/>
      <c r="E82" s="2">
        <v>45695</v>
      </c>
      <c r="F82">
        <v>1000000</v>
      </c>
      <c r="G82">
        <v>20900</v>
      </c>
      <c r="H82">
        <v>814</v>
      </c>
      <c r="I82">
        <v>28</v>
      </c>
      <c r="J82">
        <v>373</v>
      </c>
      <c r="K82">
        <v>96</v>
      </c>
      <c r="L82" t="s">
        <v>3208</v>
      </c>
      <c r="N82" t="s">
        <v>1630</v>
      </c>
      <c r="O82" s="4">
        <v>45695.6445833333</v>
      </c>
      <c r="P82" t="s">
        <v>57</v>
      </c>
      <c r="Q82" t="s">
        <v>1693</v>
      </c>
      <c r="R82" t="s">
        <v>3210</v>
      </c>
      <c r="T82" t="s">
        <v>57</v>
      </c>
    </row>
    <row r="83" ht="25.5" customHeight="1" spans="1:18">
      <c r="A83" t="s">
        <v>3211</v>
      </c>
      <c r="D83" s="3"/>
      <c r="E83" s="2"/>
      <c r="O83" s="4">
        <v>45670.743587963</v>
      </c>
      <c r="R83" t="s">
        <v>3133</v>
      </c>
    </row>
    <row r="84" ht="25.5" customHeight="1" spans="1:20">
      <c r="A84" t="s">
        <v>2904</v>
      </c>
      <c r="B84" t="s">
        <v>56</v>
      </c>
      <c r="C84" t="s">
        <v>3212</v>
      </c>
      <c r="D84" s="3" t="str">
        <f>HYPERLINK("https://www.tiktok.com/@ale_sancas/video/7458428738393459973?is_from_webapp=1&amp;sender_device=pc&amp;web_id=7446609952652690990","https://www.tiktok.com/@ale_sancas/video/7458428738393459973?is_from_webapp=1&amp;sender_device=pc&amp;web_id=7446609952652690990")</f>
        <v>https://www.tiktok.com/@ale_sancas/video/7458428738393459973?is_from_webapp=1&amp;sender_device=pc&amp;web_id=7446609952652690990</v>
      </c>
      <c r="E84" s="2">
        <v>45668</v>
      </c>
      <c r="F84">
        <v>27900</v>
      </c>
      <c r="G84">
        <v>861</v>
      </c>
      <c r="H84">
        <v>112</v>
      </c>
      <c r="I84">
        <v>16</v>
      </c>
      <c r="J84">
        <v>38</v>
      </c>
      <c r="K84">
        <v>14</v>
      </c>
      <c r="L84" t="s">
        <v>3213</v>
      </c>
      <c r="M84" t="s">
        <v>3214</v>
      </c>
      <c r="N84" t="s">
        <v>1630</v>
      </c>
      <c r="O84" s="4">
        <v>45673.5063310185</v>
      </c>
      <c r="P84" t="s">
        <v>57</v>
      </c>
      <c r="Q84" t="s">
        <v>1753</v>
      </c>
      <c r="R84" t="s">
        <v>3215</v>
      </c>
      <c r="T84" t="s">
        <v>57</v>
      </c>
    </row>
    <row r="85" ht="25.5" customHeight="1" spans="1:20">
      <c r="A85" t="s">
        <v>2904</v>
      </c>
      <c r="B85" t="s">
        <v>56</v>
      </c>
      <c r="C85" t="s">
        <v>3212</v>
      </c>
      <c r="D85" s="3"/>
      <c r="E85" s="2">
        <v>45671</v>
      </c>
      <c r="F85">
        <v>27900</v>
      </c>
      <c r="G85">
        <v>894</v>
      </c>
      <c r="H85">
        <v>115</v>
      </c>
      <c r="I85">
        <v>16</v>
      </c>
      <c r="J85">
        <v>38</v>
      </c>
      <c r="K85">
        <v>14</v>
      </c>
      <c r="L85" t="s">
        <v>3213</v>
      </c>
      <c r="M85" t="s">
        <v>3214</v>
      </c>
      <c r="N85" t="s">
        <v>1630</v>
      </c>
      <c r="O85" s="4">
        <v>45672.5030092593</v>
      </c>
      <c r="P85" t="s">
        <v>57</v>
      </c>
      <c r="Q85" t="s">
        <v>1753</v>
      </c>
      <c r="R85" t="s">
        <v>3216</v>
      </c>
      <c r="T85" t="s">
        <v>57</v>
      </c>
    </row>
    <row r="86" ht="25.5" customHeight="1" spans="1:20">
      <c r="A86" t="s">
        <v>2904</v>
      </c>
      <c r="B86" t="s">
        <v>56</v>
      </c>
      <c r="C86" t="s">
        <v>3212</v>
      </c>
      <c r="D86" s="3"/>
      <c r="E86" s="2">
        <v>45672</v>
      </c>
      <c r="F86">
        <v>27900</v>
      </c>
      <c r="G86">
        <v>924</v>
      </c>
      <c r="H86">
        <v>117</v>
      </c>
      <c r="I86">
        <v>16</v>
      </c>
      <c r="J86">
        <v>38</v>
      </c>
      <c r="K86">
        <v>14</v>
      </c>
      <c r="L86" t="s">
        <v>3213</v>
      </c>
      <c r="M86" t="s">
        <v>3214</v>
      </c>
      <c r="N86" t="s">
        <v>1630</v>
      </c>
      <c r="O86" s="4">
        <v>45672.5246527778</v>
      </c>
      <c r="P86" t="s">
        <v>57</v>
      </c>
      <c r="Q86" t="s">
        <v>1753</v>
      </c>
      <c r="R86" t="s">
        <v>3185</v>
      </c>
      <c r="T86" t="s">
        <v>57</v>
      </c>
    </row>
    <row r="87" ht="25.5" customHeight="1" spans="1:20">
      <c r="A87" t="s">
        <v>2904</v>
      </c>
      <c r="B87" t="s">
        <v>56</v>
      </c>
      <c r="C87" t="s">
        <v>3212</v>
      </c>
      <c r="D87" s="3"/>
      <c r="E87" s="2">
        <v>45673</v>
      </c>
      <c r="F87">
        <v>27900</v>
      </c>
      <c r="G87">
        <v>936</v>
      </c>
      <c r="H87">
        <v>118</v>
      </c>
      <c r="I87">
        <v>16</v>
      </c>
      <c r="J87">
        <v>38</v>
      </c>
      <c r="K87">
        <v>14</v>
      </c>
      <c r="L87" t="s">
        <v>3213</v>
      </c>
      <c r="M87" t="s">
        <v>3214</v>
      </c>
      <c r="N87" t="s">
        <v>1630</v>
      </c>
      <c r="O87" s="4">
        <v>45673.5063888889</v>
      </c>
      <c r="P87" t="s">
        <v>57</v>
      </c>
      <c r="Q87" t="s">
        <v>1753</v>
      </c>
      <c r="R87" t="s">
        <v>3217</v>
      </c>
      <c r="T87" t="s">
        <v>57</v>
      </c>
    </row>
    <row r="88" ht="25.5" customHeight="1" spans="1:20">
      <c r="A88" t="s">
        <v>2904</v>
      </c>
      <c r="B88" t="s">
        <v>56</v>
      </c>
      <c r="C88" t="s">
        <v>3212</v>
      </c>
      <c r="D88" s="3"/>
      <c r="E88" s="2">
        <v>45674</v>
      </c>
      <c r="F88">
        <v>27900</v>
      </c>
      <c r="G88">
        <v>950</v>
      </c>
      <c r="H88">
        <v>118</v>
      </c>
      <c r="I88">
        <v>16</v>
      </c>
      <c r="J88">
        <v>38</v>
      </c>
      <c r="K88">
        <v>15</v>
      </c>
      <c r="L88" t="s">
        <v>3213</v>
      </c>
      <c r="M88" t="s">
        <v>3214</v>
      </c>
      <c r="N88" t="s">
        <v>1630</v>
      </c>
      <c r="O88" s="4">
        <v>45674.6593402778</v>
      </c>
      <c r="P88" t="s">
        <v>57</v>
      </c>
      <c r="Q88" t="s">
        <v>1753</v>
      </c>
      <c r="R88" t="s">
        <v>3218</v>
      </c>
      <c r="T88" t="s">
        <v>57</v>
      </c>
    </row>
    <row r="89" ht="25.5" customHeight="1" spans="1:20">
      <c r="A89" t="s">
        <v>2904</v>
      </c>
      <c r="B89" t="s">
        <v>56</v>
      </c>
      <c r="C89" t="s">
        <v>3212</v>
      </c>
      <c r="D89" s="3"/>
      <c r="E89" s="2">
        <v>45677</v>
      </c>
      <c r="F89">
        <v>27900</v>
      </c>
      <c r="G89">
        <v>978</v>
      </c>
      <c r="H89">
        <v>122</v>
      </c>
      <c r="I89">
        <v>16</v>
      </c>
      <c r="J89">
        <v>39</v>
      </c>
      <c r="K89">
        <v>17</v>
      </c>
      <c r="L89" t="s">
        <v>3213</v>
      </c>
      <c r="M89" t="s">
        <v>3214</v>
      </c>
      <c r="N89" t="s">
        <v>1630</v>
      </c>
      <c r="O89" s="4">
        <v>45677.4190277778</v>
      </c>
      <c r="P89" t="s">
        <v>57</v>
      </c>
      <c r="Q89" t="s">
        <v>1753</v>
      </c>
      <c r="R89" t="s">
        <v>3219</v>
      </c>
      <c r="T89" t="s">
        <v>57</v>
      </c>
    </row>
    <row r="90" ht="25.5" customHeight="1" spans="1:20">
      <c r="A90" t="s">
        <v>2904</v>
      </c>
      <c r="B90" t="s">
        <v>56</v>
      </c>
      <c r="C90" t="s">
        <v>3212</v>
      </c>
      <c r="D90" s="3"/>
      <c r="E90" s="2">
        <v>45678</v>
      </c>
      <c r="F90">
        <v>27900</v>
      </c>
      <c r="G90">
        <v>988</v>
      </c>
      <c r="H90">
        <v>122</v>
      </c>
      <c r="I90">
        <v>16</v>
      </c>
      <c r="J90">
        <v>39</v>
      </c>
      <c r="K90">
        <v>17</v>
      </c>
      <c r="L90" t="s">
        <v>3213</v>
      </c>
      <c r="M90" t="s">
        <v>3214</v>
      </c>
      <c r="N90" t="s">
        <v>1630</v>
      </c>
      <c r="O90" s="4">
        <v>45678.6058680556</v>
      </c>
      <c r="P90" t="s">
        <v>57</v>
      </c>
      <c r="Q90" t="s">
        <v>1753</v>
      </c>
      <c r="R90" t="s">
        <v>3219</v>
      </c>
      <c r="T90" t="s">
        <v>57</v>
      </c>
    </row>
    <row r="91" ht="25.5" customHeight="1" spans="1:20">
      <c r="A91" t="s">
        <v>2904</v>
      </c>
      <c r="B91" t="s">
        <v>56</v>
      </c>
      <c r="C91" t="s">
        <v>3212</v>
      </c>
      <c r="D91" s="3"/>
      <c r="E91" s="2">
        <v>45679</v>
      </c>
      <c r="F91">
        <v>27900</v>
      </c>
      <c r="G91">
        <v>1009</v>
      </c>
      <c r="H91">
        <v>123</v>
      </c>
      <c r="I91">
        <v>16</v>
      </c>
      <c r="J91">
        <v>41</v>
      </c>
      <c r="K91">
        <v>17</v>
      </c>
      <c r="L91" t="s">
        <v>3220</v>
      </c>
      <c r="M91" t="s">
        <v>3214</v>
      </c>
      <c r="N91" t="s">
        <v>1630</v>
      </c>
      <c r="O91" s="4">
        <v>45679.6842361111</v>
      </c>
      <c r="P91" t="s">
        <v>57</v>
      </c>
      <c r="Q91" t="s">
        <v>1753</v>
      </c>
      <c r="R91" t="s">
        <v>3187</v>
      </c>
      <c r="T91" t="s">
        <v>57</v>
      </c>
    </row>
    <row r="92" ht="25.5" customHeight="1" spans="1:20">
      <c r="A92" t="s">
        <v>2904</v>
      </c>
      <c r="B92" t="s">
        <v>56</v>
      </c>
      <c r="C92" t="s">
        <v>3212</v>
      </c>
      <c r="D92" s="3"/>
      <c r="E92" s="2">
        <v>45680</v>
      </c>
      <c r="F92">
        <v>27900</v>
      </c>
      <c r="G92">
        <v>1019</v>
      </c>
      <c r="H92">
        <v>125</v>
      </c>
      <c r="I92">
        <v>16</v>
      </c>
      <c r="J92">
        <v>42</v>
      </c>
      <c r="K92">
        <v>18</v>
      </c>
      <c r="L92" t="s">
        <v>3213</v>
      </c>
      <c r="M92" t="s">
        <v>3214</v>
      </c>
      <c r="N92" t="s">
        <v>1630</v>
      </c>
      <c r="O92" s="4">
        <v>45680.6348726852</v>
      </c>
      <c r="P92" t="s">
        <v>57</v>
      </c>
      <c r="Q92" t="s">
        <v>1753</v>
      </c>
      <c r="R92" t="s">
        <v>3188</v>
      </c>
      <c r="T92" t="s">
        <v>57</v>
      </c>
    </row>
    <row r="93" ht="25.5" customHeight="1" spans="1:20">
      <c r="A93" t="s">
        <v>2904</v>
      </c>
      <c r="B93" t="s">
        <v>56</v>
      </c>
      <c r="C93" t="s">
        <v>3212</v>
      </c>
      <c r="D93" s="3"/>
      <c r="E93" s="2">
        <v>45681</v>
      </c>
      <c r="F93">
        <v>27900</v>
      </c>
      <c r="G93">
        <v>1033</v>
      </c>
      <c r="H93">
        <v>126</v>
      </c>
      <c r="I93">
        <v>16</v>
      </c>
      <c r="J93">
        <v>43</v>
      </c>
      <c r="K93">
        <v>18</v>
      </c>
      <c r="L93" t="s">
        <v>3220</v>
      </c>
      <c r="M93" t="s">
        <v>3214</v>
      </c>
      <c r="N93" t="s">
        <v>1630</v>
      </c>
      <c r="O93" s="4">
        <v>45681.5374421296</v>
      </c>
      <c r="P93" t="s">
        <v>57</v>
      </c>
      <c r="Q93" t="s">
        <v>1753</v>
      </c>
      <c r="R93" t="s">
        <v>3221</v>
      </c>
      <c r="T93" t="s">
        <v>57</v>
      </c>
    </row>
    <row r="94" ht="25.5" customHeight="1" spans="1:20">
      <c r="A94" t="s">
        <v>2904</v>
      </c>
      <c r="B94" t="s">
        <v>56</v>
      </c>
      <c r="C94" t="s">
        <v>3212</v>
      </c>
      <c r="D94" s="3"/>
      <c r="E94" s="2">
        <v>45683</v>
      </c>
      <c r="F94">
        <v>27900</v>
      </c>
      <c r="G94">
        <v>1059</v>
      </c>
      <c r="H94">
        <v>128</v>
      </c>
      <c r="I94">
        <v>16</v>
      </c>
      <c r="J94">
        <v>44</v>
      </c>
      <c r="K94">
        <v>18</v>
      </c>
      <c r="L94" t="s">
        <v>3220</v>
      </c>
      <c r="M94" t="s">
        <v>3214</v>
      </c>
      <c r="N94" t="s">
        <v>1630</v>
      </c>
      <c r="O94" s="4">
        <v>45683.7513425926</v>
      </c>
      <c r="P94" t="s">
        <v>57</v>
      </c>
      <c r="Q94" t="s">
        <v>1753</v>
      </c>
      <c r="R94" t="s">
        <v>3222</v>
      </c>
      <c r="T94" t="s">
        <v>57</v>
      </c>
    </row>
    <row r="95" ht="25.5" customHeight="1" spans="1:20">
      <c r="A95" t="s">
        <v>2904</v>
      </c>
      <c r="B95" t="s">
        <v>56</v>
      </c>
      <c r="C95" t="s">
        <v>3212</v>
      </c>
      <c r="D95" s="3"/>
      <c r="E95" s="2">
        <v>45684</v>
      </c>
      <c r="F95">
        <v>27900</v>
      </c>
      <c r="G95">
        <v>1063</v>
      </c>
      <c r="H95">
        <v>128</v>
      </c>
      <c r="I95">
        <v>16</v>
      </c>
      <c r="J95">
        <v>45</v>
      </c>
      <c r="K95">
        <v>18</v>
      </c>
      <c r="L95" t="s">
        <v>3220</v>
      </c>
      <c r="M95" t="s">
        <v>3214</v>
      </c>
      <c r="N95" t="s">
        <v>1630</v>
      </c>
      <c r="O95" s="4">
        <v>45684.8059606481</v>
      </c>
      <c r="P95" t="s">
        <v>57</v>
      </c>
      <c r="Q95" t="s">
        <v>1753</v>
      </c>
      <c r="R95" t="s">
        <v>3189</v>
      </c>
      <c r="T95" t="s">
        <v>57</v>
      </c>
    </row>
    <row r="96" ht="25.5" customHeight="1" spans="1:20">
      <c r="A96" t="s">
        <v>2904</v>
      </c>
      <c r="B96" t="s">
        <v>56</v>
      </c>
      <c r="C96" t="s">
        <v>3212</v>
      </c>
      <c r="D96" s="3"/>
      <c r="E96" s="2">
        <v>45693</v>
      </c>
      <c r="F96">
        <v>27800</v>
      </c>
      <c r="G96">
        <v>1109</v>
      </c>
      <c r="H96">
        <v>129</v>
      </c>
      <c r="I96">
        <v>16</v>
      </c>
      <c r="J96">
        <v>46</v>
      </c>
      <c r="K96">
        <v>18</v>
      </c>
      <c r="L96" t="s">
        <v>3220</v>
      </c>
      <c r="M96" t="s">
        <v>3214</v>
      </c>
      <c r="N96" t="s">
        <v>1630</v>
      </c>
      <c r="O96" s="4">
        <v>45693.7951851852</v>
      </c>
      <c r="P96" t="s">
        <v>57</v>
      </c>
      <c r="Q96" t="s">
        <v>1753</v>
      </c>
      <c r="R96" t="s">
        <v>3223</v>
      </c>
      <c r="T96" t="s">
        <v>57</v>
      </c>
    </row>
    <row r="97" ht="25.5" customHeight="1" spans="1:20">
      <c r="A97" t="s">
        <v>2904</v>
      </c>
      <c r="B97" t="s">
        <v>56</v>
      </c>
      <c r="C97" t="s">
        <v>3212</v>
      </c>
      <c r="D97" s="3"/>
      <c r="E97" s="2">
        <v>45694</v>
      </c>
      <c r="F97">
        <v>27800</v>
      </c>
      <c r="G97">
        <v>1112</v>
      </c>
      <c r="H97">
        <v>129</v>
      </c>
      <c r="I97">
        <v>16</v>
      </c>
      <c r="J97">
        <v>46</v>
      </c>
      <c r="K97">
        <v>18</v>
      </c>
      <c r="L97" t="s">
        <v>3220</v>
      </c>
      <c r="M97" t="s">
        <v>3214</v>
      </c>
      <c r="N97" t="s">
        <v>1630</v>
      </c>
      <c r="O97" s="4">
        <v>45698.6216782407</v>
      </c>
      <c r="P97" t="s">
        <v>57</v>
      </c>
      <c r="Q97" t="s">
        <v>1753</v>
      </c>
      <c r="R97" t="s">
        <v>3223</v>
      </c>
      <c r="S97" t="s">
        <v>3180</v>
      </c>
      <c r="T97" t="s">
        <v>57</v>
      </c>
    </row>
    <row r="98" ht="25.5" customHeight="1" spans="1:20">
      <c r="A98" t="s">
        <v>2904</v>
      </c>
      <c r="B98" t="s">
        <v>56</v>
      </c>
      <c r="C98" t="s">
        <v>3212</v>
      </c>
      <c r="D98" s="3"/>
      <c r="E98" s="2">
        <v>45695</v>
      </c>
      <c r="F98">
        <v>27800</v>
      </c>
      <c r="G98">
        <v>1112</v>
      </c>
      <c r="H98">
        <v>128</v>
      </c>
      <c r="I98">
        <v>16</v>
      </c>
      <c r="J98">
        <v>46</v>
      </c>
      <c r="K98">
        <v>18</v>
      </c>
      <c r="L98" t="s">
        <v>3220</v>
      </c>
      <c r="M98" t="s">
        <v>3214</v>
      </c>
      <c r="N98" t="s">
        <v>1630</v>
      </c>
      <c r="O98" s="4">
        <v>45695.6447222222</v>
      </c>
      <c r="P98" t="s">
        <v>57</v>
      </c>
      <c r="Q98" t="s">
        <v>1753</v>
      </c>
      <c r="R98" t="s">
        <v>3224</v>
      </c>
      <c r="T98" t="s">
        <v>57</v>
      </c>
    </row>
    <row r="99" ht="25.5" customHeight="1" spans="1:20">
      <c r="A99" t="s">
        <v>2579</v>
      </c>
      <c r="B99" t="s">
        <v>56</v>
      </c>
      <c r="D99" s="3"/>
      <c r="E99" s="2"/>
      <c r="M99" t="s">
        <v>3225</v>
      </c>
      <c r="N99" t="s">
        <v>1645</v>
      </c>
      <c r="O99" s="4">
        <v>45670.743587963</v>
      </c>
      <c r="P99" t="s">
        <v>57</v>
      </c>
      <c r="R99" t="s">
        <v>3133</v>
      </c>
      <c r="T99" t="s">
        <v>57</v>
      </c>
    </row>
    <row r="100" ht="25.5" customHeight="1" spans="1:20">
      <c r="A100" t="s">
        <v>2350</v>
      </c>
      <c r="B100" t="s">
        <v>56</v>
      </c>
      <c r="C100" t="s">
        <v>3226</v>
      </c>
      <c r="D100" s="3" t="str">
        <f>HYPERLINK("https://www.tiktok.com/@alexciriaco_","https://www.tiktok.com/@alexciriaco_")</f>
        <v>https://www.tiktok.com/@alexciriaco_</v>
      </c>
      <c r="E100" s="2">
        <v>45665</v>
      </c>
      <c r="F100">
        <v>95200</v>
      </c>
      <c r="G100">
        <v>5015</v>
      </c>
      <c r="H100">
        <v>642</v>
      </c>
      <c r="I100">
        <v>3</v>
      </c>
      <c r="J100">
        <v>49</v>
      </c>
      <c r="K100">
        <v>17</v>
      </c>
      <c r="L100" t="s">
        <v>3227</v>
      </c>
      <c r="M100" t="s">
        <v>3228</v>
      </c>
      <c r="N100" t="s">
        <v>1630</v>
      </c>
      <c r="O100" s="4">
        <v>45670.7947800926</v>
      </c>
      <c r="P100" t="s">
        <v>57</v>
      </c>
      <c r="Q100" t="s">
        <v>1703</v>
      </c>
      <c r="R100" t="s">
        <v>3229</v>
      </c>
      <c r="T100" t="s">
        <v>57</v>
      </c>
    </row>
    <row r="101" ht="25.5" customHeight="1" spans="1:20">
      <c r="A101" t="s">
        <v>2350</v>
      </c>
      <c r="B101" t="s">
        <v>56</v>
      </c>
      <c r="C101" t="s">
        <v>3226</v>
      </c>
      <c r="D101" s="3"/>
      <c r="E101" s="2">
        <v>45670</v>
      </c>
      <c r="F101">
        <v>81600</v>
      </c>
      <c r="G101">
        <v>43100</v>
      </c>
      <c r="H101">
        <v>3627</v>
      </c>
      <c r="I101">
        <v>43</v>
      </c>
      <c r="J101">
        <v>2628</v>
      </c>
      <c r="K101">
        <v>227</v>
      </c>
      <c r="L101" t="s">
        <v>3230</v>
      </c>
      <c r="M101" t="s">
        <v>3228</v>
      </c>
      <c r="N101" t="s">
        <v>1630</v>
      </c>
      <c r="O101" s="4">
        <v>45672.5030092593</v>
      </c>
      <c r="P101" t="s">
        <v>57</v>
      </c>
      <c r="Q101" t="s">
        <v>1703</v>
      </c>
      <c r="R101" t="s">
        <v>3231</v>
      </c>
      <c r="T101" t="s">
        <v>57</v>
      </c>
    </row>
    <row r="102" ht="25.5" customHeight="1" spans="1:20">
      <c r="A102" t="s">
        <v>2350</v>
      </c>
      <c r="B102" t="s">
        <v>56</v>
      </c>
      <c r="C102" t="s">
        <v>3226</v>
      </c>
      <c r="D102" s="3"/>
      <c r="E102" s="2">
        <v>45671</v>
      </c>
      <c r="F102">
        <v>81900</v>
      </c>
      <c r="G102">
        <v>43900</v>
      </c>
      <c r="H102">
        <v>3665</v>
      </c>
      <c r="I102">
        <v>44</v>
      </c>
      <c r="J102">
        <v>2662</v>
      </c>
      <c r="K102">
        <v>229</v>
      </c>
      <c r="L102" t="s">
        <v>3230</v>
      </c>
      <c r="M102" t="s">
        <v>3228</v>
      </c>
      <c r="N102" t="s">
        <v>1630</v>
      </c>
      <c r="O102" s="4">
        <v>45681.5306828704</v>
      </c>
      <c r="P102" t="s">
        <v>57</v>
      </c>
      <c r="Q102" t="s">
        <v>1703</v>
      </c>
      <c r="R102" t="s">
        <v>3232</v>
      </c>
      <c r="T102" t="s">
        <v>57</v>
      </c>
    </row>
    <row r="103" ht="25.5" customHeight="1" spans="1:20">
      <c r="A103" t="s">
        <v>2350</v>
      </c>
      <c r="B103" t="s">
        <v>56</v>
      </c>
      <c r="C103" t="s">
        <v>3226</v>
      </c>
      <c r="D103" s="3"/>
      <c r="E103" s="2">
        <v>45672</v>
      </c>
      <c r="F103">
        <v>82100</v>
      </c>
      <c r="G103">
        <v>44500</v>
      </c>
      <c r="H103">
        <v>3692</v>
      </c>
      <c r="I103">
        <v>44</v>
      </c>
      <c r="J103">
        <v>2681</v>
      </c>
      <c r="K103">
        <v>230</v>
      </c>
      <c r="L103" t="s">
        <v>3230</v>
      </c>
      <c r="M103" t="s">
        <v>3228</v>
      </c>
      <c r="N103" t="s">
        <v>1630</v>
      </c>
      <c r="O103" s="4">
        <v>45673.5069791667</v>
      </c>
      <c r="P103" t="s">
        <v>57</v>
      </c>
      <c r="Q103" t="s">
        <v>1703</v>
      </c>
      <c r="R103" t="s">
        <v>3233</v>
      </c>
      <c r="T103" t="s">
        <v>57</v>
      </c>
    </row>
    <row r="104" ht="25.5" customHeight="1" spans="1:20">
      <c r="A104" t="s">
        <v>2350</v>
      </c>
      <c r="B104" t="s">
        <v>56</v>
      </c>
      <c r="C104" t="s">
        <v>3226</v>
      </c>
      <c r="D104" s="3"/>
      <c r="E104" s="2">
        <v>45673</v>
      </c>
      <c r="F104">
        <v>82200</v>
      </c>
      <c r="G104">
        <v>45100</v>
      </c>
      <c r="H104">
        <v>3723</v>
      </c>
      <c r="I104">
        <v>45</v>
      </c>
      <c r="J104">
        <v>2700</v>
      </c>
      <c r="K104">
        <v>237</v>
      </c>
      <c r="L104" t="s">
        <v>3230</v>
      </c>
      <c r="M104" t="s">
        <v>3228</v>
      </c>
      <c r="N104" t="s">
        <v>1630</v>
      </c>
      <c r="O104" s="4">
        <v>45673.5071759259</v>
      </c>
      <c r="P104" t="s">
        <v>57</v>
      </c>
      <c r="Q104" t="s">
        <v>1703</v>
      </c>
      <c r="R104" t="s">
        <v>3234</v>
      </c>
      <c r="T104" t="s">
        <v>57</v>
      </c>
    </row>
    <row r="105" ht="25.5" customHeight="1" spans="1:20">
      <c r="A105" t="s">
        <v>2350</v>
      </c>
      <c r="B105" t="s">
        <v>56</v>
      </c>
      <c r="C105" t="s">
        <v>3226</v>
      </c>
      <c r="D105" s="3"/>
      <c r="E105" s="2">
        <v>45674</v>
      </c>
      <c r="F105">
        <v>82400</v>
      </c>
      <c r="G105">
        <v>45500</v>
      </c>
      <c r="H105">
        <v>3735</v>
      </c>
      <c r="I105">
        <v>45</v>
      </c>
      <c r="J105">
        <v>2709</v>
      </c>
      <c r="K105">
        <v>240</v>
      </c>
      <c r="L105" t="s">
        <v>3230</v>
      </c>
      <c r="M105" t="s">
        <v>3228</v>
      </c>
      <c r="N105" t="s">
        <v>1630</v>
      </c>
      <c r="O105" s="4">
        <v>45674.6595717593</v>
      </c>
      <c r="P105" t="s">
        <v>57</v>
      </c>
      <c r="Q105" t="s">
        <v>1703</v>
      </c>
      <c r="R105" t="s">
        <v>3235</v>
      </c>
      <c r="T105" t="s">
        <v>57</v>
      </c>
    </row>
    <row r="106" ht="25.5" customHeight="1" spans="1:20">
      <c r="A106" t="s">
        <v>2350</v>
      </c>
      <c r="B106" t="s">
        <v>56</v>
      </c>
      <c r="C106" t="s">
        <v>3226</v>
      </c>
      <c r="D106" s="3"/>
      <c r="E106" s="2">
        <v>45677</v>
      </c>
      <c r="F106">
        <v>83300</v>
      </c>
      <c r="G106">
        <v>47600</v>
      </c>
      <c r="H106">
        <v>3822</v>
      </c>
      <c r="I106">
        <v>48</v>
      </c>
      <c r="J106">
        <v>2791</v>
      </c>
      <c r="K106">
        <v>245</v>
      </c>
      <c r="L106" t="s">
        <v>3230</v>
      </c>
      <c r="M106" t="s">
        <v>3228</v>
      </c>
      <c r="N106" t="s">
        <v>1630</v>
      </c>
      <c r="O106" s="4">
        <v>45677.4192592593</v>
      </c>
      <c r="P106" t="s">
        <v>57</v>
      </c>
      <c r="Q106" t="s">
        <v>1703</v>
      </c>
      <c r="R106" t="s">
        <v>3236</v>
      </c>
      <c r="T106" t="s">
        <v>57</v>
      </c>
    </row>
    <row r="107" ht="25.5" customHeight="1" spans="1:20">
      <c r="A107" t="s">
        <v>2350</v>
      </c>
      <c r="B107" t="s">
        <v>56</v>
      </c>
      <c r="C107" t="s">
        <v>3226</v>
      </c>
      <c r="D107" s="3"/>
      <c r="E107" s="2">
        <v>45678</v>
      </c>
      <c r="F107">
        <v>84000</v>
      </c>
      <c r="G107">
        <v>48500</v>
      </c>
      <c r="H107">
        <v>3869</v>
      </c>
      <c r="I107">
        <v>48</v>
      </c>
      <c r="J107">
        <v>2833</v>
      </c>
      <c r="K107">
        <v>249</v>
      </c>
      <c r="L107" t="s">
        <v>3230</v>
      </c>
      <c r="M107" t="s">
        <v>3228</v>
      </c>
      <c r="N107" t="s">
        <v>1630</v>
      </c>
      <c r="O107" s="4">
        <v>45678.6061805556</v>
      </c>
      <c r="P107" t="s">
        <v>57</v>
      </c>
      <c r="Q107" t="s">
        <v>1703</v>
      </c>
      <c r="R107" t="s">
        <v>3237</v>
      </c>
      <c r="T107" t="s">
        <v>57</v>
      </c>
    </row>
    <row r="108" ht="25.5" customHeight="1" spans="1:20">
      <c r="A108" t="s">
        <v>2350</v>
      </c>
      <c r="B108" t="s">
        <v>56</v>
      </c>
      <c r="C108" t="s">
        <v>3226</v>
      </c>
      <c r="D108" s="3"/>
      <c r="E108" s="2">
        <v>45679</v>
      </c>
      <c r="F108">
        <v>84800</v>
      </c>
      <c r="G108">
        <v>50100</v>
      </c>
      <c r="H108">
        <v>4009</v>
      </c>
      <c r="I108">
        <v>48</v>
      </c>
      <c r="J108">
        <v>2940</v>
      </c>
      <c r="K108">
        <v>267</v>
      </c>
      <c r="L108" t="s">
        <v>3230</v>
      </c>
      <c r="M108" t="s">
        <v>3228</v>
      </c>
      <c r="N108" t="s">
        <v>1630</v>
      </c>
      <c r="O108" s="4">
        <v>45679.684537037</v>
      </c>
      <c r="P108" t="s">
        <v>57</v>
      </c>
      <c r="Q108" t="s">
        <v>1703</v>
      </c>
      <c r="R108" t="s">
        <v>3238</v>
      </c>
      <c r="T108" t="s">
        <v>57</v>
      </c>
    </row>
    <row r="109" ht="25.5" customHeight="1" spans="1:20">
      <c r="A109" t="s">
        <v>2350</v>
      </c>
      <c r="B109" t="s">
        <v>56</v>
      </c>
      <c r="C109" t="s">
        <v>3226</v>
      </c>
      <c r="D109" s="3"/>
      <c r="E109" s="2">
        <v>45680</v>
      </c>
      <c r="F109">
        <v>85600</v>
      </c>
      <c r="G109">
        <v>51500</v>
      </c>
      <c r="H109">
        <v>4103</v>
      </c>
      <c r="I109">
        <v>48</v>
      </c>
      <c r="J109">
        <v>3022</v>
      </c>
      <c r="K109">
        <v>271</v>
      </c>
      <c r="L109" t="s">
        <v>3230</v>
      </c>
      <c r="M109" t="s">
        <v>3228</v>
      </c>
      <c r="N109" t="s">
        <v>1630</v>
      </c>
      <c r="O109" s="4">
        <v>45680.636412037</v>
      </c>
      <c r="P109" t="s">
        <v>57</v>
      </c>
      <c r="Q109" t="s">
        <v>1703</v>
      </c>
      <c r="R109" t="s">
        <v>3239</v>
      </c>
      <c r="T109" t="s">
        <v>57</v>
      </c>
    </row>
    <row r="110" ht="25.5" customHeight="1" spans="1:20">
      <c r="A110" t="s">
        <v>2350</v>
      </c>
      <c r="B110" t="s">
        <v>56</v>
      </c>
      <c r="C110" t="s">
        <v>3226</v>
      </c>
      <c r="D110" s="3"/>
      <c r="E110" s="2">
        <v>45681</v>
      </c>
      <c r="F110">
        <v>86300</v>
      </c>
      <c r="G110">
        <v>53000</v>
      </c>
      <c r="H110">
        <v>4209</v>
      </c>
      <c r="I110">
        <v>51</v>
      </c>
      <c r="J110">
        <v>3100</v>
      </c>
      <c r="K110">
        <v>275</v>
      </c>
      <c r="L110" t="s">
        <v>3230</v>
      </c>
      <c r="M110" t="s">
        <v>3228</v>
      </c>
      <c r="N110" t="s">
        <v>1630</v>
      </c>
      <c r="O110" s="4">
        <v>45681.5382407407</v>
      </c>
      <c r="P110" t="s">
        <v>57</v>
      </c>
      <c r="Q110" t="s">
        <v>1703</v>
      </c>
      <c r="R110" t="s">
        <v>3240</v>
      </c>
      <c r="T110" t="s">
        <v>57</v>
      </c>
    </row>
    <row r="111" ht="25.5" customHeight="1" spans="1:20">
      <c r="A111" t="s">
        <v>2350</v>
      </c>
      <c r="B111" t="s">
        <v>56</v>
      </c>
      <c r="C111" t="s">
        <v>3226</v>
      </c>
      <c r="D111" s="3"/>
      <c r="E111" s="2">
        <v>45683</v>
      </c>
      <c r="F111">
        <v>87400</v>
      </c>
      <c r="G111">
        <v>56100</v>
      </c>
      <c r="H111">
        <v>4444</v>
      </c>
      <c r="I111">
        <v>53</v>
      </c>
      <c r="J111">
        <v>3272</v>
      </c>
      <c r="K111">
        <v>295</v>
      </c>
      <c r="L111" t="s">
        <v>3230</v>
      </c>
      <c r="M111" t="s">
        <v>3228</v>
      </c>
      <c r="N111" t="s">
        <v>1630</v>
      </c>
      <c r="O111" s="4">
        <v>45683.7516319444</v>
      </c>
      <c r="P111" t="s">
        <v>57</v>
      </c>
      <c r="Q111" t="s">
        <v>1703</v>
      </c>
      <c r="R111" t="s">
        <v>3241</v>
      </c>
      <c r="T111" t="s">
        <v>57</v>
      </c>
    </row>
    <row r="112" ht="25.5" customHeight="1" spans="1:20">
      <c r="A112" t="s">
        <v>2350</v>
      </c>
      <c r="B112" t="s">
        <v>56</v>
      </c>
      <c r="C112" t="s">
        <v>3226</v>
      </c>
      <c r="D112" s="3"/>
      <c r="E112" s="2">
        <v>45684</v>
      </c>
      <c r="F112">
        <v>87800</v>
      </c>
      <c r="G112">
        <v>58100</v>
      </c>
      <c r="H112">
        <v>4629</v>
      </c>
      <c r="I112">
        <v>54</v>
      </c>
      <c r="J112">
        <v>3397</v>
      </c>
      <c r="K112">
        <v>306</v>
      </c>
      <c r="L112" t="s">
        <v>3230</v>
      </c>
      <c r="M112" t="s">
        <v>3228</v>
      </c>
      <c r="N112" t="s">
        <v>1630</v>
      </c>
      <c r="O112" s="4">
        <v>45684.8062384259</v>
      </c>
      <c r="P112" t="s">
        <v>57</v>
      </c>
      <c r="Q112" t="s">
        <v>1703</v>
      </c>
      <c r="R112" t="s">
        <v>3242</v>
      </c>
      <c r="T112" t="s">
        <v>57</v>
      </c>
    </row>
    <row r="113" ht="25.5" customHeight="1" spans="1:20">
      <c r="A113" t="s">
        <v>2350</v>
      </c>
      <c r="B113" t="s">
        <v>56</v>
      </c>
      <c r="C113" t="s">
        <v>3226</v>
      </c>
      <c r="D113" s="3"/>
      <c r="E113" s="2">
        <v>45693</v>
      </c>
      <c r="F113">
        <v>90000</v>
      </c>
      <c r="G113">
        <v>69300</v>
      </c>
      <c r="H113">
        <v>5589</v>
      </c>
      <c r="I113">
        <v>57</v>
      </c>
      <c r="J113">
        <v>4036</v>
      </c>
      <c r="K113">
        <v>375</v>
      </c>
      <c r="L113" t="s">
        <v>3230</v>
      </c>
      <c r="M113" t="s">
        <v>3228</v>
      </c>
      <c r="N113" t="s">
        <v>1630</v>
      </c>
      <c r="O113" s="4">
        <v>45693.7954513889</v>
      </c>
      <c r="P113" t="s">
        <v>57</v>
      </c>
      <c r="Q113" t="s">
        <v>1703</v>
      </c>
      <c r="R113" t="s">
        <v>3243</v>
      </c>
      <c r="T113" t="s">
        <v>57</v>
      </c>
    </row>
    <row r="114" ht="25.5" customHeight="1" spans="1:20">
      <c r="A114" t="s">
        <v>2350</v>
      </c>
      <c r="B114" t="s">
        <v>56</v>
      </c>
      <c r="C114" t="s">
        <v>3226</v>
      </c>
      <c r="D114" s="3"/>
      <c r="E114" s="2">
        <v>45694</v>
      </c>
      <c r="F114">
        <v>90200</v>
      </c>
      <c r="G114">
        <v>69600</v>
      </c>
      <c r="H114">
        <v>5618</v>
      </c>
      <c r="I114">
        <v>57</v>
      </c>
      <c r="J114">
        <v>4056</v>
      </c>
      <c r="K114">
        <v>376</v>
      </c>
      <c r="L114" t="s">
        <v>3230</v>
      </c>
      <c r="M114" t="s">
        <v>3228</v>
      </c>
      <c r="N114" t="s">
        <v>1630</v>
      </c>
      <c r="O114" s="4">
        <v>45698.6216782407</v>
      </c>
      <c r="P114" t="s">
        <v>57</v>
      </c>
      <c r="Q114" t="s">
        <v>1703</v>
      </c>
      <c r="R114" t="s">
        <v>3244</v>
      </c>
      <c r="S114" t="s">
        <v>3245</v>
      </c>
      <c r="T114" t="s">
        <v>57</v>
      </c>
    </row>
    <row r="115" ht="25.5" customHeight="1" spans="1:20">
      <c r="A115" t="s">
        <v>2350</v>
      </c>
      <c r="B115" t="s">
        <v>56</v>
      </c>
      <c r="C115" t="s">
        <v>3226</v>
      </c>
      <c r="D115" s="3"/>
      <c r="E115" s="2">
        <v>45695</v>
      </c>
      <c r="F115">
        <v>90500</v>
      </c>
      <c r="G115">
        <v>70100</v>
      </c>
      <c r="H115">
        <v>5657</v>
      </c>
      <c r="I115">
        <v>57</v>
      </c>
      <c r="J115">
        <v>4072</v>
      </c>
      <c r="K115">
        <v>379</v>
      </c>
      <c r="L115" t="s">
        <v>3230</v>
      </c>
      <c r="M115" t="s">
        <v>3228</v>
      </c>
      <c r="N115" t="s">
        <v>1630</v>
      </c>
      <c r="O115" s="4">
        <v>45695.6907175926</v>
      </c>
      <c r="P115" t="s">
        <v>57</v>
      </c>
      <c r="Q115" t="s">
        <v>1703</v>
      </c>
      <c r="R115" t="s">
        <v>3246</v>
      </c>
      <c r="T115" t="s">
        <v>57</v>
      </c>
    </row>
    <row r="116" ht="25.5" customHeight="1" spans="1:20">
      <c r="A116" t="s">
        <v>2713</v>
      </c>
      <c r="B116" t="s">
        <v>56</v>
      </c>
      <c r="C116" t="s">
        <v>3247</v>
      </c>
      <c r="D116" s="3"/>
      <c r="E116" s="2">
        <v>45677</v>
      </c>
      <c r="F116">
        <v>38200</v>
      </c>
      <c r="G116">
        <v>1144</v>
      </c>
      <c r="H116">
        <v>75</v>
      </c>
      <c r="I116">
        <v>1</v>
      </c>
      <c r="J116">
        <v>34</v>
      </c>
      <c r="K116">
        <v>5</v>
      </c>
      <c r="L116" t="s">
        <v>3248</v>
      </c>
      <c r="M116" t="s">
        <v>3249</v>
      </c>
      <c r="N116" t="s">
        <v>1630</v>
      </c>
      <c r="O116" s="4">
        <v>45677.4195486111</v>
      </c>
      <c r="P116" t="s">
        <v>57</v>
      </c>
      <c r="Q116" t="s">
        <v>1652</v>
      </c>
      <c r="R116" t="s">
        <v>3250</v>
      </c>
      <c r="T116" t="s">
        <v>57</v>
      </c>
    </row>
    <row r="117" ht="25.5" customHeight="1" spans="1:20">
      <c r="A117" t="s">
        <v>2713</v>
      </c>
      <c r="B117" t="s">
        <v>56</v>
      </c>
      <c r="C117" t="s">
        <v>3247</v>
      </c>
      <c r="D117" s="3"/>
      <c r="E117" s="2">
        <v>45678</v>
      </c>
      <c r="F117">
        <v>38200</v>
      </c>
      <c r="G117">
        <v>1184</v>
      </c>
      <c r="H117">
        <v>78</v>
      </c>
      <c r="I117">
        <v>1</v>
      </c>
      <c r="J117">
        <v>37</v>
      </c>
      <c r="K117">
        <v>5</v>
      </c>
      <c r="L117" t="s">
        <v>3248</v>
      </c>
      <c r="M117" t="s">
        <v>3249</v>
      </c>
      <c r="N117" t="s">
        <v>1630</v>
      </c>
      <c r="O117" s="4">
        <v>45678.6064814815</v>
      </c>
      <c r="P117" t="s">
        <v>57</v>
      </c>
      <c r="Q117" t="s">
        <v>1652</v>
      </c>
      <c r="R117" t="s">
        <v>3251</v>
      </c>
      <c r="T117" t="s">
        <v>57</v>
      </c>
    </row>
    <row r="118" ht="25.5" customHeight="1" spans="1:20">
      <c r="A118" t="s">
        <v>2713</v>
      </c>
      <c r="B118" t="s">
        <v>56</v>
      </c>
      <c r="C118" t="s">
        <v>3247</v>
      </c>
      <c r="D118" s="3"/>
      <c r="E118" s="2">
        <v>45679</v>
      </c>
      <c r="F118">
        <v>38200</v>
      </c>
      <c r="G118">
        <v>1225</v>
      </c>
      <c r="H118">
        <v>80</v>
      </c>
      <c r="I118">
        <v>1</v>
      </c>
      <c r="J118">
        <v>38</v>
      </c>
      <c r="K118">
        <v>6</v>
      </c>
      <c r="L118" t="s">
        <v>3248</v>
      </c>
      <c r="M118" t="s">
        <v>3249</v>
      </c>
      <c r="N118" t="s">
        <v>1630</v>
      </c>
      <c r="O118" s="4">
        <v>45679.6847106482</v>
      </c>
      <c r="P118" t="s">
        <v>57</v>
      </c>
      <c r="Q118" t="s">
        <v>1652</v>
      </c>
      <c r="R118" t="s">
        <v>3252</v>
      </c>
      <c r="T118" t="s">
        <v>57</v>
      </c>
    </row>
    <row r="119" ht="25.5" customHeight="1" spans="1:20">
      <c r="A119" t="s">
        <v>2713</v>
      </c>
      <c r="B119" t="s">
        <v>56</v>
      </c>
      <c r="C119" t="s">
        <v>3247</v>
      </c>
      <c r="D119" s="3"/>
      <c r="E119" s="2">
        <v>45680</v>
      </c>
      <c r="F119">
        <v>38200</v>
      </c>
      <c r="G119">
        <v>1245</v>
      </c>
      <c r="H119">
        <v>81</v>
      </c>
      <c r="I119">
        <v>1</v>
      </c>
      <c r="J119">
        <v>38</v>
      </c>
      <c r="K119">
        <v>6</v>
      </c>
      <c r="L119" t="s">
        <v>3248</v>
      </c>
      <c r="M119" t="s">
        <v>3249</v>
      </c>
      <c r="N119" t="s">
        <v>1630</v>
      </c>
      <c r="O119" s="4">
        <v>45680.6365972222</v>
      </c>
      <c r="P119" t="s">
        <v>57</v>
      </c>
      <c r="Q119" t="s">
        <v>1652</v>
      </c>
      <c r="R119" t="s">
        <v>3253</v>
      </c>
      <c r="T119" t="s">
        <v>57</v>
      </c>
    </row>
    <row r="120" ht="25.5" customHeight="1" spans="1:20">
      <c r="A120" t="s">
        <v>2713</v>
      </c>
      <c r="B120" t="s">
        <v>56</v>
      </c>
      <c r="C120" t="s">
        <v>3247</v>
      </c>
      <c r="D120" s="3"/>
      <c r="E120" s="2">
        <v>45681</v>
      </c>
      <c r="F120">
        <v>38200</v>
      </c>
      <c r="G120">
        <v>1275</v>
      </c>
      <c r="H120">
        <v>82</v>
      </c>
      <c r="I120">
        <v>1</v>
      </c>
      <c r="J120">
        <v>38</v>
      </c>
      <c r="K120">
        <v>6</v>
      </c>
      <c r="L120" t="s">
        <v>3248</v>
      </c>
      <c r="M120" t="s">
        <v>3249</v>
      </c>
      <c r="N120" t="s">
        <v>1630</v>
      </c>
      <c r="O120" s="4">
        <v>45681.5386574074</v>
      </c>
      <c r="P120" t="s">
        <v>57</v>
      </c>
      <c r="Q120" t="s">
        <v>1652</v>
      </c>
      <c r="R120" t="s">
        <v>3254</v>
      </c>
      <c r="T120" t="s">
        <v>57</v>
      </c>
    </row>
    <row r="121" ht="25.5" customHeight="1" spans="1:20">
      <c r="A121" t="s">
        <v>2713</v>
      </c>
      <c r="B121" t="s">
        <v>56</v>
      </c>
      <c r="C121" t="s">
        <v>3247</v>
      </c>
      <c r="D121" s="3"/>
      <c r="E121" s="2">
        <v>45683</v>
      </c>
      <c r="F121">
        <v>38200</v>
      </c>
      <c r="G121">
        <v>1422</v>
      </c>
      <c r="H121">
        <v>88</v>
      </c>
      <c r="I121">
        <v>1</v>
      </c>
      <c r="J121">
        <v>41</v>
      </c>
      <c r="K121">
        <v>6</v>
      </c>
      <c r="L121" t="s">
        <v>3248</v>
      </c>
      <c r="M121" t="s">
        <v>3249</v>
      </c>
      <c r="N121" t="s">
        <v>1630</v>
      </c>
      <c r="O121" s="4">
        <v>45683.7518981481</v>
      </c>
      <c r="P121" t="s">
        <v>57</v>
      </c>
      <c r="Q121" t="s">
        <v>1652</v>
      </c>
      <c r="R121" t="s">
        <v>3255</v>
      </c>
      <c r="T121" t="s">
        <v>57</v>
      </c>
    </row>
    <row r="122" ht="25.5" customHeight="1" spans="1:20">
      <c r="A122" t="s">
        <v>2713</v>
      </c>
      <c r="B122" t="s">
        <v>56</v>
      </c>
      <c r="C122" t="s">
        <v>3247</v>
      </c>
      <c r="D122" s="3"/>
      <c r="E122" s="2">
        <v>45684</v>
      </c>
      <c r="F122">
        <v>38300</v>
      </c>
      <c r="G122">
        <v>1511</v>
      </c>
      <c r="H122">
        <v>93</v>
      </c>
      <c r="I122">
        <v>1</v>
      </c>
      <c r="J122">
        <v>41</v>
      </c>
      <c r="K122">
        <v>6</v>
      </c>
      <c r="L122" t="s">
        <v>3248</v>
      </c>
      <c r="M122" t="s">
        <v>3249</v>
      </c>
      <c r="N122" t="s">
        <v>1630</v>
      </c>
      <c r="O122" s="4">
        <v>45684.8068287037</v>
      </c>
      <c r="P122" t="s">
        <v>57</v>
      </c>
      <c r="Q122" t="s">
        <v>1652</v>
      </c>
      <c r="R122" t="s">
        <v>3256</v>
      </c>
      <c r="T122" t="s">
        <v>57</v>
      </c>
    </row>
    <row r="123" ht="25.5" customHeight="1" spans="1:20">
      <c r="A123" t="s">
        <v>2713</v>
      </c>
      <c r="B123" t="s">
        <v>56</v>
      </c>
      <c r="C123" t="s">
        <v>3247</v>
      </c>
      <c r="D123" s="3"/>
      <c r="E123" s="2">
        <v>45693</v>
      </c>
      <c r="F123">
        <v>40000</v>
      </c>
      <c r="G123">
        <v>1854</v>
      </c>
      <c r="H123">
        <v>111</v>
      </c>
      <c r="I123">
        <v>2</v>
      </c>
      <c r="J123">
        <v>57</v>
      </c>
      <c r="K123">
        <v>8</v>
      </c>
      <c r="L123" t="s">
        <v>3248</v>
      </c>
      <c r="M123" t="s">
        <v>3249</v>
      </c>
      <c r="N123" t="s">
        <v>1630</v>
      </c>
      <c r="O123" s="4">
        <v>45693.7956828704</v>
      </c>
      <c r="P123" t="s">
        <v>57</v>
      </c>
      <c r="Q123" t="s">
        <v>1652</v>
      </c>
      <c r="R123" t="s">
        <v>3257</v>
      </c>
      <c r="T123" t="s">
        <v>57</v>
      </c>
    </row>
    <row r="124" ht="25.5" customHeight="1" spans="1:20">
      <c r="A124" t="s">
        <v>2713</v>
      </c>
      <c r="B124" t="s">
        <v>56</v>
      </c>
      <c r="C124" t="s">
        <v>3247</v>
      </c>
      <c r="D124" s="3"/>
      <c r="E124" s="2">
        <v>45694</v>
      </c>
      <c r="F124">
        <v>40000</v>
      </c>
      <c r="G124">
        <v>1865</v>
      </c>
      <c r="H124">
        <v>111</v>
      </c>
      <c r="I124">
        <v>2</v>
      </c>
      <c r="J124">
        <v>57</v>
      </c>
      <c r="K124">
        <v>8</v>
      </c>
      <c r="L124" t="s">
        <v>3258</v>
      </c>
      <c r="M124" t="s">
        <v>3249</v>
      </c>
      <c r="N124" t="s">
        <v>1630</v>
      </c>
      <c r="O124" s="4">
        <v>45698.6216782407</v>
      </c>
      <c r="P124" t="s">
        <v>57</v>
      </c>
      <c r="Q124" t="s">
        <v>1652</v>
      </c>
      <c r="R124" t="s">
        <v>3257</v>
      </c>
      <c r="S124" t="s">
        <v>3180</v>
      </c>
      <c r="T124" t="s">
        <v>57</v>
      </c>
    </row>
    <row r="125" ht="25.5" customHeight="1" spans="1:20">
      <c r="A125" t="s">
        <v>2713</v>
      </c>
      <c r="B125" t="s">
        <v>56</v>
      </c>
      <c r="C125" t="s">
        <v>3247</v>
      </c>
      <c r="D125" s="3"/>
      <c r="E125" s="2">
        <v>45695</v>
      </c>
      <c r="F125">
        <v>40000</v>
      </c>
      <c r="G125">
        <v>1865</v>
      </c>
      <c r="H125">
        <v>111</v>
      </c>
      <c r="I125">
        <v>2</v>
      </c>
      <c r="J125">
        <v>57</v>
      </c>
      <c r="K125">
        <v>8</v>
      </c>
      <c r="L125" t="s">
        <v>3258</v>
      </c>
      <c r="M125" t="s">
        <v>3249</v>
      </c>
      <c r="N125" t="s">
        <v>1630</v>
      </c>
      <c r="O125" s="4">
        <v>45696.4266435185</v>
      </c>
      <c r="P125" t="s">
        <v>57</v>
      </c>
      <c r="Q125" t="s">
        <v>1652</v>
      </c>
      <c r="R125" t="s">
        <v>3257</v>
      </c>
      <c r="T125" t="s">
        <v>57</v>
      </c>
    </row>
    <row r="126" ht="25.5" customHeight="1" spans="1:20">
      <c r="A126" t="s">
        <v>2713</v>
      </c>
      <c r="B126" t="s">
        <v>56</v>
      </c>
      <c r="C126" t="s">
        <v>3247</v>
      </c>
      <c r="D126" s="3"/>
      <c r="E126" s="2">
        <v>45696</v>
      </c>
      <c r="F126">
        <v>40000</v>
      </c>
      <c r="G126">
        <v>1865</v>
      </c>
      <c r="H126">
        <v>115</v>
      </c>
      <c r="I126">
        <v>2</v>
      </c>
      <c r="J126">
        <v>58</v>
      </c>
      <c r="K126">
        <v>8</v>
      </c>
      <c r="L126" t="s">
        <v>3248</v>
      </c>
      <c r="M126" t="s">
        <v>3249</v>
      </c>
      <c r="N126" t="s">
        <v>1630</v>
      </c>
      <c r="O126" s="4">
        <v>45696.426712963</v>
      </c>
      <c r="P126" t="s">
        <v>57</v>
      </c>
      <c r="Q126" t="s">
        <v>1652</v>
      </c>
      <c r="R126" t="s">
        <v>3216</v>
      </c>
      <c r="T126" t="s">
        <v>57</v>
      </c>
    </row>
    <row r="127" ht="25.5" customHeight="1" spans="1:20">
      <c r="A127" t="s">
        <v>2653</v>
      </c>
      <c r="B127" t="s">
        <v>56</v>
      </c>
      <c r="C127" t="s">
        <v>3259</v>
      </c>
      <c r="D127" s="3" t="str">
        <f>HYPERLINK("https://www.tiktok.com/@alextecnologia_","https://www.tiktok.com/@alextecnologia_")</f>
        <v>https://www.tiktok.com/@alextecnologia_</v>
      </c>
      <c r="E127" s="2">
        <v>45665</v>
      </c>
      <c r="F127">
        <v>95200</v>
      </c>
      <c r="G127">
        <v>14000</v>
      </c>
      <c r="H127">
        <v>1205</v>
      </c>
      <c r="I127">
        <v>7</v>
      </c>
      <c r="J127">
        <v>144</v>
      </c>
      <c r="K127">
        <v>168</v>
      </c>
      <c r="L127" t="s">
        <v>3260</v>
      </c>
      <c r="M127" t="s">
        <v>3261</v>
      </c>
      <c r="N127" t="s">
        <v>1630</v>
      </c>
      <c r="O127" s="4">
        <v>45670.7953472222</v>
      </c>
      <c r="P127" t="s">
        <v>57</v>
      </c>
      <c r="Q127" t="s">
        <v>1753</v>
      </c>
      <c r="R127" t="s">
        <v>3262</v>
      </c>
      <c r="T127" t="s">
        <v>57</v>
      </c>
    </row>
    <row r="128" ht="25.5" customHeight="1" spans="1:20">
      <c r="A128" t="s">
        <v>2653</v>
      </c>
      <c r="B128" t="s">
        <v>56</v>
      </c>
      <c r="C128" t="s">
        <v>3259</v>
      </c>
      <c r="D128" s="3"/>
      <c r="E128" s="2">
        <v>45671</v>
      </c>
      <c r="F128">
        <v>95200</v>
      </c>
      <c r="G128">
        <v>14000</v>
      </c>
      <c r="H128">
        <v>1205</v>
      </c>
      <c r="I128">
        <v>7</v>
      </c>
      <c r="J128">
        <v>144</v>
      </c>
      <c r="K128">
        <v>168</v>
      </c>
      <c r="L128" t="s">
        <v>3260</v>
      </c>
      <c r="M128" t="s">
        <v>3261</v>
      </c>
      <c r="N128" t="s">
        <v>1630</v>
      </c>
      <c r="O128" s="4">
        <v>45672.5030092593</v>
      </c>
      <c r="P128" t="s">
        <v>57</v>
      </c>
      <c r="Q128" t="s">
        <v>1753</v>
      </c>
      <c r="R128" t="s">
        <v>3262</v>
      </c>
      <c r="T128" t="s">
        <v>57</v>
      </c>
    </row>
    <row r="129" ht="25.5" customHeight="1" spans="1:20">
      <c r="A129" t="s">
        <v>2653</v>
      </c>
      <c r="B129" t="s">
        <v>56</v>
      </c>
      <c r="C129" t="s">
        <v>3259</v>
      </c>
      <c r="D129" s="3"/>
      <c r="E129" s="2">
        <v>45672</v>
      </c>
      <c r="F129">
        <v>95200</v>
      </c>
      <c r="G129">
        <v>14100</v>
      </c>
      <c r="H129">
        <v>1206</v>
      </c>
      <c r="I129">
        <v>7</v>
      </c>
      <c r="J129">
        <v>144</v>
      </c>
      <c r="K129">
        <v>168</v>
      </c>
      <c r="L129" t="s">
        <v>3260</v>
      </c>
      <c r="M129" t="s">
        <v>3261</v>
      </c>
      <c r="N129" t="s">
        <v>1630</v>
      </c>
      <c r="O129" s="4">
        <v>45672.5253472222</v>
      </c>
      <c r="P129" t="s">
        <v>57</v>
      </c>
      <c r="Q129" t="s">
        <v>1753</v>
      </c>
      <c r="R129" t="s">
        <v>3263</v>
      </c>
      <c r="T129" t="s">
        <v>57</v>
      </c>
    </row>
    <row r="130" ht="25.5" customHeight="1" spans="1:20">
      <c r="A130" t="s">
        <v>2653</v>
      </c>
      <c r="B130" t="s">
        <v>56</v>
      </c>
      <c r="C130" t="s">
        <v>3259</v>
      </c>
      <c r="D130" s="3"/>
      <c r="E130" s="2">
        <v>45673</v>
      </c>
      <c r="F130">
        <v>95500</v>
      </c>
      <c r="G130">
        <v>14100</v>
      </c>
      <c r="H130">
        <v>1206</v>
      </c>
      <c r="I130">
        <v>6</v>
      </c>
      <c r="J130">
        <v>144</v>
      </c>
      <c r="K130">
        <v>168</v>
      </c>
      <c r="L130" t="s">
        <v>3260</v>
      </c>
      <c r="M130" t="s">
        <v>3261</v>
      </c>
      <c r="N130" t="s">
        <v>1630</v>
      </c>
      <c r="O130" s="4">
        <v>45673.5086574074</v>
      </c>
      <c r="P130" t="s">
        <v>57</v>
      </c>
      <c r="Q130" t="s">
        <v>1753</v>
      </c>
      <c r="R130" t="s">
        <v>3262</v>
      </c>
      <c r="T130" t="s">
        <v>57</v>
      </c>
    </row>
    <row r="131" ht="25.5" customHeight="1" spans="1:20">
      <c r="A131" t="s">
        <v>2653</v>
      </c>
      <c r="B131" t="s">
        <v>56</v>
      </c>
      <c r="C131" t="s">
        <v>3259</v>
      </c>
      <c r="D131" s="3"/>
      <c r="E131" s="2">
        <v>45674</v>
      </c>
      <c r="F131">
        <v>95600</v>
      </c>
      <c r="G131">
        <v>14100</v>
      </c>
      <c r="H131">
        <v>1206</v>
      </c>
      <c r="I131">
        <v>7</v>
      </c>
      <c r="J131">
        <v>144</v>
      </c>
      <c r="K131">
        <v>168</v>
      </c>
      <c r="L131" t="s">
        <v>3260</v>
      </c>
      <c r="M131" t="s">
        <v>3261</v>
      </c>
      <c r="N131" t="s">
        <v>1630</v>
      </c>
      <c r="O131" s="4">
        <v>45674.6597800926</v>
      </c>
      <c r="P131" t="s">
        <v>57</v>
      </c>
      <c r="Q131" t="s">
        <v>1753</v>
      </c>
      <c r="R131" t="s">
        <v>3263</v>
      </c>
      <c r="T131" t="s">
        <v>57</v>
      </c>
    </row>
    <row r="132" ht="25.5" customHeight="1" spans="1:20">
      <c r="A132" t="s">
        <v>2653</v>
      </c>
      <c r="B132" t="s">
        <v>56</v>
      </c>
      <c r="C132" t="s">
        <v>3259</v>
      </c>
      <c r="D132" s="3"/>
      <c r="E132" s="2">
        <v>45677</v>
      </c>
      <c r="F132">
        <v>95700</v>
      </c>
      <c r="G132">
        <v>14100</v>
      </c>
      <c r="H132">
        <v>1208</v>
      </c>
      <c r="I132">
        <v>7</v>
      </c>
      <c r="J132">
        <v>143</v>
      </c>
      <c r="K132">
        <v>168</v>
      </c>
      <c r="L132" t="s">
        <v>3260</v>
      </c>
      <c r="M132" t="s">
        <v>3261</v>
      </c>
      <c r="N132" t="s">
        <v>1630</v>
      </c>
      <c r="O132" s="4">
        <v>45677.4198148148</v>
      </c>
      <c r="P132" t="s">
        <v>57</v>
      </c>
      <c r="Q132" t="s">
        <v>1753</v>
      </c>
      <c r="R132" t="s">
        <v>3264</v>
      </c>
      <c r="T132" t="s">
        <v>57</v>
      </c>
    </row>
    <row r="133" ht="25.5" customHeight="1" spans="1:20">
      <c r="A133" t="s">
        <v>2653</v>
      </c>
      <c r="B133" t="s">
        <v>56</v>
      </c>
      <c r="C133" t="s">
        <v>3259</v>
      </c>
      <c r="D133" s="3"/>
      <c r="E133" s="2">
        <v>45678</v>
      </c>
      <c r="F133">
        <v>95700</v>
      </c>
      <c r="G133">
        <v>14200</v>
      </c>
      <c r="H133">
        <v>1209</v>
      </c>
      <c r="I133">
        <v>7</v>
      </c>
      <c r="J133">
        <v>143</v>
      </c>
      <c r="K133">
        <v>168</v>
      </c>
      <c r="L133" t="s">
        <v>3260</v>
      </c>
      <c r="M133" t="s">
        <v>3261</v>
      </c>
      <c r="N133" t="s">
        <v>1630</v>
      </c>
      <c r="O133" s="4">
        <v>45678.6068865741</v>
      </c>
      <c r="P133" t="s">
        <v>57</v>
      </c>
      <c r="Q133" t="s">
        <v>1753</v>
      </c>
      <c r="R133" t="s">
        <v>3265</v>
      </c>
      <c r="T133" t="s">
        <v>57</v>
      </c>
    </row>
    <row r="134" ht="25.5" customHeight="1" spans="1:20">
      <c r="A134" t="s">
        <v>2653</v>
      </c>
      <c r="B134" t="s">
        <v>56</v>
      </c>
      <c r="C134" t="s">
        <v>3259</v>
      </c>
      <c r="D134" s="3"/>
      <c r="E134" s="2">
        <v>45679</v>
      </c>
      <c r="F134">
        <v>95800</v>
      </c>
      <c r="G134">
        <v>14200</v>
      </c>
      <c r="H134">
        <v>1209</v>
      </c>
      <c r="I134">
        <v>7</v>
      </c>
      <c r="J134">
        <v>143</v>
      </c>
      <c r="K134">
        <v>168</v>
      </c>
      <c r="L134" t="s">
        <v>3260</v>
      </c>
      <c r="M134" t="s">
        <v>3261</v>
      </c>
      <c r="N134" t="s">
        <v>1630</v>
      </c>
      <c r="O134" s="4">
        <v>45679.6848958333</v>
      </c>
      <c r="P134" t="s">
        <v>57</v>
      </c>
      <c r="Q134" t="s">
        <v>1753</v>
      </c>
      <c r="R134" t="s">
        <v>3265</v>
      </c>
      <c r="T134" t="s">
        <v>57</v>
      </c>
    </row>
    <row r="135" ht="25.5" customHeight="1" spans="1:20">
      <c r="A135" t="s">
        <v>2653</v>
      </c>
      <c r="B135" t="s">
        <v>56</v>
      </c>
      <c r="C135" t="s">
        <v>3259</v>
      </c>
      <c r="D135" s="3"/>
      <c r="E135" s="2">
        <v>45680</v>
      </c>
      <c r="F135">
        <v>95700</v>
      </c>
      <c r="G135">
        <v>14200</v>
      </c>
      <c r="H135">
        <v>1209</v>
      </c>
      <c r="I135">
        <v>7</v>
      </c>
      <c r="J135">
        <v>143</v>
      </c>
      <c r="K135">
        <v>168</v>
      </c>
      <c r="L135" t="s">
        <v>3260</v>
      </c>
      <c r="M135" t="s">
        <v>3261</v>
      </c>
      <c r="N135" t="s">
        <v>1630</v>
      </c>
      <c r="O135" s="4">
        <v>45680.6367476852</v>
      </c>
      <c r="P135" t="s">
        <v>57</v>
      </c>
      <c r="Q135" t="s">
        <v>1753</v>
      </c>
      <c r="R135" t="s">
        <v>3265</v>
      </c>
      <c r="T135" t="s">
        <v>57</v>
      </c>
    </row>
    <row r="136" ht="25.5" customHeight="1" spans="1:20">
      <c r="A136" t="s">
        <v>2653</v>
      </c>
      <c r="B136" t="s">
        <v>56</v>
      </c>
      <c r="C136" t="s">
        <v>3259</v>
      </c>
      <c r="D136" s="3"/>
      <c r="E136" s="2">
        <v>45681</v>
      </c>
      <c r="F136">
        <v>95700</v>
      </c>
      <c r="G136">
        <v>14200</v>
      </c>
      <c r="H136">
        <v>1209</v>
      </c>
      <c r="I136">
        <v>7</v>
      </c>
      <c r="J136">
        <v>143</v>
      </c>
      <c r="K136">
        <v>168</v>
      </c>
      <c r="L136" t="s">
        <v>3260</v>
      </c>
      <c r="M136" t="s">
        <v>3261</v>
      </c>
      <c r="N136" t="s">
        <v>1630</v>
      </c>
      <c r="O136" s="4">
        <v>45681.5394328704</v>
      </c>
      <c r="P136" t="s">
        <v>57</v>
      </c>
      <c r="Q136" t="s">
        <v>1753</v>
      </c>
      <c r="R136" t="s">
        <v>3265</v>
      </c>
      <c r="T136" t="s">
        <v>57</v>
      </c>
    </row>
    <row r="137" ht="25.5" customHeight="1" spans="1:20">
      <c r="A137" t="s">
        <v>2653</v>
      </c>
      <c r="B137" t="s">
        <v>56</v>
      </c>
      <c r="C137" t="s">
        <v>3259</v>
      </c>
      <c r="D137" s="3"/>
      <c r="E137" s="2">
        <v>45683</v>
      </c>
      <c r="F137">
        <v>95700</v>
      </c>
      <c r="G137">
        <v>14200</v>
      </c>
      <c r="H137">
        <v>1210</v>
      </c>
      <c r="I137">
        <v>7</v>
      </c>
      <c r="J137">
        <v>143</v>
      </c>
      <c r="K137">
        <v>168</v>
      </c>
      <c r="L137" t="s">
        <v>3260</v>
      </c>
      <c r="M137" t="s">
        <v>3261</v>
      </c>
      <c r="N137" t="s">
        <v>1630</v>
      </c>
      <c r="O137" s="4">
        <v>45683.7521875</v>
      </c>
      <c r="P137" t="s">
        <v>57</v>
      </c>
      <c r="Q137" t="s">
        <v>1753</v>
      </c>
      <c r="R137" t="s">
        <v>3266</v>
      </c>
      <c r="T137" t="s">
        <v>57</v>
      </c>
    </row>
    <row r="138" ht="25.5" customHeight="1" spans="1:20">
      <c r="A138" t="s">
        <v>2653</v>
      </c>
      <c r="B138" t="s">
        <v>56</v>
      </c>
      <c r="C138" t="s">
        <v>3259</v>
      </c>
      <c r="D138" s="3"/>
      <c r="E138" s="2">
        <v>45684</v>
      </c>
      <c r="F138">
        <v>96000</v>
      </c>
      <c r="G138">
        <v>14300</v>
      </c>
      <c r="H138">
        <v>1210</v>
      </c>
      <c r="I138">
        <v>7</v>
      </c>
      <c r="J138">
        <v>143</v>
      </c>
      <c r="K138">
        <v>168</v>
      </c>
      <c r="L138" t="s">
        <v>3260</v>
      </c>
      <c r="M138" t="s">
        <v>3261</v>
      </c>
      <c r="N138" t="s">
        <v>1630</v>
      </c>
      <c r="O138" s="4">
        <v>45684.8074074074</v>
      </c>
      <c r="P138" t="s">
        <v>57</v>
      </c>
      <c r="Q138" t="s">
        <v>1753</v>
      </c>
      <c r="R138" t="s">
        <v>3266</v>
      </c>
      <c r="T138" t="s">
        <v>57</v>
      </c>
    </row>
    <row r="139" ht="25.5" customHeight="1" spans="1:20">
      <c r="A139" t="s">
        <v>2653</v>
      </c>
      <c r="B139" t="s">
        <v>56</v>
      </c>
      <c r="C139" t="s">
        <v>3259</v>
      </c>
      <c r="D139" s="3"/>
      <c r="E139" s="2">
        <v>45693</v>
      </c>
      <c r="F139">
        <v>95900</v>
      </c>
      <c r="G139">
        <v>14400</v>
      </c>
      <c r="H139">
        <v>1212</v>
      </c>
      <c r="I139">
        <v>7</v>
      </c>
      <c r="J139">
        <v>144</v>
      </c>
      <c r="K139">
        <v>170</v>
      </c>
      <c r="L139" t="s">
        <v>3260</v>
      </c>
      <c r="M139" t="s">
        <v>3261</v>
      </c>
      <c r="N139" t="s">
        <v>1630</v>
      </c>
      <c r="O139" s="4">
        <v>45693.7959143519</v>
      </c>
      <c r="P139" t="s">
        <v>57</v>
      </c>
      <c r="Q139" t="s">
        <v>1753</v>
      </c>
      <c r="R139" t="s">
        <v>3267</v>
      </c>
      <c r="T139" t="s">
        <v>57</v>
      </c>
    </row>
    <row r="140" ht="25.5" customHeight="1" spans="1:20">
      <c r="A140" t="s">
        <v>2653</v>
      </c>
      <c r="B140" t="s">
        <v>56</v>
      </c>
      <c r="C140" t="s">
        <v>3259</v>
      </c>
      <c r="D140" s="3"/>
      <c r="E140" s="2">
        <v>45694</v>
      </c>
      <c r="F140">
        <v>95900</v>
      </c>
      <c r="G140">
        <v>14500</v>
      </c>
      <c r="H140">
        <v>1212</v>
      </c>
      <c r="I140">
        <v>7</v>
      </c>
      <c r="J140">
        <v>144</v>
      </c>
      <c r="K140">
        <v>170</v>
      </c>
      <c r="L140" t="s">
        <v>3260</v>
      </c>
      <c r="M140" t="s">
        <v>3261</v>
      </c>
      <c r="N140" t="s">
        <v>1630</v>
      </c>
      <c r="O140" s="4">
        <v>45698.6216782407</v>
      </c>
      <c r="P140" t="s">
        <v>57</v>
      </c>
      <c r="Q140" t="s">
        <v>1753</v>
      </c>
      <c r="R140" t="s">
        <v>3267</v>
      </c>
      <c r="S140" t="s">
        <v>3245</v>
      </c>
      <c r="T140" t="s">
        <v>57</v>
      </c>
    </row>
    <row r="141" ht="25.5" customHeight="1" spans="1:18">
      <c r="A141" t="s">
        <v>3268</v>
      </c>
      <c r="D141" s="3"/>
      <c r="E141" s="2"/>
      <c r="O141" s="4">
        <v>45670.743587963</v>
      </c>
      <c r="R141" t="s">
        <v>3133</v>
      </c>
    </row>
    <row r="142" ht="25.5" customHeight="1" spans="1:20">
      <c r="A142" t="s">
        <v>2931</v>
      </c>
      <c r="B142" t="s">
        <v>56</v>
      </c>
      <c r="C142" t="s">
        <v>3269</v>
      </c>
      <c r="D142" s="3"/>
      <c r="E142" s="2">
        <v>45677</v>
      </c>
      <c r="F142">
        <v>20900</v>
      </c>
      <c r="G142">
        <v>691</v>
      </c>
      <c r="H142">
        <v>38</v>
      </c>
      <c r="I142">
        <v>7</v>
      </c>
      <c r="J142">
        <v>1</v>
      </c>
      <c r="K142">
        <v>6</v>
      </c>
      <c r="L142" t="s">
        <v>3248</v>
      </c>
      <c r="M142" t="s">
        <v>3270</v>
      </c>
      <c r="N142" t="s">
        <v>1630</v>
      </c>
      <c r="O142" s="4">
        <v>45677.4200231481</v>
      </c>
      <c r="P142" t="s">
        <v>57</v>
      </c>
      <c r="Q142" t="s">
        <v>1652</v>
      </c>
      <c r="R142" t="s">
        <v>3179</v>
      </c>
      <c r="T142" t="s">
        <v>57</v>
      </c>
    </row>
    <row r="143" ht="25.5" customHeight="1" spans="1:20">
      <c r="A143" t="s">
        <v>2931</v>
      </c>
      <c r="B143" t="s">
        <v>56</v>
      </c>
      <c r="C143" t="s">
        <v>3269</v>
      </c>
      <c r="D143" s="3"/>
      <c r="E143" s="2">
        <v>45678</v>
      </c>
      <c r="F143">
        <v>20900</v>
      </c>
      <c r="G143">
        <v>715</v>
      </c>
      <c r="H143">
        <v>39</v>
      </c>
      <c r="I143">
        <v>7</v>
      </c>
      <c r="J143">
        <v>1</v>
      </c>
      <c r="K143">
        <v>6</v>
      </c>
      <c r="L143" t="s">
        <v>3248</v>
      </c>
      <c r="M143" t="s">
        <v>3270</v>
      </c>
      <c r="N143" t="s">
        <v>1630</v>
      </c>
      <c r="O143" s="4">
        <v>45678.6071875</v>
      </c>
      <c r="P143" t="s">
        <v>57</v>
      </c>
      <c r="Q143" t="s">
        <v>1652</v>
      </c>
      <c r="R143" t="s">
        <v>3271</v>
      </c>
      <c r="T143" t="s">
        <v>57</v>
      </c>
    </row>
    <row r="144" ht="25.5" customHeight="1" spans="1:20">
      <c r="A144" t="s">
        <v>2931</v>
      </c>
      <c r="B144" t="s">
        <v>56</v>
      </c>
      <c r="C144" t="s">
        <v>3269</v>
      </c>
      <c r="D144" s="3"/>
      <c r="E144" s="2">
        <v>45679</v>
      </c>
      <c r="F144">
        <v>20900</v>
      </c>
      <c r="G144">
        <v>743</v>
      </c>
      <c r="H144">
        <v>40</v>
      </c>
      <c r="I144">
        <v>7</v>
      </c>
      <c r="J144">
        <v>1</v>
      </c>
      <c r="K144">
        <v>6</v>
      </c>
      <c r="L144" t="s">
        <v>3248</v>
      </c>
      <c r="M144" t="s">
        <v>3270</v>
      </c>
      <c r="N144" t="s">
        <v>1630</v>
      </c>
      <c r="O144" s="4">
        <v>45679.6851273148</v>
      </c>
      <c r="P144" t="s">
        <v>57</v>
      </c>
      <c r="Q144" t="s">
        <v>1652</v>
      </c>
      <c r="R144" t="s">
        <v>3272</v>
      </c>
      <c r="T144" t="s">
        <v>57</v>
      </c>
    </row>
    <row r="145" ht="25.5" customHeight="1" spans="1:20">
      <c r="A145" t="s">
        <v>2931</v>
      </c>
      <c r="B145" t="s">
        <v>56</v>
      </c>
      <c r="C145" t="s">
        <v>3269</v>
      </c>
      <c r="D145" s="3"/>
      <c r="E145" s="2">
        <v>45680</v>
      </c>
      <c r="F145">
        <v>20900</v>
      </c>
      <c r="G145">
        <v>762</v>
      </c>
      <c r="H145">
        <v>40</v>
      </c>
      <c r="I145">
        <v>7</v>
      </c>
      <c r="J145">
        <v>1</v>
      </c>
      <c r="K145">
        <v>6</v>
      </c>
      <c r="L145" t="s">
        <v>3248</v>
      </c>
      <c r="M145" t="s">
        <v>3270</v>
      </c>
      <c r="N145" t="s">
        <v>1630</v>
      </c>
      <c r="O145" s="4">
        <v>45680.6370949074</v>
      </c>
      <c r="P145" t="s">
        <v>57</v>
      </c>
      <c r="Q145" t="s">
        <v>1652</v>
      </c>
      <c r="R145" t="s">
        <v>3272</v>
      </c>
      <c r="T145" t="s">
        <v>57</v>
      </c>
    </row>
    <row r="146" ht="25.5" customHeight="1" spans="1:20">
      <c r="A146" t="s">
        <v>2931</v>
      </c>
      <c r="B146" t="s">
        <v>56</v>
      </c>
      <c r="C146" t="s">
        <v>3269</v>
      </c>
      <c r="D146" s="3"/>
      <c r="E146" s="2">
        <v>45681</v>
      </c>
      <c r="F146">
        <v>20900</v>
      </c>
      <c r="G146">
        <v>775</v>
      </c>
      <c r="H146">
        <v>40</v>
      </c>
      <c r="I146">
        <v>7</v>
      </c>
      <c r="J146">
        <v>1</v>
      </c>
      <c r="K146">
        <v>6</v>
      </c>
      <c r="L146" t="s">
        <v>3248</v>
      </c>
      <c r="M146" t="s">
        <v>3270</v>
      </c>
      <c r="N146" t="s">
        <v>1630</v>
      </c>
      <c r="O146" s="4">
        <v>45681.5396527778</v>
      </c>
      <c r="P146" t="s">
        <v>57</v>
      </c>
      <c r="Q146" t="s">
        <v>1652</v>
      </c>
      <c r="R146" t="s">
        <v>3272</v>
      </c>
      <c r="T146" t="s">
        <v>57</v>
      </c>
    </row>
    <row r="147" ht="25.5" customHeight="1" spans="1:20">
      <c r="A147" t="s">
        <v>2931</v>
      </c>
      <c r="B147" t="s">
        <v>56</v>
      </c>
      <c r="C147" t="s">
        <v>3269</v>
      </c>
      <c r="D147" s="3"/>
      <c r="E147" s="2">
        <v>45683</v>
      </c>
      <c r="F147">
        <v>20900</v>
      </c>
      <c r="G147">
        <v>794</v>
      </c>
      <c r="H147">
        <v>40</v>
      </c>
      <c r="I147">
        <v>7</v>
      </c>
      <c r="J147">
        <v>1</v>
      </c>
      <c r="K147">
        <v>6</v>
      </c>
      <c r="L147" t="s">
        <v>3248</v>
      </c>
      <c r="M147" t="s">
        <v>3270</v>
      </c>
      <c r="N147" t="s">
        <v>1630</v>
      </c>
      <c r="O147" s="4">
        <v>45683.7524652778</v>
      </c>
      <c r="P147" t="s">
        <v>57</v>
      </c>
      <c r="Q147" t="s">
        <v>1652</v>
      </c>
      <c r="R147" t="s">
        <v>3272</v>
      </c>
      <c r="T147" t="s">
        <v>57</v>
      </c>
    </row>
    <row r="148" ht="25.5" customHeight="1" spans="1:20">
      <c r="A148" t="s">
        <v>2931</v>
      </c>
      <c r="B148" t="s">
        <v>56</v>
      </c>
      <c r="C148" t="s">
        <v>3269</v>
      </c>
      <c r="D148" s="3"/>
      <c r="E148" s="2">
        <v>45684</v>
      </c>
      <c r="F148">
        <v>20900</v>
      </c>
      <c r="G148">
        <v>803</v>
      </c>
      <c r="H148">
        <v>40</v>
      </c>
      <c r="I148">
        <v>7</v>
      </c>
      <c r="J148">
        <v>1</v>
      </c>
      <c r="K148">
        <v>6</v>
      </c>
      <c r="L148" t="s">
        <v>3248</v>
      </c>
      <c r="M148" t="s">
        <v>3270</v>
      </c>
      <c r="N148" t="s">
        <v>1630</v>
      </c>
      <c r="O148" s="4">
        <v>45684.8075925926</v>
      </c>
      <c r="P148" t="s">
        <v>57</v>
      </c>
      <c r="Q148" t="s">
        <v>1652</v>
      </c>
      <c r="R148" t="s">
        <v>3272</v>
      </c>
      <c r="T148" t="s">
        <v>57</v>
      </c>
    </row>
    <row r="149" ht="25.5" customHeight="1" spans="1:20">
      <c r="A149" t="s">
        <v>2931</v>
      </c>
      <c r="B149" t="s">
        <v>56</v>
      </c>
      <c r="C149" t="s">
        <v>3269</v>
      </c>
      <c r="D149" s="3"/>
      <c r="E149" s="2">
        <v>45693</v>
      </c>
      <c r="F149">
        <v>20900</v>
      </c>
      <c r="G149">
        <v>894</v>
      </c>
      <c r="H149">
        <v>41</v>
      </c>
      <c r="I149">
        <v>7</v>
      </c>
      <c r="J149">
        <v>1</v>
      </c>
      <c r="K149">
        <v>7</v>
      </c>
      <c r="L149" t="s">
        <v>3258</v>
      </c>
      <c r="M149" t="s">
        <v>3270</v>
      </c>
      <c r="N149" t="s">
        <v>1630</v>
      </c>
      <c r="O149" s="4">
        <v>45693.796087963</v>
      </c>
      <c r="P149" t="s">
        <v>57</v>
      </c>
      <c r="Q149" t="s">
        <v>1652</v>
      </c>
      <c r="R149" t="s">
        <v>3273</v>
      </c>
      <c r="T149" t="s">
        <v>57</v>
      </c>
    </row>
    <row r="150" ht="25.5" customHeight="1" spans="1:20">
      <c r="A150" t="s">
        <v>2931</v>
      </c>
      <c r="B150" t="s">
        <v>56</v>
      </c>
      <c r="C150" t="s">
        <v>3269</v>
      </c>
      <c r="D150" s="3"/>
      <c r="E150" s="2">
        <v>45694</v>
      </c>
      <c r="F150">
        <v>20900</v>
      </c>
      <c r="G150">
        <v>895</v>
      </c>
      <c r="H150">
        <v>41</v>
      </c>
      <c r="I150">
        <v>7</v>
      </c>
      <c r="J150">
        <v>1</v>
      </c>
      <c r="K150">
        <v>7</v>
      </c>
      <c r="L150" t="s">
        <v>3258</v>
      </c>
      <c r="M150" t="s">
        <v>3270</v>
      </c>
      <c r="N150" t="s">
        <v>1630</v>
      </c>
      <c r="O150" s="4">
        <v>45698.6216782407</v>
      </c>
      <c r="P150" t="s">
        <v>57</v>
      </c>
      <c r="Q150" t="s">
        <v>1652</v>
      </c>
      <c r="R150" t="s">
        <v>3273</v>
      </c>
      <c r="S150" t="s">
        <v>3180</v>
      </c>
      <c r="T150" t="s">
        <v>57</v>
      </c>
    </row>
    <row r="151" ht="25.5" customHeight="1" spans="1:20">
      <c r="A151" t="s">
        <v>2931</v>
      </c>
      <c r="B151" t="s">
        <v>56</v>
      </c>
      <c r="C151" t="s">
        <v>3269</v>
      </c>
      <c r="D151" s="3"/>
      <c r="E151" s="2">
        <v>45695</v>
      </c>
      <c r="F151">
        <v>20900</v>
      </c>
      <c r="G151">
        <v>910</v>
      </c>
      <c r="H151">
        <v>41</v>
      </c>
      <c r="I151">
        <v>7</v>
      </c>
      <c r="J151">
        <v>1</v>
      </c>
      <c r="K151">
        <v>7</v>
      </c>
      <c r="L151" t="s">
        <v>3258</v>
      </c>
      <c r="M151" t="s">
        <v>3270</v>
      </c>
      <c r="N151" t="s">
        <v>1630</v>
      </c>
      <c r="O151" s="4">
        <v>45695.6915625</v>
      </c>
      <c r="P151" t="s">
        <v>57</v>
      </c>
      <c r="Q151" t="s">
        <v>1652</v>
      </c>
      <c r="R151" t="s">
        <v>3273</v>
      </c>
      <c r="T151" t="s">
        <v>57</v>
      </c>
    </row>
    <row r="152" ht="25.5" customHeight="1" spans="1:20">
      <c r="A152" t="s">
        <v>2931</v>
      </c>
      <c r="B152" t="s">
        <v>56</v>
      </c>
      <c r="C152" t="s">
        <v>3269</v>
      </c>
      <c r="D152" s="3"/>
      <c r="E152" s="2">
        <v>45696</v>
      </c>
      <c r="F152">
        <v>20900</v>
      </c>
      <c r="G152">
        <v>914</v>
      </c>
      <c r="H152">
        <v>41</v>
      </c>
      <c r="I152">
        <v>7</v>
      </c>
      <c r="J152">
        <v>1</v>
      </c>
      <c r="K152">
        <v>7</v>
      </c>
      <c r="L152" t="s">
        <v>3258</v>
      </c>
      <c r="M152" t="s">
        <v>3270</v>
      </c>
      <c r="N152" t="s">
        <v>1630</v>
      </c>
      <c r="O152" s="4">
        <v>45696.4273263889</v>
      </c>
      <c r="P152" t="s">
        <v>57</v>
      </c>
      <c r="Q152" t="s">
        <v>1652</v>
      </c>
      <c r="R152" t="s">
        <v>3273</v>
      </c>
      <c r="T152" t="s">
        <v>57</v>
      </c>
    </row>
    <row r="153" ht="25.5" customHeight="1" spans="1:20">
      <c r="A153" t="s">
        <v>2332</v>
      </c>
      <c r="B153" t="s">
        <v>3274</v>
      </c>
      <c r="C153" t="s">
        <v>3275</v>
      </c>
      <c r="D153" s="3"/>
      <c r="E153" s="2"/>
      <c r="M153" t="s">
        <v>3276</v>
      </c>
      <c r="N153" t="s">
        <v>3277</v>
      </c>
      <c r="O153" s="4">
        <v>45670.743587963</v>
      </c>
      <c r="P153" t="s">
        <v>3278</v>
      </c>
      <c r="Q153" t="s">
        <v>3279</v>
      </c>
      <c r="R153" t="s">
        <v>3133</v>
      </c>
      <c r="T153" t="s">
        <v>3278</v>
      </c>
    </row>
    <row r="154" ht="25.5" customHeight="1" spans="1:20">
      <c r="A154" t="s">
        <v>2332</v>
      </c>
      <c r="B154" t="s">
        <v>3274</v>
      </c>
      <c r="C154" t="s">
        <v>3275</v>
      </c>
      <c r="D154" s="3"/>
      <c r="E154" s="2"/>
      <c r="M154" t="s">
        <v>3276</v>
      </c>
      <c r="N154" t="s">
        <v>3277</v>
      </c>
      <c r="O154" s="4">
        <v>45670.743587963</v>
      </c>
      <c r="P154" t="s">
        <v>3278</v>
      </c>
      <c r="Q154" t="s">
        <v>3279</v>
      </c>
      <c r="R154" t="s">
        <v>3133</v>
      </c>
      <c r="T154" t="s">
        <v>3278</v>
      </c>
    </row>
    <row r="155" ht="25.5" customHeight="1" spans="1:20">
      <c r="A155" t="s">
        <v>1700</v>
      </c>
      <c r="B155" t="s">
        <v>56</v>
      </c>
      <c r="C155" t="s">
        <v>3280</v>
      </c>
      <c r="D155" s="3" t="str">
        <f>HYPERLINK("https://www.tiktok.com/@amerufficiale","https://www.tiktok.com/@amerufficiale")</f>
        <v>https://www.tiktok.com/@amerufficiale</v>
      </c>
      <c r="E155" s="2">
        <v>45670</v>
      </c>
      <c r="F155">
        <v>193700</v>
      </c>
      <c r="G155">
        <v>1236</v>
      </c>
      <c r="H155">
        <v>27</v>
      </c>
      <c r="I155">
        <v>0</v>
      </c>
      <c r="J155">
        <v>12</v>
      </c>
      <c r="K155">
        <v>2</v>
      </c>
      <c r="L155" t="s">
        <v>3281</v>
      </c>
      <c r="M155" t="s">
        <v>3282</v>
      </c>
      <c r="N155" t="s">
        <v>1630</v>
      </c>
      <c r="O155" s="4">
        <v>45670.7956944444</v>
      </c>
      <c r="P155" t="s">
        <v>57</v>
      </c>
      <c r="Q155" t="s">
        <v>1703</v>
      </c>
      <c r="R155" t="s">
        <v>3283</v>
      </c>
      <c r="T155" t="s">
        <v>57</v>
      </c>
    </row>
    <row r="156" ht="25.5" customHeight="1" spans="1:20">
      <c r="A156" t="s">
        <v>1700</v>
      </c>
      <c r="B156" t="s">
        <v>56</v>
      </c>
      <c r="C156" t="s">
        <v>3280</v>
      </c>
      <c r="D156" s="3"/>
      <c r="E156" s="2">
        <v>45671</v>
      </c>
      <c r="F156">
        <v>193800</v>
      </c>
      <c r="G156">
        <v>7878</v>
      </c>
      <c r="H156">
        <v>168</v>
      </c>
      <c r="I156">
        <v>6</v>
      </c>
      <c r="J156">
        <v>123</v>
      </c>
      <c r="K156">
        <v>28</v>
      </c>
      <c r="L156" t="s">
        <v>3284</v>
      </c>
      <c r="M156" t="s">
        <v>3282</v>
      </c>
      <c r="N156" t="s">
        <v>1630</v>
      </c>
      <c r="O156" s="4">
        <v>45672.5030092593</v>
      </c>
      <c r="P156" t="s">
        <v>57</v>
      </c>
      <c r="Q156" t="s">
        <v>1703</v>
      </c>
      <c r="R156" t="s">
        <v>3285</v>
      </c>
      <c r="T156" t="s">
        <v>57</v>
      </c>
    </row>
    <row r="157" ht="25.5" customHeight="1" spans="1:20">
      <c r="A157" t="s">
        <v>1700</v>
      </c>
      <c r="B157" t="s">
        <v>56</v>
      </c>
      <c r="C157" t="s">
        <v>3280</v>
      </c>
      <c r="D157" s="3"/>
      <c r="E157" s="2">
        <v>45672</v>
      </c>
      <c r="F157">
        <v>193900</v>
      </c>
      <c r="G157">
        <v>9550</v>
      </c>
      <c r="H157">
        <v>222</v>
      </c>
      <c r="I157">
        <v>6</v>
      </c>
      <c r="J157">
        <v>147</v>
      </c>
      <c r="K157">
        <v>31</v>
      </c>
      <c r="L157" t="s">
        <v>3284</v>
      </c>
      <c r="M157" t="s">
        <v>3282</v>
      </c>
      <c r="N157" t="s">
        <v>1630</v>
      </c>
      <c r="O157" s="4">
        <v>45672.525625</v>
      </c>
      <c r="P157" t="s">
        <v>57</v>
      </c>
      <c r="Q157" t="s">
        <v>1703</v>
      </c>
      <c r="R157" t="s">
        <v>3286</v>
      </c>
      <c r="T157" t="s">
        <v>57</v>
      </c>
    </row>
    <row r="158" ht="25.5" customHeight="1" spans="1:20">
      <c r="A158" t="s">
        <v>1700</v>
      </c>
      <c r="B158" t="s">
        <v>56</v>
      </c>
      <c r="C158" t="s">
        <v>3280</v>
      </c>
      <c r="D158" s="3"/>
      <c r="E158" s="2">
        <v>45673</v>
      </c>
      <c r="F158">
        <v>193900</v>
      </c>
      <c r="G158">
        <v>10500</v>
      </c>
      <c r="H158">
        <v>245</v>
      </c>
      <c r="I158">
        <v>6</v>
      </c>
      <c r="J158">
        <v>160</v>
      </c>
      <c r="K158">
        <v>37</v>
      </c>
      <c r="L158" t="s">
        <v>3284</v>
      </c>
      <c r="M158" t="s">
        <v>3282</v>
      </c>
      <c r="N158" t="s">
        <v>1630</v>
      </c>
      <c r="O158" s="4">
        <v>45673.509525463</v>
      </c>
      <c r="P158" t="s">
        <v>57</v>
      </c>
      <c r="Q158" t="s">
        <v>1703</v>
      </c>
      <c r="R158" t="s">
        <v>3142</v>
      </c>
      <c r="T158" t="s">
        <v>57</v>
      </c>
    </row>
    <row r="159" ht="25.5" customHeight="1" spans="1:20">
      <c r="A159" t="s">
        <v>1700</v>
      </c>
      <c r="B159" t="s">
        <v>56</v>
      </c>
      <c r="C159" t="s">
        <v>3280</v>
      </c>
      <c r="D159" s="3"/>
      <c r="E159" s="2">
        <v>45674</v>
      </c>
      <c r="F159">
        <v>194000</v>
      </c>
      <c r="G159">
        <v>11100</v>
      </c>
      <c r="H159">
        <v>261</v>
      </c>
      <c r="I159">
        <v>6</v>
      </c>
      <c r="J159">
        <v>172</v>
      </c>
      <c r="K159">
        <v>42</v>
      </c>
      <c r="L159" t="s">
        <v>3284</v>
      </c>
      <c r="M159" t="s">
        <v>3282</v>
      </c>
      <c r="N159" t="s">
        <v>1630</v>
      </c>
      <c r="O159" s="4">
        <v>45674.6630902778</v>
      </c>
      <c r="P159" t="s">
        <v>57</v>
      </c>
      <c r="Q159" t="s">
        <v>1703</v>
      </c>
      <c r="R159" t="s">
        <v>3287</v>
      </c>
      <c r="T159" t="s">
        <v>57</v>
      </c>
    </row>
    <row r="160" ht="25.5" customHeight="1" spans="1:20">
      <c r="A160" t="s">
        <v>1700</v>
      </c>
      <c r="B160" t="s">
        <v>56</v>
      </c>
      <c r="C160" t="s">
        <v>3280</v>
      </c>
      <c r="D160" s="3"/>
      <c r="E160" s="2">
        <v>45677</v>
      </c>
      <c r="F160">
        <v>195200</v>
      </c>
      <c r="G160">
        <v>13000</v>
      </c>
      <c r="H160">
        <v>298</v>
      </c>
      <c r="I160">
        <v>6</v>
      </c>
      <c r="J160">
        <v>196</v>
      </c>
      <c r="K160">
        <v>48</v>
      </c>
      <c r="L160" t="s">
        <v>3284</v>
      </c>
      <c r="M160" t="s">
        <v>3282</v>
      </c>
      <c r="N160" t="s">
        <v>1630</v>
      </c>
      <c r="O160" s="4">
        <v>45677.4201851852</v>
      </c>
      <c r="P160" t="s">
        <v>57</v>
      </c>
      <c r="Q160" t="s">
        <v>1703</v>
      </c>
      <c r="R160" t="s">
        <v>3288</v>
      </c>
      <c r="T160" t="s">
        <v>57</v>
      </c>
    </row>
    <row r="161" ht="25.5" customHeight="1" spans="1:20">
      <c r="A161" t="s">
        <v>1700</v>
      </c>
      <c r="B161" t="s">
        <v>56</v>
      </c>
      <c r="C161" t="s">
        <v>3280</v>
      </c>
      <c r="D161" s="3"/>
      <c r="E161" s="2">
        <v>45678</v>
      </c>
      <c r="F161">
        <v>195600</v>
      </c>
      <c r="G161">
        <v>13700</v>
      </c>
      <c r="H161">
        <v>319</v>
      </c>
      <c r="I161">
        <v>6</v>
      </c>
      <c r="J161">
        <v>207</v>
      </c>
      <c r="K161">
        <v>56</v>
      </c>
      <c r="L161" t="s">
        <v>3284</v>
      </c>
      <c r="M161" t="s">
        <v>3282</v>
      </c>
      <c r="N161" t="s">
        <v>1630</v>
      </c>
      <c r="O161" s="4">
        <v>45678.6075115741</v>
      </c>
      <c r="P161" t="s">
        <v>57</v>
      </c>
      <c r="Q161" t="s">
        <v>1703</v>
      </c>
      <c r="R161" t="s">
        <v>3289</v>
      </c>
      <c r="T161" t="s">
        <v>57</v>
      </c>
    </row>
    <row r="162" ht="25.5" customHeight="1" spans="1:20">
      <c r="A162" t="s">
        <v>1700</v>
      </c>
      <c r="B162" t="s">
        <v>56</v>
      </c>
      <c r="C162" t="s">
        <v>3280</v>
      </c>
      <c r="D162" s="3"/>
      <c r="E162" s="2">
        <v>45679</v>
      </c>
      <c r="F162">
        <v>195900</v>
      </c>
      <c r="G162">
        <v>14500</v>
      </c>
      <c r="H162">
        <v>332</v>
      </c>
      <c r="I162">
        <v>6</v>
      </c>
      <c r="J162">
        <v>220</v>
      </c>
      <c r="K162">
        <v>61</v>
      </c>
      <c r="L162" t="s">
        <v>3284</v>
      </c>
      <c r="M162" t="s">
        <v>3282</v>
      </c>
      <c r="N162" t="s">
        <v>1630</v>
      </c>
      <c r="O162" s="4">
        <v>45679.6853472222</v>
      </c>
      <c r="P162" t="s">
        <v>57</v>
      </c>
      <c r="Q162" t="s">
        <v>1703</v>
      </c>
      <c r="R162" t="s">
        <v>3290</v>
      </c>
      <c r="T162" t="s">
        <v>57</v>
      </c>
    </row>
    <row r="163" ht="25.5" customHeight="1" spans="1:20">
      <c r="A163" t="s">
        <v>1700</v>
      </c>
      <c r="B163" t="s">
        <v>56</v>
      </c>
      <c r="C163" t="s">
        <v>3280</v>
      </c>
      <c r="D163" s="3"/>
      <c r="E163" s="2">
        <v>45680</v>
      </c>
      <c r="F163">
        <v>196100</v>
      </c>
      <c r="G163">
        <v>14800</v>
      </c>
      <c r="H163">
        <v>342</v>
      </c>
      <c r="I163">
        <v>6</v>
      </c>
      <c r="J163">
        <v>224</v>
      </c>
      <c r="K163">
        <v>61</v>
      </c>
      <c r="L163" t="s">
        <v>3284</v>
      </c>
      <c r="M163" t="s">
        <v>3282</v>
      </c>
      <c r="N163" t="s">
        <v>1630</v>
      </c>
      <c r="O163" s="4">
        <v>45680.6374652778</v>
      </c>
      <c r="P163" t="s">
        <v>57</v>
      </c>
      <c r="Q163" t="s">
        <v>1703</v>
      </c>
      <c r="R163" t="s">
        <v>3291</v>
      </c>
      <c r="T163" t="s">
        <v>57</v>
      </c>
    </row>
    <row r="164" ht="25.5" customHeight="1" spans="1:20">
      <c r="A164" t="s">
        <v>1700</v>
      </c>
      <c r="B164" t="s">
        <v>56</v>
      </c>
      <c r="C164" t="s">
        <v>3280</v>
      </c>
      <c r="D164" s="3"/>
      <c r="E164" s="2">
        <v>45681</v>
      </c>
      <c r="F164">
        <v>196300</v>
      </c>
      <c r="G164">
        <v>15100</v>
      </c>
      <c r="H164">
        <v>353</v>
      </c>
      <c r="I164">
        <v>6</v>
      </c>
      <c r="J164">
        <v>230</v>
      </c>
      <c r="K164">
        <v>62</v>
      </c>
      <c r="L164" t="s">
        <v>3284</v>
      </c>
      <c r="M164" t="s">
        <v>3282</v>
      </c>
      <c r="N164" t="s">
        <v>1630</v>
      </c>
      <c r="O164" s="4">
        <v>45681.5404513889</v>
      </c>
      <c r="P164" t="s">
        <v>57</v>
      </c>
      <c r="Q164" t="s">
        <v>1703</v>
      </c>
      <c r="R164" t="s">
        <v>3292</v>
      </c>
      <c r="T164" t="s">
        <v>57</v>
      </c>
    </row>
    <row r="165" ht="25.5" customHeight="1" spans="1:20">
      <c r="A165" t="s">
        <v>1700</v>
      </c>
      <c r="B165" t="s">
        <v>56</v>
      </c>
      <c r="C165" t="s">
        <v>3280</v>
      </c>
      <c r="D165" s="3"/>
      <c r="E165" s="2">
        <v>45683</v>
      </c>
      <c r="F165">
        <v>196500</v>
      </c>
      <c r="G165">
        <v>15700</v>
      </c>
      <c r="H165">
        <v>369</v>
      </c>
      <c r="I165">
        <v>6</v>
      </c>
      <c r="J165">
        <v>241</v>
      </c>
      <c r="K165">
        <v>64</v>
      </c>
      <c r="L165" t="s">
        <v>3284</v>
      </c>
      <c r="M165" t="s">
        <v>3282</v>
      </c>
      <c r="N165" t="s">
        <v>1630</v>
      </c>
      <c r="O165" s="4">
        <v>45683.7527314815</v>
      </c>
      <c r="P165" t="s">
        <v>57</v>
      </c>
      <c r="Q165" t="s">
        <v>1703</v>
      </c>
      <c r="R165" t="s">
        <v>3293</v>
      </c>
      <c r="T165" t="s">
        <v>57</v>
      </c>
    </row>
    <row r="166" ht="25.5" customHeight="1" spans="1:20">
      <c r="A166" t="s">
        <v>1700</v>
      </c>
      <c r="B166" t="s">
        <v>56</v>
      </c>
      <c r="C166" t="s">
        <v>3280</v>
      </c>
      <c r="D166" s="3"/>
      <c r="E166" s="2">
        <v>45684</v>
      </c>
      <c r="F166">
        <v>196700</v>
      </c>
      <c r="G166">
        <v>16200</v>
      </c>
      <c r="H166">
        <v>378</v>
      </c>
      <c r="I166">
        <v>7</v>
      </c>
      <c r="J166">
        <v>247</v>
      </c>
      <c r="K166">
        <v>65</v>
      </c>
      <c r="L166" t="s">
        <v>3284</v>
      </c>
      <c r="M166" t="s">
        <v>3282</v>
      </c>
      <c r="N166" t="s">
        <v>1630</v>
      </c>
      <c r="O166" s="4">
        <v>45684.8080208333</v>
      </c>
      <c r="P166" t="s">
        <v>57</v>
      </c>
      <c r="Q166" t="s">
        <v>1703</v>
      </c>
      <c r="R166" t="s">
        <v>3294</v>
      </c>
      <c r="T166" t="s">
        <v>57</v>
      </c>
    </row>
    <row r="167" ht="25.5" customHeight="1" spans="1:20">
      <c r="A167" t="s">
        <v>1700</v>
      </c>
      <c r="B167" t="s">
        <v>56</v>
      </c>
      <c r="C167" t="s">
        <v>3280</v>
      </c>
      <c r="D167" s="3"/>
      <c r="E167" s="2">
        <v>45693</v>
      </c>
      <c r="F167">
        <v>198100</v>
      </c>
      <c r="G167">
        <v>19000</v>
      </c>
      <c r="H167">
        <v>420</v>
      </c>
      <c r="I167">
        <v>8</v>
      </c>
      <c r="J167">
        <v>274</v>
      </c>
      <c r="K167">
        <v>71</v>
      </c>
      <c r="L167" t="s">
        <v>3284</v>
      </c>
      <c r="M167" t="s">
        <v>3282</v>
      </c>
      <c r="N167" t="s">
        <v>1630</v>
      </c>
      <c r="O167" s="4">
        <v>45693.7962962963</v>
      </c>
      <c r="P167" t="s">
        <v>57</v>
      </c>
      <c r="Q167" t="s">
        <v>1703</v>
      </c>
      <c r="R167" t="s">
        <v>3295</v>
      </c>
      <c r="T167" t="s">
        <v>57</v>
      </c>
    </row>
    <row r="168" ht="25.5" customHeight="1" spans="1:20">
      <c r="A168" t="s">
        <v>1700</v>
      </c>
      <c r="B168" t="s">
        <v>56</v>
      </c>
      <c r="C168" t="s">
        <v>3280</v>
      </c>
      <c r="D168" s="3"/>
      <c r="E168" s="2">
        <v>45694</v>
      </c>
      <c r="F168">
        <v>198100</v>
      </c>
      <c r="G168">
        <v>19100</v>
      </c>
      <c r="H168">
        <v>422</v>
      </c>
      <c r="I168">
        <v>8</v>
      </c>
      <c r="J168">
        <v>274</v>
      </c>
      <c r="K168">
        <v>71</v>
      </c>
      <c r="L168" t="s">
        <v>3284</v>
      </c>
      <c r="M168" t="s">
        <v>3282</v>
      </c>
      <c r="N168" t="s">
        <v>1630</v>
      </c>
      <c r="O168" s="4">
        <v>45698.6216782407</v>
      </c>
      <c r="P168" t="s">
        <v>57</v>
      </c>
      <c r="Q168" t="s">
        <v>1703</v>
      </c>
      <c r="R168" t="s">
        <v>3296</v>
      </c>
      <c r="S168" t="s">
        <v>3245</v>
      </c>
      <c r="T168" t="s">
        <v>57</v>
      </c>
    </row>
    <row r="169" ht="25.5" customHeight="1" spans="1:20">
      <c r="A169" t="s">
        <v>2923</v>
      </c>
      <c r="B169" t="s">
        <v>56</v>
      </c>
      <c r="C169" t="s">
        <v>3297</v>
      </c>
      <c r="D169" s="3"/>
      <c r="E169" s="2">
        <v>45677</v>
      </c>
      <c r="F169">
        <v>6425</v>
      </c>
      <c r="G169">
        <v>366</v>
      </c>
      <c r="H169">
        <v>38</v>
      </c>
      <c r="I169">
        <v>2</v>
      </c>
      <c r="J169">
        <v>6</v>
      </c>
      <c r="K169">
        <v>0</v>
      </c>
      <c r="L169" t="s">
        <v>3298</v>
      </c>
      <c r="M169" t="s">
        <v>3270</v>
      </c>
      <c r="N169" t="s">
        <v>1630</v>
      </c>
      <c r="O169" s="4">
        <v>45677.7200347222</v>
      </c>
      <c r="P169" t="s">
        <v>57</v>
      </c>
      <c r="Q169" t="s">
        <v>1631</v>
      </c>
      <c r="R169" t="s">
        <v>3175</v>
      </c>
      <c r="T169" t="s">
        <v>57</v>
      </c>
    </row>
    <row r="170" ht="25.5" customHeight="1" spans="1:20">
      <c r="A170" t="s">
        <v>2923</v>
      </c>
      <c r="B170" t="s">
        <v>56</v>
      </c>
      <c r="C170" t="s">
        <v>3297</v>
      </c>
      <c r="D170" s="3"/>
      <c r="E170" s="2">
        <v>45678</v>
      </c>
      <c r="F170">
        <v>6427</v>
      </c>
      <c r="G170">
        <v>384</v>
      </c>
      <c r="H170">
        <v>38</v>
      </c>
      <c r="I170">
        <v>2</v>
      </c>
      <c r="J170">
        <v>6</v>
      </c>
      <c r="K170">
        <v>0</v>
      </c>
      <c r="L170" t="s">
        <v>3260</v>
      </c>
      <c r="M170" t="s">
        <v>3270</v>
      </c>
      <c r="N170" t="s">
        <v>1630</v>
      </c>
      <c r="O170" s="4">
        <v>45678.6124884259</v>
      </c>
      <c r="P170" t="s">
        <v>57</v>
      </c>
      <c r="Q170" t="s">
        <v>1631</v>
      </c>
      <c r="R170" t="s">
        <v>3175</v>
      </c>
      <c r="T170" t="s">
        <v>57</v>
      </c>
    </row>
    <row r="171" ht="25.5" customHeight="1" spans="1:20">
      <c r="A171" t="s">
        <v>2923</v>
      </c>
      <c r="B171" t="s">
        <v>56</v>
      </c>
      <c r="C171" t="s">
        <v>3297</v>
      </c>
      <c r="D171" s="3"/>
      <c r="E171" s="2">
        <v>45679</v>
      </c>
      <c r="F171">
        <v>6423</v>
      </c>
      <c r="G171">
        <v>408</v>
      </c>
      <c r="H171">
        <v>39</v>
      </c>
      <c r="I171">
        <v>2</v>
      </c>
      <c r="J171">
        <v>7</v>
      </c>
      <c r="K171">
        <v>0</v>
      </c>
      <c r="L171" t="s">
        <v>3260</v>
      </c>
      <c r="M171" t="s">
        <v>3270</v>
      </c>
      <c r="N171" t="s">
        <v>1630</v>
      </c>
      <c r="O171" s="4">
        <v>45679.6855324074</v>
      </c>
      <c r="P171" t="s">
        <v>57</v>
      </c>
      <c r="Q171" t="s">
        <v>1631</v>
      </c>
      <c r="R171" t="s">
        <v>3174</v>
      </c>
      <c r="T171" t="s">
        <v>57</v>
      </c>
    </row>
    <row r="172" ht="25.5" customHeight="1" spans="1:20">
      <c r="A172" t="s">
        <v>2923</v>
      </c>
      <c r="B172" t="s">
        <v>56</v>
      </c>
      <c r="C172" t="s">
        <v>3297</v>
      </c>
      <c r="D172" s="3"/>
      <c r="E172" s="2">
        <v>45680</v>
      </c>
      <c r="F172">
        <v>6421</v>
      </c>
      <c r="G172">
        <v>421</v>
      </c>
      <c r="H172">
        <v>39</v>
      </c>
      <c r="I172">
        <v>2</v>
      </c>
      <c r="J172">
        <v>7</v>
      </c>
      <c r="K172">
        <v>0</v>
      </c>
      <c r="L172" t="s">
        <v>3260</v>
      </c>
      <c r="M172" t="s">
        <v>3270</v>
      </c>
      <c r="N172" t="s">
        <v>1630</v>
      </c>
      <c r="O172" s="4">
        <v>45680.6377199074</v>
      </c>
      <c r="P172" t="s">
        <v>57</v>
      </c>
      <c r="Q172" t="s">
        <v>1631</v>
      </c>
      <c r="R172" t="s">
        <v>3174</v>
      </c>
      <c r="T172" t="s">
        <v>57</v>
      </c>
    </row>
    <row r="173" ht="25.5" customHeight="1" spans="1:20">
      <c r="A173" t="s">
        <v>2923</v>
      </c>
      <c r="B173" t="s">
        <v>56</v>
      </c>
      <c r="C173" t="s">
        <v>3297</v>
      </c>
      <c r="D173" s="3"/>
      <c r="E173" s="2">
        <v>45681</v>
      </c>
      <c r="F173">
        <v>6424</v>
      </c>
      <c r="G173">
        <v>432</v>
      </c>
      <c r="H173">
        <v>40</v>
      </c>
      <c r="I173">
        <v>2</v>
      </c>
      <c r="J173">
        <v>8</v>
      </c>
      <c r="K173">
        <v>0</v>
      </c>
      <c r="L173" t="s">
        <v>3260</v>
      </c>
      <c r="M173" t="s">
        <v>3270</v>
      </c>
      <c r="N173" t="s">
        <v>1630</v>
      </c>
      <c r="O173" s="4">
        <v>45681.5977893519</v>
      </c>
      <c r="P173" t="s">
        <v>57</v>
      </c>
      <c r="Q173" t="s">
        <v>1631</v>
      </c>
      <c r="R173" t="s">
        <v>3176</v>
      </c>
      <c r="T173" t="s">
        <v>57</v>
      </c>
    </row>
    <row r="174" ht="25.5" customHeight="1" spans="1:20">
      <c r="A174" t="s">
        <v>2923</v>
      </c>
      <c r="B174" t="s">
        <v>56</v>
      </c>
      <c r="C174" t="s">
        <v>3297</v>
      </c>
      <c r="D174" s="3"/>
      <c r="E174" s="2">
        <v>45683</v>
      </c>
      <c r="F174">
        <v>6421</v>
      </c>
      <c r="G174">
        <v>449</v>
      </c>
      <c r="H174">
        <v>41</v>
      </c>
      <c r="I174">
        <v>2</v>
      </c>
      <c r="J174">
        <v>9</v>
      </c>
      <c r="K174">
        <v>0</v>
      </c>
      <c r="L174" t="s">
        <v>3260</v>
      </c>
      <c r="M174" t="s">
        <v>3270</v>
      </c>
      <c r="N174" t="s">
        <v>1630</v>
      </c>
      <c r="O174" s="4">
        <v>45683.7530671296</v>
      </c>
      <c r="P174" t="s">
        <v>57</v>
      </c>
      <c r="Q174" t="s">
        <v>1631</v>
      </c>
      <c r="R174" t="s">
        <v>3179</v>
      </c>
      <c r="T174" t="s">
        <v>57</v>
      </c>
    </row>
    <row r="175" ht="25.5" customHeight="1" spans="1:20">
      <c r="A175" t="s">
        <v>2923</v>
      </c>
      <c r="B175" t="s">
        <v>56</v>
      </c>
      <c r="C175" t="s">
        <v>3297</v>
      </c>
      <c r="D175" s="3"/>
      <c r="E175" s="2">
        <v>45684</v>
      </c>
      <c r="F175">
        <v>6513</v>
      </c>
      <c r="G175">
        <v>491</v>
      </c>
      <c r="H175">
        <v>43</v>
      </c>
      <c r="I175">
        <v>2</v>
      </c>
      <c r="J175">
        <v>13</v>
      </c>
      <c r="K175">
        <v>0</v>
      </c>
      <c r="L175" t="s">
        <v>3230</v>
      </c>
      <c r="M175" t="s">
        <v>3270</v>
      </c>
      <c r="N175" t="s">
        <v>1630</v>
      </c>
      <c r="O175" s="4">
        <v>45684.8084259259</v>
      </c>
      <c r="P175" t="s">
        <v>57</v>
      </c>
      <c r="Q175" t="s">
        <v>1631</v>
      </c>
      <c r="R175" t="s">
        <v>3299</v>
      </c>
      <c r="T175" t="s">
        <v>57</v>
      </c>
    </row>
    <row r="176" ht="25.5" customHeight="1" spans="1:20">
      <c r="A176" t="s">
        <v>2923</v>
      </c>
      <c r="B176" t="s">
        <v>56</v>
      </c>
      <c r="C176" t="s">
        <v>3297</v>
      </c>
      <c r="D176" s="3"/>
      <c r="E176" s="2">
        <v>45693</v>
      </c>
      <c r="F176">
        <v>6511</v>
      </c>
      <c r="G176">
        <v>544</v>
      </c>
      <c r="H176">
        <v>47</v>
      </c>
      <c r="I176">
        <v>2</v>
      </c>
      <c r="J176">
        <v>13</v>
      </c>
      <c r="K176">
        <v>0</v>
      </c>
      <c r="L176" t="s">
        <v>3230</v>
      </c>
      <c r="M176" t="s">
        <v>3270</v>
      </c>
      <c r="N176" t="s">
        <v>1630</v>
      </c>
      <c r="O176" s="4">
        <v>45693.7964930556</v>
      </c>
      <c r="P176" t="s">
        <v>57</v>
      </c>
      <c r="Q176" t="s">
        <v>1631</v>
      </c>
      <c r="R176" t="s">
        <v>3300</v>
      </c>
      <c r="T176" t="s">
        <v>57</v>
      </c>
    </row>
    <row r="177" ht="25.5" customHeight="1" spans="1:20">
      <c r="A177" t="s">
        <v>2923</v>
      </c>
      <c r="B177" t="s">
        <v>56</v>
      </c>
      <c r="C177" t="s">
        <v>3297</v>
      </c>
      <c r="D177" s="3"/>
      <c r="E177" s="2">
        <v>45694</v>
      </c>
      <c r="F177">
        <v>6506</v>
      </c>
      <c r="G177">
        <v>550</v>
      </c>
      <c r="H177">
        <v>47</v>
      </c>
      <c r="I177">
        <v>2</v>
      </c>
      <c r="J177">
        <v>13</v>
      </c>
      <c r="K177">
        <v>0</v>
      </c>
      <c r="L177" t="s">
        <v>3230</v>
      </c>
      <c r="M177" t="s">
        <v>3270</v>
      </c>
      <c r="N177" t="s">
        <v>1630</v>
      </c>
      <c r="O177" s="4">
        <v>45698.6216782407</v>
      </c>
      <c r="P177" t="s">
        <v>57</v>
      </c>
      <c r="Q177" t="s">
        <v>1631</v>
      </c>
      <c r="R177" t="s">
        <v>3300</v>
      </c>
      <c r="S177" t="s">
        <v>3301</v>
      </c>
      <c r="T177" t="s">
        <v>57</v>
      </c>
    </row>
    <row r="178" ht="25.5" customHeight="1" spans="1:20">
      <c r="A178" t="s">
        <v>2923</v>
      </c>
      <c r="B178" t="s">
        <v>56</v>
      </c>
      <c r="C178" t="s">
        <v>3297</v>
      </c>
      <c r="D178" s="3"/>
      <c r="E178" s="2">
        <v>45695</v>
      </c>
      <c r="F178">
        <v>6504</v>
      </c>
      <c r="G178">
        <v>552</v>
      </c>
      <c r="H178">
        <v>47</v>
      </c>
      <c r="I178">
        <v>2</v>
      </c>
      <c r="J178">
        <v>13</v>
      </c>
      <c r="K178">
        <v>0</v>
      </c>
      <c r="L178" t="s">
        <v>3230</v>
      </c>
      <c r="M178" t="s">
        <v>3270</v>
      </c>
      <c r="N178" t="s">
        <v>1630</v>
      </c>
      <c r="O178" s="4">
        <v>45695.6920023148</v>
      </c>
      <c r="P178" t="s">
        <v>57</v>
      </c>
      <c r="Q178" t="s">
        <v>1631</v>
      </c>
      <c r="R178" t="s">
        <v>3300</v>
      </c>
      <c r="T178" t="s">
        <v>57</v>
      </c>
    </row>
    <row r="179" ht="25.5" customHeight="1" spans="1:20">
      <c r="A179" t="s">
        <v>2923</v>
      </c>
      <c r="B179" t="s">
        <v>56</v>
      </c>
      <c r="C179" t="s">
        <v>3297</v>
      </c>
      <c r="D179" s="3"/>
      <c r="E179" s="2">
        <v>45696</v>
      </c>
      <c r="F179">
        <v>6505</v>
      </c>
      <c r="G179">
        <v>555</v>
      </c>
      <c r="H179">
        <v>47</v>
      </c>
      <c r="I179">
        <v>2</v>
      </c>
      <c r="J179">
        <v>13</v>
      </c>
      <c r="K179">
        <v>0</v>
      </c>
      <c r="L179" t="s">
        <v>3230</v>
      </c>
      <c r="M179" t="s">
        <v>3270</v>
      </c>
      <c r="N179" t="s">
        <v>1630</v>
      </c>
      <c r="O179" s="4">
        <v>45696.4275115741</v>
      </c>
      <c r="P179" t="s">
        <v>57</v>
      </c>
      <c r="Q179" t="s">
        <v>1631</v>
      </c>
      <c r="R179" t="s">
        <v>3300</v>
      </c>
      <c r="T179" t="s">
        <v>57</v>
      </c>
    </row>
    <row r="180" ht="25.5" customHeight="1" spans="1:20">
      <c r="A180" t="s">
        <v>3115</v>
      </c>
      <c r="B180" t="s">
        <v>65</v>
      </c>
      <c r="C180" t="s">
        <v>3302</v>
      </c>
      <c r="D180" s="3" t="str">
        <f>HYPERLINK("https://www.instagram.com/anderson__tech/reels/","https://www.instagram.com/anderson__tech/reels/")</f>
        <v>https://www.instagram.com/anderson__tech/reels/</v>
      </c>
      <c r="E180" s="2">
        <v>45673</v>
      </c>
      <c r="F180">
        <v>90400</v>
      </c>
      <c r="G180">
        <v>2340</v>
      </c>
      <c r="H180">
        <v>139</v>
      </c>
      <c r="I180">
        <v>0</v>
      </c>
      <c r="L180" t="s">
        <v>3138</v>
      </c>
      <c r="N180" t="s">
        <v>1630</v>
      </c>
      <c r="O180" s="4">
        <v>45695.4757523148</v>
      </c>
      <c r="P180" t="s">
        <v>116</v>
      </c>
      <c r="Q180" t="s">
        <v>1753</v>
      </c>
      <c r="R180" t="s">
        <v>3303</v>
      </c>
      <c r="T180" t="s">
        <v>116</v>
      </c>
    </row>
    <row r="181" ht="25.5" customHeight="1" spans="1:20">
      <c r="A181" t="s">
        <v>3115</v>
      </c>
      <c r="B181" t="s">
        <v>65</v>
      </c>
      <c r="C181" t="s">
        <v>3302</v>
      </c>
      <c r="D181" s="3"/>
      <c r="E181" s="2">
        <v>45674</v>
      </c>
      <c r="F181">
        <v>90400</v>
      </c>
      <c r="G181">
        <v>5350</v>
      </c>
      <c r="H181">
        <v>227</v>
      </c>
      <c r="I181">
        <v>2</v>
      </c>
      <c r="L181" t="s">
        <v>3138</v>
      </c>
      <c r="N181" t="s">
        <v>1630</v>
      </c>
      <c r="O181" s="4">
        <v>45695.4754861111</v>
      </c>
      <c r="P181" t="s">
        <v>116</v>
      </c>
      <c r="Q181" t="s">
        <v>1753</v>
      </c>
      <c r="R181" t="s">
        <v>3304</v>
      </c>
      <c r="T181" t="s">
        <v>116</v>
      </c>
    </row>
    <row r="182" ht="25.5" customHeight="1" spans="1:20">
      <c r="A182" t="s">
        <v>3115</v>
      </c>
      <c r="B182" t="s">
        <v>65</v>
      </c>
      <c r="C182" t="s">
        <v>3302</v>
      </c>
      <c r="D182" s="3"/>
      <c r="E182" s="2">
        <v>45677</v>
      </c>
      <c r="F182">
        <v>90500</v>
      </c>
      <c r="G182">
        <v>6771</v>
      </c>
      <c r="H182">
        <v>279</v>
      </c>
      <c r="I182">
        <v>2</v>
      </c>
      <c r="L182" t="s">
        <v>3138</v>
      </c>
      <c r="N182" t="s">
        <v>1630</v>
      </c>
      <c r="O182" s="4">
        <v>45695.4754861111</v>
      </c>
      <c r="P182" t="s">
        <v>116</v>
      </c>
      <c r="Q182" t="s">
        <v>1753</v>
      </c>
      <c r="R182" t="s">
        <v>3305</v>
      </c>
      <c r="T182" t="s">
        <v>116</v>
      </c>
    </row>
    <row r="183" ht="25.5" customHeight="1" spans="1:20">
      <c r="A183" t="s">
        <v>3115</v>
      </c>
      <c r="B183" t="s">
        <v>65</v>
      </c>
      <c r="C183" t="s">
        <v>3302</v>
      </c>
      <c r="D183" s="3"/>
      <c r="E183" s="2">
        <v>45678</v>
      </c>
      <c r="F183">
        <v>90500</v>
      </c>
      <c r="G183">
        <v>6987</v>
      </c>
      <c r="H183">
        <v>291</v>
      </c>
      <c r="I183">
        <v>2</v>
      </c>
      <c r="L183" t="s">
        <v>3138</v>
      </c>
      <c r="N183" t="s">
        <v>1630</v>
      </c>
      <c r="O183" s="4">
        <v>45695.475474537</v>
      </c>
      <c r="P183" t="s">
        <v>116</v>
      </c>
      <c r="Q183" t="s">
        <v>1753</v>
      </c>
      <c r="R183" t="s">
        <v>3306</v>
      </c>
      <c r="T183" t="s">
        <v>116</v>
      </c>
    </row>
    <row r="184" ht="25.5" customHeight="1" spans="1:20">
      <c r="A184" t="s">
        <v>3115</v>
      </c>
      <c r="B184" t="s">
        <v>65</v>
      </c>
      <c r="C184" t="s">
        <v>3302</v>
      </c>
      <c r="D184" s="3"/>
      <c r="E184" s="2">
        <v>45679</v>
      </c>
      <c r="F184">
        <v>90500</v>
      </c>
      <c r="G184">
        <v>6987</v>
      </c>
      <c r="H184">
        <v>291</v>
      </c>
      <c r="I184">
        <v>2</v>
      </c>
      <c r="L184" t="s">
        <v>3138</v>
      </c>
      <c r="N184" t="s">
        <v>1630</v>
      </c>
      <c r="O184" s="4">
        <v>45695.475474537</v>
      </c>
      <c r="P184" t="s">
        <v>116</v>
      </c>
      <c r="Q184" t="s">
        <v>1753</v>
      </c>
      <c r="R184" t="s">
        <v>3306</v>
      </c>
      <c r="T184" t="s">
        <v>116</v>
      </c>
    </row>
    <row r="185" ht="25.5" customHeight="1" spans="1:20">
      <c r="A185" t="s">
        <v>3115</v>
      </c>
      <c r="B185" t="s">
        <v>65</v>
      </c>
      <c r="C185" t="s">
        <v>3302</v>
      </c>
      <c r="D185" s="3"/>
      <c r="E185" s="2">
        <v>45679</v>
      </c>
      <c r="F185">
        <v>90500</v>
      </c>
      <c r="G185">
        <v>7211</v>
      </c>
      <c r="H185">
        <v>297</v>
      </c>
      <c r="I185">
        <v>2</v>
      </c>
      <c r="L185" t="s">
        <v>3138</v>
      </c>
      <c r="N185" t="s">
        <v>1630</v>
      </c>
      <c r="O185" s="4">
        <v>45695.475474537</v>
      </c>
      <c r="P185" t="s">
        <v>116</v>
      </c>
      <c r="Q185" t="s">
        <v>1753</v>
      </c>
      <c r="R185" t="s">
        <v>3307</v>
      </c>
      <c r="T185" t="s">
        <v>116</v>
      </c>
    </row>
    <row r="186" ht="25.5" customHeight="1" spans="1:20">
      <c r="A186" t="s">
        <v>3115</v>
      </c>
      <c r="B186" t="s">
        <v>65</v>
      </c>
      <c r="C186" t="s">
        <v>3302</v>
      </c>
      <c r="D186" s="3"/>
      <c r="E186" s="2">
        <v>45680</v>
      </c>
      <c r="F186">
        <v>90500</v>
      </c>
      <c r="G186">
        <v>7365</v>
      </c>
      <c r="H186">
        <v>301</v>
      </c>
      <c r="I186">
        <v>2</v>
      </c>
      <c r="L186" t="s">
        <v>3138</v>
      </c>
      <c r="N186" t="s">
        <v>1630</v>
      </c>
      <c r="O186" s="4">
        <v>45695.475474537</v>
      </c>
      <c r="P186" t="s">
        <v>116</v>
      </c>
      <c r="Q186" t="s">
        <v>1753</v>
      </c>
      <c r="R186" t="s">
        <v>3308</v>
      </c>
      <c r="T186" t="s">
        <v>116</v>
      </c>
    </row>
    <row r="187" ht="25.5" customHeight="1" spans="1:20">
      <c r="A187" t="s">
        <v>3115</v>
      </c>
      <c r="B187" t="s">
        <v>65</v>
      </c>
      <c r="C187" t="s">
        <v>3302</v>
      </c>
      <c r="D187" s="3"/>
      <c r="E187" s="2">
        <v>45681</v>
      </c>
      <c r="F187">
        <v>90500</v>
      </c>
      <c r="G187">
        <v>7506</v>
      </c>
      <c r="H187">
        <v>304</v>
      </c>
      <c r="I187">
        <v>2</v>
      </c>
      <c r="L187" t="s">
        <v>3138</v>
      </c>
      <c r="N187" t="s">
        <v>1630</v>
      </c>
      <c r="O187" s="4">
        <v>45695.475474537</v>
      </c>
      <c r="P187" t="s">
        <v>116</v>
      </c>
      <c r="Q187" t="s">
        <v>1753</v>
      </c>
      <c r="R187" t="s">
        <v>3309</v>
      </c>
      <c r="T187" t="s">
        <v>116</v>
      </c>
    </row>
    <row r="188" ht="25.5" customHeight="1" spans="1:20">
      <c r="A188" t="s">
        <v>3115</v>
      </c>
      <c r="B188" t="s">
        <v>65</v>
      </c>
      <c r="C188" t="s">
        <v>3302</v>
      </c>
      <c r="D188" s="3"/>
      <c r="E188" s="2">
        <v>45683</v>
      </c>
      <c r="F188">
        <v>90500</v>
      </c>
      <c r="G188">
        <v>7804</v>
      </c>
      <c r="H188">
        <v>315</v>
      </c>
      <c r="I188">
        <v>2</v>
      </c>
      <c r="L188" t="s">
        <v>3138</v>
      </c>
      <c r="N188" t="s">
        <v>1630</v>
      </c>
      <c r="O188" s="4">
        <v>45695.475474537</v>
      </c>
      <c r="P188" t="s">
        <v>116</v>
      </c>
      <c r="Q188" t="s">
        <v>1753</v>
      </c>
      <c r="R188" t="s">
        <v>3310</v>
      </c>
      <c r="T188" t="s">
        <v>116</v>
      </c>
    </row>
    <row r="189" ht="25.5" customHeight="1" spans="1:20">
      <c r="A189" t="s">
        <v>3115</v>
      </c>
      <c r="B189" t="s">
        <v>65</v>
      </c>
      <c r="C189" t="s">
        <v>3302</v>
      </c>
      <c r="D189" s="3"/>
      <c r="E189" s="2">
        <v>45684</v>
      </c>
      <c r="F189">
        <v>90500</v>
      </c>
      <c r="G189">
        <v>7946</v>
      </c>
      <c r="H189">
        <v>318</v>
      </c>
      <c r="I189">
        <v>2</v>
      </c>
      <c r="L189" t="s">
        <v>3138</v>
      </c>
      <c r="N189" t="s">
        <v>1630</v>
      </c>
      <c r="O189" s="4">
        <v>45695.475474537</v>
      </c>
      <c r="P189" t="s">
        <v>116</v>
      </c>
      <c r="Q189" t="s">
        <v>1753</v>
      </c>
      <c r="R189" t="s">
        <v>3311</v>
      </c>
      <c r="T189" t="s">
        <v>116</v>
      </c>
    </row>
    <row r="190" ht="25.5" customHeight="1" spans="1:20">
      <c r="A190" t="s">
        <v>3115</v>
      </c>
      <c r="B190" t="s">
        <v>65</v>
      </c>
      <c r="C190" t="s">
        <v>3302</v>
      </c>
      <c r="D190" s="3"/>
      <c r="E190" s="2">
        <v>45693</v>
      </c>
      <c r="F190">
        <v>90600</v>
      </c>
      <c r="G190">
        <v>8974</v>
      </c>
      <c r="H190">
        <v>343</v>
      </c>
      <c r="I190">
        <v>2</v>
      </c>
      <c r="L190" t="s">
        <v>3138</v>
      </c>
      <c r="N190" t="s">
        <v>1630</v>
      </c>
      <c r="O190" s="4">
        <v>45695.4758333333</v>
      </c>
      <c r="P190" t="s">
        <v>116</v>
      </c>
      <c r="Q190" t="s">
        <v>1753</v>
      </c>
      <c r="R190" t="s">
        <v>3312</v>
      </c>
      <c r="T190" t="s">
        <v>116</v>
      </c>
    </row>
    <row r="191" ht="25.5" customHeight="1" spans="1:20">
      <c r="A191" t="s">
        <v>3115</v>
      </c>
      <c r="B191" t="s">
        <v>65</v>
      </c>
      <c r="C191" t="s">
        <v>3302</v>
      </c>
      <c r="D191" s="3"/>
      <c r="E191" s="2">
        <v>45694</v>
      </c>
      <c r="F191">
        <v>90900</v>
      </c>
      <c r="G191">
        <v>9002</v>
      </c>
      <c r="H191">
        <v>343</v>
      </c>
      <c r="I191">
        <v>2</v>
      </c>
      <c r="L191" t="s">
        <v>3138</v>
      </c>
      <c r="N191" t="s">
        <v>1630</v>
      </c>
      <c r="O191" s="4">
        <v>45698.6216782407</v>
      </c>
      <c r="P191" t="s">
        <v>116</v>
      </c>
      <c r="Q191" t="s">
        <v>1753</v>
      </c>
      <c r="R191" t="s">
        <v>3312</v>
      </c>
      <c r="S191" t="s">
        <v>3180</v>
      </c>
      <c r="T191" t="s">
        <v>116</v>
      </c>
    </row>
    <row r="192" ht="25.5" customHeight="1" spans="1:20">
      <c r="A192" t="s">
        <v>3115</v>
      </c>
      <c r="B192" t="s">
        <v>65</v>
      </c>
      <c r="C192" t="s">
        <v>3302</v>
      </c>
      <c r="D192" s="3"/>
      <c r="E192" s="2">
        <v>45695</v>
      </c>
      <c r="F192">
        <v>90900</v>
      </c>
      <c r="G192">
        <v>9065</v>
      </c>
      <c r="H192">
        <v>345</v>
      </c>
      <c r="I192">
        <v>2</v>
      </c>
      <c r="L192" t="s">
        <v>3138</v>
      </c>
      <c r="N192" t="s">
        <v>1630</v>
      </c>
      <c r="O192" s="4">
        <v>45696.4453356481</v>
      </c>
      <c r="P192" t="s">
        <v>116</v>
      </c>
      <c r="Q192" t="s">
        <v>1753</v>
      </c>
      <c r="R192" t="s">
        <v>3313</v>
      </c>
      <c r="T192" t="s">
        <v>116</v>
      </c>
    </row>
    <row r="193" ht="25.5" customHeight="1" spans="1:20">
      <c r="A193" t="s">
        <v>3115</v>
      </c>
      <c r="B193" t="s">
        <v>65</v>
      </c>
      <c r="C193" t="s">
        <v>3302</v>
      </c>
      <c r="D193" s="3"/>
      <c r="E193" s="2">
        <v>45696</v>
      </c>
      <c r="F193">
        <v>90900</v>
      </c>
      <c r="G193">
        <v>9116</v>
      </c>
      <c r="H193">
        <v>345</v>
      </c>
      <c r="I193">
        <v>2</v>
      </c>
      <c r="L193" t="s">
        <v>3138</v>
      </c>
      <c r="N193" t="s">
        <v>1630</v>
      </c>
      <c r="O193" s="4">
        <v>45696.4453472222</v>
      </c>
      <c r="P193" t="s">
        <v>116</v>
      </c>
      <c r="Q193" t="s">
        <v>1753</v>
      </c>
      <c r="R193" t="s">
        <v>3313</v>
      </c>
      <c r="T193" t="s">
        <v>116</v>
      </c>
    </row>
    <row r="194" ht="25.5" customHeight="1" spans="1:20">
      <c r="A194" t="s">
        <v>2567</v>
      </c>
      <c r="B194" t="s">
        <v>56</v>
      </c>
      <c r="C194" t="s">
        <v>3314</v>
      </c>
      <c r="D194" s="3"/>
      <c r="E194" s="2">
        <v>45673</v>
      </c>
      <c r="F194">
        <v>445900</v>
      </c>
      <c r="G194">
        <v>880</v>
      </c>
      <c r="H194">
        <v>76</v>
      </c>
      <c r="I194">
        <v>3</v>
      </c>
      <c r="J194">
        <v>35</v>
      </c>
      <c r="K194">
        <v>9</v>
      </c>
      <c r="L194" t="s">
        <v>3260</v>
      </c>
      <c r="M194" t="s">
        <v>3225</v>
      </c>
      <c r="N194" t="s">
        <v>1630</v>
      </c>
      <c r="O194" s="4">
        <v>45673.5122916667</v>
      </c>
      <c r="P194" t="s">
        <v>57</v>
      </c>
      <c r="Q194" t="s">
        <v>1753</v>
      </c>
      <c r="R194" t="s">
        <v>3315</v>
      </c>
      <c r="T194" t="s">
        <v>57</v>
      </c>
    </row>
    <row r="195" ht="25.5" customHeight="1" spans="1:20">
      <c r="A195" t="s">
        <v>2567</v>
      </c>
      <c r="B195" t="s">
        <v>56</v>
      </c>
      <c r="C195" t="s">
        <v>3314</v>
      </c>
      <c r="D195" s="3"/>
      <c r="E195" s="2">
        <v>45674</v>
      </c>
      <c r="F195">
        <v>445800</v>
      </c>
      <c r="G195">
        <v>1267</v>
      </c>
      <c r="H195">
        <v>99</v>
      </c>
      <c r="I195">
        <v>3</v>
      </c>
      <c r="J195">
        <v>45</v>
      </c>
      <c r="K195">
        <v>9</v>
      </c>
      <c r="L195" t="s">
        <v>3230</v>
      </c>
      <c r="M195" t="s">
        <v>3225</v>
      </c>
      <c r="N195" t="s">
        <v>1630</v>
      </c>
      <c r="O195" s="4">
        <v>45674.6649189815</v>
      </c>
      <c r="P195" t="s">
        <v>57</v>
      </c>
      <c r="Q195" t="s">
        <v>1753</v>
      </c>
      <c r="R195" t="s">
        <v>3316</v>
      </c>
      <c r="T195" t="s">
        <v>57</v>
      </c>
    </row>
    <row r="196" ht="25.5" customHeight="1" spans="1:20">
      <c r="A196" t="s">
        <v>2567</v>
      </c>
      <c r="B196" t="s">
        <v>56</v>
      </c>
      <c r="C196" t="s">
        <v>3314</v>
      </c>
      <c r="D196" s="3"/>
      <c r="E196" s="2">
        <v>45677</v>
      </c>
      <c r="F196">
        <v>445600</v>
      </c>
      <c r="G196">
        <v>1543</v>
      </c>
      <c r="H196">
        <v>113</v>
      </c>
      <c r="I196">
        <v>3</v>
      </c>
      <c r="J196">
        <v>50</v>
      </c>
      <c r="K196">
        <v>16</v>
      </c>
      <c r="L196" t="s">
        <v>3230</v>
      </c>
      <c r="M196" t="s">
        <v>3225</v>
      </c>
      <c r="N196" t="s">
        <v>1630</v>
      </c>
      <c r="O196" s="4">
        <v>45677.421087963</v>
      </c>
      <c r="P196" t="s">
        <v>57</v>
      </c>
      <c r="Q196" t="s">
        <v>1753</v>
      </c>
      <c r="R196" t="s">
        <v>3184</v>
      </c>
      <c r="T196" t="s">
        <v>57</v>
      </c>
    </row>
    <row r="197" ht="25.5" customHeight="1" spans="1:20">
      <c r="A197" t="s">
        <v>2567</v>
      </c>
      <c r="B197" t="s">
        <v>56</v>
      </c>
      <c r="C197" t="s">
        <v>3314</v>
      </c>
      <c r="D197" s="3"/>
      <c r="E197" s="2">
        <v>45678</v>
      </c>
      <c r="F197">
        <v>445500</v>
      </c>
      <c r="G197">
        <v>1639</v>
      </c>
      <c r="H197">
        <v>117</v>
      </c>
      <c r="I197">
        <v>3</v>
      </c>
      <c r="J197">
        <v>52</v>
      </c>
      <c r="K197">
        <v>16</v>
      </c>
      <c r="L197" t="s">
        <v>3317</v>
      </c>
      <c r="M197" t="s">
        <v>3225</v>
      </c>
      <c r="N197" t="s">
        <v>1630</v>
      </c>
      <c r="O197" s="4">
        <v>45678.612037037</v>
      </c>
      <c r="P197" t="s">
        <v>57</v>
      </c>
      <c r="Q197" t="s">
        <v>1753</v>
      </c>
      <c r="R197" t="s">
        <v>3318</v>
      </c>
      <c r="T197" t="s">
        <v>57</v>
      </c>
    </row>
    <row r="198" ht="25.5" customHeight="1" spans="1:20">
      <c r="A198" t="s">
        <v>2567</v>
      </c>
      <c r="B198" t="s">
        <v>56</v>
      </c>
      <c r="C198" t="s">
        <v>3314</v>
      </c>
      <c r="D198" s="3"/>
      <c r="E198" s="2">
        <v>45679</v>
      </c>
      <c r="F198">
        <v>445500</v>
      </c>
      <c r="G198">
        <v>1787</v>
      </c>
      <c r="H198">
        <v>124</v>
      </c>
      <c r="I198">
        <v>3</v>
      </c>
      <c r="J198">
        <v>58</v>
      </c>
      <c r="K198">
        <v>19</v>
      </c>
      <c r="L198" t="s">
        <v>3317</v>
      </c>
      <c r="M198" t="s">
        <v>3225</v>
      </c>
      <c r="N198" t="s">
        <v>1630</v>
      </c>
      <c r="O198" s="4">
        <v>45679.685787037</v>
      </c>
      <c r="P198" t="s">
        <v>57</v>
      </c>
      <c r="Q198" t="s">
        <v>1753</v>
      </c>
      <c r="R198" t="s">
        <v>3319</v>
      </c>
      <c r="T198" t="s">
        <v>57</v>
      </c>
    </row>
    <row r="199" ht="25.5" customHeight="1" spans="1:20">
      <c r="A199" t="s">
        <v>2567</v>
      </c>
      <c r="B199" t="s">
        <v>56</v>
      </c>
      <c r="C199" t="s">
        <v>3314</v>
      </c>
      <c r="D199" s="3"/>
      <c r="E199" s="2">
        <v>45680</v>
      </c>
      <c r="F199">
        <v>445400</v>
      </c>
      <c r="G199">
        <v>1897</v>
      </c>
      <c r="H199">
        <v>128</v>
      </c>
      <c r="I199">
        <v>3</v>
      </c>
      <c r="J199">
        <v>58</v>
      </c>
      <c r="K199">
        <v>20</v>
      </c>
      <c r="L199" t="s">
        <v>3317</v>
      </c>
      <c r="M199" t="s">
        <v>3225</v>
      </c>
      <c r="N199" t="s">
        <v>1630</v>
      </c>
      <c r="O199" s="4">
        <v>45680.6380902778</v>
      </c>
      <c r="P199" t="s">
        <v>57</v>
      </c>
      <c r="Q199" t="s">
        <v>1753</v>
      </c>
      <c r="R199" t="s">
        <v>3223</v>
      </c>
      <c r="T199" t="s">
        <v>57</v>
      </c>
    </row>
    <row r="200" ht="25.5" customHeight="1" spans="1:20">
      <c r="A200" t="s">
        <v>2567</v>
      </c>
      <c r="B200" t="s">
        <v>56</v>
      </c>
      <c r="C200" t="s">
        <v>3314</v>
      </c>
      <c r="D200" s="3"/>
      <c r="E200" s="2">
        <v>45681</v>
      </c>
      <c r="F200">
        <v>445400</v>
      </c>
      <c r="G200">
        <v>1986</v>
      </c>
      <c r="H200">
        <v>133</v>
      </c>
      <c r="I200">
        <v>3</v>
      </c>
      <c r="J200">
        <v>59</v>
      </c>
      <c r="K200">
        <v>21</v>
      </c>
      <c r="L200" t="s">
        <v>3317</v>
      </c>
      <c r="M200" t="s">
        <v>3225</v>
      </c>
      <c r="N200" t="s">
        <v>1630</v>
      </c>
      <c r="O200" s="4">
        <v>45681.5979861111</v>
      </c>
      <c r="P200" t="s">
        <v>57</v>
      </c>
      <c r="Q200" t="s">
        <v>1753</v>
      </c>
      <c r="R200" t="s">
        <v>3320</v>
      </c>
      <c r="T200" t="s">
        <v>57</v>
      </c>
    </row>
    <row r="201" ht="25.5" customHeight="1" spans="1:20">
      <c r="A201" t="s">
        <v>2567</v>
      </c>
      <c r="B201" t="s">
        <v>56</v>
      </c>
      <c r="C201" t="s">
        <v>3314</v>
      </c>
      <c r="D201" s="3"/>
      <c r="E201" s="2">
        <v>45683</v>
      </c>
      <c r="F201">
        <v>445300</v>
      </c>
      <c r="G201">
        <v>2067</v>
      </c>
      <c r="H201">
        <v>137</v>
      </c>
      <c r="I201">
        <v>3</v>
      </c>
      <c r="J201">
        <v>64</v>
      </c>
      <c r="K201">
        <v>21</v>
      </c>
      <c r="L201" t="s">
        <v>3317</v>
      </c>
      <c r="M201" t="s">
        <v>3225</v>
      </c>
      <c r="N201" t="s">
        <v>1630</v>
      </c>
      <c r="O201" s="4">
        <v>45683.7533101852</v>
      </c>
      <c r="P201" t="s">
        <v>57</v>
      </c>
      <c r="Q201" t="s">
        <v>1753</v>
      </c>
      <c r="R201" t="s">
        <v>3321</v>
      </c>
      <c r="T201" t="s">
        <v>57</v>
      </c>
    </row>
    <row r="202" ht="25.5" customHeight="1" spans="1:20">
      <c r="A202" t="s">
        <v>2567</v>
      </c>
      <c r="B202" t="s">
        <v>56</v>
      </c>
      <c r="C202" t="s">
        <v>3314</v>
      </c>
      <c r="D202" s="3"/>
      <c r="E202" s="2">
        <v>45684</v>
      </c>
      <c r="F202">
        <v>445200</v>
      </c>
      <c r="G202">
        <v>2113</v>
      </c>
      <c r="H202">
        <v>139</v>
      </c>
      <c r="I202">
        <v>3</v>
      </c>
      <c r="J202">
        <v>65</v>
      </c>
      <c r="K202">
        <v>21</v>
      </c>
      <c r="L202" t="s">
        <v>3317</v>
      </c>
      <c r="M202" t="s">
        <v>3225</v>
      </c>
      <c r="N202" t="s">
        <v>1630</v>
      </c>
      <c r="O202" s="4">
        <v>45684.8087384259</v>
      </c>
      <c r="P202" t="s">
        <v>57</v>
      </c>
      <c r="Q202" t="s">
        <v>1753</v>
      </c>
      <c r="R202" t="s">
        <v>3322</v>
      </c>
      <c r="T202" t="s">
        <v>57</v>
      </c>
    </row>
    <row r="203" ht="25.5" customHeight="1" spans="1:20">
      <c r="A203" t="s">
        <v>2567</v>
      </c>
      <c r="B203" t="s">
        <v>56</v>
      </c>
      <c r="C203" t="s">
        <v>3314</v>
      </c>
      <c r="D203" s="3"/>
      <c r="E203" s="2">
        <v>45693</v>
      </c>
      <c r="F203">
        <v>444700</v>
      </c>
      <c r="G203">
        <v>2485</v>
      </c>
      <c r="H203">
        <v>155</v>
      </c>
      <c r="I203">
        <v>3</v>
      </c>
      <c r="J203">
        <v>72</v>
      </c>
      <c r="K203">
        <v>23</v>
      </c>
      <c r="L203" t="s">
        <v>3248</v>
      </c>
      <c r="M203" t="s">
        <v>3225</v>
      </c>
      <c r="N203" t="s">
        <v>1630</v>
      </c>
      <c r="O203" s="4">
        <v>45693.7967013889</v>
      </c>
      <c r="P203" t="s">
        <v>57</v>
      </c>
      <c r="Q203" t="s">
        <v>1753</v>
      </c>
      <c r="R203" t="s">
        <v>3323</v>
      </c>
      <c r="T203" t="s">
        <v>57</v>
      </c>
    </row>
    <row r="204" ht="25.5" customHeight="1" spans="1:20">
      <c r="A204" t="s">
        <v>2567</v>
      </c>
      <c r="B204" t="s">
        <v>56</v>
      </c>
      <c r="C204" t="s">
        <v>3314</v>
      </c>
      <c r="D204" s="3"/>
      <c r="E204" s="2">
        <v>45694</v>
      </c>
      <c r="F204">
        <v>444700</v>
      </c>
      <c r="G204">
        <v>2504</v>
      </c>
      <c r="H204">
        <v>156</v>
      </c>
      <c r="I204">
        <v>3</v>
      </c>
      <c r="J204">
        <v>73</v>
      </c>
      <c r="K204">
        <v>23</v>
      </c>
      <c r="L204" t="s">
        <v>3248</v>
      </c>
      <c r="M204" t="s">
        <v>3225</v>
      </c>
      <c r="N204" t="s">
        <v>1630</v>
      </c>
      <c r="O204" s="4">
        <v>45698.6216782407</v>
      </c>
      <c r="P204" t="s">
        <v>57</v>
      </c>
      <c r="Q204" t="s">
        <v>1753</v>
      </c>
      <c r="R204" t="s">
        <v>3324</v>
      </c>
      <c r="S204" t="s">
        <v>3245</v>
      </c>
      <c r="T204" t="s">
        <v>57</v>
      </c>
    </row>
    <row r="205" ht="25.5" customHeight="1" spans="1:20">
      <c r="A205" t="s">
        <v>2567</v>
      </c>
      <c r="B205" t="s">
        <v>56</v>
      </c>
      <c r="C205" t="s">
        <v>3314</v>
      </c>
      <c r="D205" s="3"/>
      <c r="E205" s="2">
        <v>45695</v>
      </c>
      <c r="F205">
        <v>444700</v>
      </c>
      <c r="G205">
        <v>2575</v>
      </c>
      <c r="H205">
        <v>161</v>
      </c>
      <c r="I205">
        <v>3</v>
      </c>
      <c r="J205">
        <v>76</v>
      </c>
      <c r="K205">
        <v>23</v>
      </c>
      <c r="L205" t="s">
        <v>3248</v>
      </c>
      <c r="M205" t="s">
        <v>3225</v>
      </c>
      <c r="N205" t="s">
        <v>1630</v>
      </c>
      <c r="O205" s="4">
        <v>45695.6926157407</v>
      </c>
      <c r="P205" t="s">
        <v>57</v>
      </c>
      <c r="Q205" t="s">
        <v>1753</v>
      </c>
      <c r="R205" t="s">
        <v>3325</v>
      </c>
      <c r="T205" t="s">
        <v>57</v>
      </c>
    </row>
    <row r="206" ht="25.5" customHeight="1" spans="1:20">
      <c r="A206" t="s">
        <v>2567</v>
      </c>
      <c r="B206" t="s">
        <v>56</v>
      </c>
      <c r="C206" t="s">
        <v>3314</v>
      </c>
      <c r="D206" s="3"/>
      <c r="E206" s="2">
        <v>45696</v>
      </c>
      <c r="F206">
        <v>444600</v>
      </c>
      <c r="G206">
        <v>2620</v>
      </c>
      <c r="H206">
        <v>165</v>
      </c>
      <c r="I206">
        <v>3</v>
      </c>
      <c r="J206">
        <v>76</v>
      </c>
      <c r="K206">
        <v>23</v>
      </c>
      <c r="L206" t="s">
        <v>3248</v>
      </c>
      <c r="M206" t="s">
        <v>3225</v>
      </c>
      <c r="N206" t="s">
        <v>1630</v>
      </c>
      <c r="O206" s="4">
        <v>45696.4278472222</v>
      </c>
      <c r="P206" t="s">
        <v>57</v>
      </c>
      <c r="Q206" t="s">
        <v>1753</v>
      </c>
      <c r="R206" t="s">
        <v>3326</v>
      </c>
      <c r="T206" t="s">
        <v>57</v>
      </c>
    </row>
    <row r="207" ht="25.5" customHeight="1" spans="1:20">
      <c r="A207" t="s">
        <v>3114</v>
      </c>
      <c r="B207" t="s">
        <v>65</v>
      </c>
      <c r="C207" t="s">
        <v>3327</v>
      </c>
      <c r="D207" s="3" t="str">
        <f>HYPERLINK("https://www.instagram.com/andresnotes_/reels/","https://www.instagram.com/andresnotes_/reels/")</f>
        <v>https://www.instagram.com/andresnotes_/reels/</v>
      </c>
      <c r="E207" s="2">
        <v>45673</v>
      </c>
      <c r="F207">
        <v>41100</v>
      </c>
      <c r="G207">
        <v>3270</v>
      </c>
      <c r="H207">
        <v>85</v>
      </c>
      <c r="I207">
        <v>2</v>
      </c>
      <c r="L207" t="s">
        <v>3138</v>
      </c>
      <c r="N207" t="s">
        <v>1630</v>
      </c>
      <c r="O207" s="4">
        <v>45678.4934027778</v>
      </c>
      <c r="P207" t="s">
        <v>116</v>
      </c>
      <c r="Q207" t="s">
        <v>1753</v>
      </c>
      <c r="R207" t="s">
        <v>3328</v>
      </c>
      <c r="T207" t="s">
        <v>116</v>
      </c>
    </row>
    <row r="208" ht="25.5" customHeight="1" spans="1:20">
      <c r="A208" t="s">
        <v>3114</v>
      </c>
      <c r="B208" t="s">
        <v>65</v>
      </c>
      <c r="C208" t="s">
        <v>3327</v>
      </c>
      <c r="D208" s="3"/>
      <c r="E208" s="2">
        <v>45674</v>
      </c>
      <c r="F208">
        <v>41100</v>
      </c>
      <c r="G208">
        <v>6226</v>
      </c>
      <c r="H208">
        <v>166</v>
      </c>
      <c r="I208">
        <v>2</v>
      </c>
      <c r="L208" t="s">
        <v>3138</v>
      </c>
      <c r="N208" t="s">
        <v>1630</v>
      </c>
      <c r="O208" s="4">
        <v>45674.6177777778</v>
      </c>
      <c r="P208" t="s">
        <v>116</v>
      </c>
      <c r="Q208" t="s">
        <v>1753</v>
      </c>
      <c r="R208" t="s">
        <v>3329</v>
      </c>
      <c r="T208" t="s">
        <v>116</v>
      </c>
    </row>
    <row r="209" ht="25.5" customHeight="1" spans="1:20">
      <c r="A209" t="s">
        <v>3114</v>
      </c>
      <c r="B209" t="s">
        <v>65</v>
      </c>
      <c r="C209" t="s">
        <v>3327</v>
      </c>
      <c r="D209" s="3"/>
      <c r="E209" s="2">
        <v>45677</v>
      </c>
      <c r="F209">
        <v>41000</v>
      </c>
      <c r="G209">
        <v>7204</v>
      </c>
      <c r="H209">
        <v>203</v>
      </c>
      <c r="I209">
        <v>2</v>
      </c>
      <c r="L209" t="s">
        <v>3138</v>
      </c>
      <c r="N209" t="s">
        <v>1630</v>
      </c>
      <c r="O209" s="4">
        <v>45677.3879050926</v>
      </c>
      <c r="P209" t="s">
        <v>116</v>
      </c>
      <c r="Q209" t="s">
        <v>1753</v>
      </c>
      <c r="R209" t="s">
        <v>3330</v>
      </c>
      <c r="T209" t="s">
        <v>116</v>
      </c>
    </row>
    <row r="210" ht="25.5" customHeight="1" spans="1:20">
      <c r="A210" t="s">
        <v>3114</v>
      </c>
      <c r="B210" t="s">
        <v>65</v>
      </c>
      <c r="C210" t="s">
        <v>3327</v>
      </c>
      <c r="D210" s="3"/>
      <c r="E210" s="2">
        <v>45678</v>
      </c>
      <c r="F210">
        <v>41000</v>
      </c>
      <c r="G210">
        <v>7468</v>
      </c>
      <c r="H210">
        <v>213</v>
      </c>
      <c r="I210">
        <v>2</v>
      </c>
      <c r="L210" t="s">
        <v>3331</v>
      </c>
      <c r="N210" t="s">
        <v>1630</v>
      </c>
      <c r="O210" s="4">
        <v>45678.4935416667</v>
      </c>
      <c r="P210" t="s">
        <v>116</v>
      </c>
      <c r="Q210" t="s">
        <v>1753</v>
      </c>
      <c r="R210" t="s">
        <v>3332</v>
      </c>
      <c r="T210" t="s">
        <v>116</v>
      </c>
    </row>
    <row r="211" ht="25.5" customHeight="1" spans="1:20">
      <c r="A211" t="s">
        <v>3114</v>
      </c>
      <c r="B211" t="s">
        <v>65</v>
      </c>
      <c r="C211" t="s">
        <v>3327</v>
      </c>
      <c r="D211" s="3"/>
      <c r="E211" s="2">
        <v>45679</v>
      </c>
      <c r="F211">
        <v>41000</v>
      </c>
      <c r="G211">
        <v>7577</v>
      </c>
      <c r="H211">
        <v>216</v>
      </c>
      <c r="I211">
        <v>2</v>
      </c>
      <c r="L211" t="s">
        <v>3331</v>
      </c>
      <c r="N211" t="s">
        <v>1630</v>
      </c>
      <c r="O211" s="4">
        <v>45679.6568402778</v>
      </c>
      <c r="P211" t="s">
        <v>116</v>
      </c>
      <c r="Q211" t="s">
        <v>1753</v>
      </c>
      <c r="R211" t="s">
        <v>3333</v>
      </c>
      <c r="T211" t="s">
        <v>116</v>
      </c>
    </row>
    <row r="212" ht="25.5" customHeight="1" spans="1:20">
      <c r="A212" t="s">
        <v>3114</v>
      </c>
      <c r="B212" t="s">
        <v>65</v>
      </c>
      <c r="C212" t="s">
        <v>3327</v>
      </c>
      <c r="D212" s="3"/>
      <c r="E212" s="2">
        <v>45680</v>
      </c>
      <c r="F212">
        <v>40900</v>
      </c>
      <c r="G212">
        <v>7678</v>
      </c>
      <c r="H212">
        <v>220</v>
      </c>
      <c r="I212">
        <v>2</v>
      </c>
      <c r="L212" t="s">
        <v>3331</v>
      </c>
      <c r="N212" t="s">
        <v>1630</v>
      </c>
      <c r="O212" s="4">
        <v>45680.5040740741</v>
      </c>
      <c r="P212" t="s">
        <v>116</v>
      </c>
      <c r="Q212" t="s">
        <v>1753</v>
      </c>
      <c r="R212" t="s">
        <v>3334</v>
      </c>
      <c r="T212" t="s">
        <v>116</v>
      </c>
    </row>
    <row r="213" ht="25.5" customHeight="1" spans="1:20">
      <c r="A213" t="s">
        <v>3114</v>
      </c>
      <c r="B213" t="s">
        <v>65</v>
      </c>
      <c r="C213" t="s">
        <v>3327</v>
      </c>
      <c r="D213" s="3"/>
      <c r="E213" s="2">
        <v>45681</v>
      </c>
      <c r="F213">
        <v>40900</v>
      </c>
      <c r="G213">
        <v>7756</v>
      </c>
      <c r="H213">
        <v>224</v>
      </c>
      <c r="I213">
        <v>2</v>
      </c>
      <c r="L213" t="s">
        <v>3331</v>
      </c>
      <c r="N213" t="s">
        <v>1630</v>
      </c>
      <c r="O213" s="4">
        <v>45681.4772453704</v>
      </c>
      <c r="P213" t="s">
        <v>116</v>
      </c>
      <c r="Q213" t="s">
        <v>1753</v>
      </c>
      <c r="R213" t="s">
        <v>3335</v>
      </c>
      <c r="T213" t="s">
        <v>116</v>
      </c>
    </row>
    <row r="214" ht="25.5" customHeight="1" spans="1:20">
      <c r="A214" t="s">
        <v>3114</v>
      </c>
      <c r="B214" t="s">
        <v>65</v>
      </c>
      <c r="C214" t="s">
        <v>3327</v>
      </c>
      <c r="D214" s="3"/>
      <c r="E214" s="2">
        <v>45683</v>
      </c>
      <c r="F214">
        <v>40800</v>
      </c>
      <c r="G214">
        <v>7951</v>
      </c>
      <c r="H214">
        <v>230</v>
      </c>
      <c r="I214">
        <v>2</v>
      </c>
      <c r="L214" t="s">
        <v>3331</v>
      </c>
      <c r="N214" t="s">
        <v>1630</v>
      </c>
      <c r="O214" s="4">
        <v>45683.7063888889</v>
      </c>
      <c r="P214" t="s">
        <v>116</v>
      </c>
      <c r="Q214" t="s">
        <v>1753</v>
      </c>
      <c r="R214" t="s">
        <v>3336</v>
      </c>
      <c r="T214" t="s">
        <v>116</v>
      </c>
    </row>
    <row r="215" ht="25.5" customHeight="1" spans="1:20">
      <c r="A215" t="s">
        <v>3114</v>
      </c>
      <c r="B215" t="s">
        <v>65</v>
      </c>
      <c r="C215" t="s">
        <v>3327</v>
      </c>
      <c r="D215" s="3"/>
      <c r="E215" s="2">
        <v>45684</v>
      </c>
      <c r="F215">
        <v>40700</v>
      </c>
      <c r="G215">
        <v>8038</v>
      </c>
      <c r="H215">
        <v>232</v>
      </c>
      <c r="I215">
        <v>2</v>
      </c>
      <c r="L215" t="s">
        <v>3331</v>
      </c>
      <c r="N215" t="s">
        <v>1630</v>
      </c>
      <c r="O215" s="4">
        <v>45684.7628009259</v>
      </c>
      <c r="P215" t="s">
        <v>116</v>
      </c>
      <c r="Q215" t="s">
        <v>1753</v>
      </c>
      <c r="R215" t="s">
        <v>3191</v>
      </c>
      <c r="T215" t="s">
        <v>116</v>
      </c>
    </row>
    <row r="216" ht="25.5" customHeight="1" spans="1:20">
      <c r="A216" t="s">
        <v>3114</v>
      </c>
      <c r="B216" t="s">
        <v>65</v>
      </c>
      <c r="C216" t="s">
        <v>3327</v>
      </c>
      <c r="D216" s="3"/>
      <c r="E216" s="2">
        <v>45693</v>
      </c>
      <c r="F216">
        <v>40700</v>
      </c>
      <c r="G216">
        <v>8291</v>
      </c>
      <c r="H216">
        <v>238</v>
      </c>
      <c r="I216">
        <v>2</v>
      </c>
      <c r="L216" t="s">
        <v>3331</v>
      </c>
      <c r="N216" t="s">
        <v>1630</v>
      </c>
      <c r="O216" s="4">
        <v>45693.7616087963</v>
      </c>
      <c r="P216" t="s">
        <v>116</v>
      </c>
      <c r="Q216" t="s">
        <v>1753</v>
      </c>
      <c r="R216" t="s">
        <v>3337</v>
      </c>
      <c r="T216" t="s">
        <v>116</v>
      </c>
    </row>
    <row r="217" ht="25.5" customHeight="1" spans="1:20">
      <c r="A217" t="s">
        <v>3114</v>
      </c>
      <c r="B217" t="s">
        <v>65</v>
      </c>
      <c r="C217" t="s">
        <v>3327</v>
      </c>
      <c r="D217" s="3"/>
      <c r="E217" s="2">
        <v>45694</v>
      </c>
      <c r="F217">
        <v>40400</v>
      </c>
      <c r="G217">
        <v>8294</v>
      </c>
      <c r="H217">
        <v>238</v>
      </c>
      <c r="I217">
        <v>2</v>
      </c>
      <c r="L217" t="s">
        <v>3331</v>
      </c>
      <c r="N217" t="s">
        <v>1630</v>
      </c>
      <c r="O217" s="4">
        <v>45698.6216782407</v>
      </c>
      <c r="P217" t="s">
        <v>116</v>
      </c>
      <c r="Q217" t="s">
        <v>1753</v>
      </c>
      <c r="R217" t="s">
        <v>3337</v>
      </c>
      <c r="S217" t="s">
        <v>3180</v>
      </c>
      <c r="T217" t="s">
        <v>116</v>
      </c>
    </row>
    <row r="218" ht="25.5" customHeight="1" spans="1:20">
      <c r="A218" t="s">
        <v>3114</v>
      </c>
      <c r="B218" t="s">
        <v>65</v>
      </c>
      <c r="C218" t="s">
        <v>3327</v>
      </c>
      <c r="D218" s="3"/>
      <c r="E218" s="2">
        <v>45695</v>
      </c>
      <c r="F218">
        <v>40400</v>
      </c>
      <c r="G218">
        <v>8304</v>
      </c>
      <c r="H218">
        <v>238</v>
      </c>
      <c r="I218">
        <v>2</v>
      </c>
      <c r="L218" t="s">
        <v>3331</v>
      </c>
      <c r="N218" t="s">
        <v>1630</v>
      </c>
      <c r="O218" s="4">
        <v>45695.4765856481</v>
      </c>
      <c r="P218" t="s">
        <v>116</v>
      </c>
      <c r="Q218" t="s">
        <v>1753</v>
      </c>
      <c r="R218" t="s">
        <v>3337</v>
      </c>
      <c r="T218" t="s">
        <v>116</v>
      </c>
    </row>
    <row r="219" ht="25.5" customHeight="1" spans="1:20">
      <c r="A219" t="s">
        <v>3114</v>
      </c>
      <c r="B219" t="s">
        <v>65</v>
      </c>
      <c r="C219" t="s">
        <v>3327</v>
      </c>
      <c r="D219" s="3"/>
      <c r="E219" s="2">
        <v>45696</v>
      </c>
      <c r="F219">
        <v>40400</v>
      </c>
      <c r="G219">
        <v>8316</v>
      </c>
      <c r="H219">
        <v>238</v>
      </c>
      <c r="I219">
        <v>2</v>
      </c>
      <c r="L219" t="s">
        <v>3331</v>
      </c>
      <c r="N219" t="s">
        <v>1630</v>
      </c>
      <c r="O219" s="4">
        <v>45696.4454513889</v>
      </c>
      <c r="P219" t="s">
        <v>116</v>
      </c>
      <c r="Q219" t="s">
        <v>1753</v>
      </c>
      <c r="R219" t="s">
        <v>3337</v>
      </c>
      <c r="T219" t="s">
        <v>116</v>
      </c>
    </row>
    <row r="220" ht="25.5" customHeight="1" spans="1:20">
      <c r="A220" t="s">
        <v>2972</v>
      </c>
      <c r="B220" t="s">
        <v>56</v>
      </c>
      <c r="C220" t="s">
        <v>3338</v>
      </c>
      <c r="D220" s="3"/>
      <c r="E220" s="2">
        <v>45673</v>
      </c>
      <c r="F220">
        <v>132900</v>
      </c>
      <c r="G220">
        <v>825</v>
      </c>
      <c r="H220">
        <v>60</v>
      </c>
      <c r="I220">
        <v>1</v>
      </c>
      <c r="J220">
        <v>30</v>
      </c>
      <c r="K220">
        <v>1</v>
      </c>
      <c r="L220" t="s">
        <v>3317</v>
      </c>
      <c r="M220" t="s">
        <v>3339</v>
      </c>
      <c r="N220" t="s">
        <v>1630</v>
      </c>
      <c r="O220" s="4">
        <v>45673.515150463</v>
      </c>
      <c r="P220" t="s">
        <v>57</v>
      </c>
      <c r="Q220" t="s">
        <v>1753</v>
      </c>
      <c r="R220" t="s">
        <v>3340</v>
      </c>
      <c r="T220" t="s">
        <v>57</v>
      </c>
    </row>
    <row r="221" ht="25.5" customHeight="1" spans="1:20">
      <c r="A221" t="s">
        <v>2972</v>
      </c>
      <c r="B221" t="s">
        <v>56</v>
      </c>
      <c r="C221" t="s">
        <v>3338</v>
      </c>
      <c r="D221" s="3"/>
      <c r="E221" s="2">
        <v>45674</v>
      </c>
      <c r="F221">
        <v>133100</v>
      </c>
      <c r="G221">
        <v>2627</v>
      </c>
      <c r="H221">
        <v>146</v>
      </c>
      <c r="I221">
        <v>1</v>
      </c>
      <c r="J221">
        <v>97</v>
      </c>
      <c r="K221">
        <v>11</v>
      </c>
      <c r="L221" t="s">
        <v>3258</v>
      </c>
      <c r="M221" t="s">
        <v>3339</v>
      </c>
      <c r="N221" t="s">
        <v>1630</v>
      </c>
      <c r="O221" s="4">
        <v>45674.6651273148</v>
      </c>
      <c r="P221" t="s">
        <v>57</v>
      </c>
      <c r="Q221" t="s">
        <v>1753</v>
      </c>
      <c r="R221" t="s">
        <v>3324</v>
      </c>
      <c r="T221" t="s">
        <v>57</v>
      </c>
    </row>
    <row r="222" ht="25.5" customHeight="1" spans="1:20">
      <c r="A222" t="s">
        <v>2972</v>
      </c>
      <c r="B222" t="s">
        <v>56</v>
      </c>
      <c r="C222" t="s">
        <v>3338</v>
      </c>
      <c r="D222" s="3"/>
      <c r="E222" s="2">
        <v>45677</v>
      </c>
      <c r="F222">
        <v>133300</v>
      </c>
      <c r="G222">
        <v>8728</v>
      </c>
      <c r="H222">
        <v>353</v>
      </c>
      <c r="I222">
        <v>3</v>
      </c>
      <c r="J222">
        <v>272</v>
      </c>
      <c r="K222">
        <v>147</v>
      </c>
      <c r="L222" t="s">
        <v>3258</v>
      </c>
      <c r="M222" t="s">
        <v>3339</v>
      </c>
      <c r="N222" t="s">
        <v>1630</v>
      </c>
      <c r="O222" s="4">
        <v>45677.4216898148</v>
      </c>
      <c r="P222" t="s">
        <v>57</v>
      </c>
      <c r="Q222" t="s">
        <v>1753</v>
      </c>
      <c r="R222" t="s">
        <v>3296</v>
      </c>
      <c r="T222" t="s">
        <v>57</v>
      </c>
    </row>
    <row r="223" ht="25.5" customHeight="1" spans="1:20">
      <c r="A223" t="s">
        <v>2972</v>
      </c>
      <c r="B223" t="s">
        <v>56</v>
      </c>
      <c r="C223" t="s">
        <v>3338</v>
      </c>
      <c r="D223" s="3"/>
      <c r="E223" s="2">
        <v>45678</v>
      </c>
      <c r="F223">
        <v>133300</v>
      </c>
      <c r="G223">
        <v>9567</v>
      </c>
      <c r="H223">
        <v>379</v>
      </c>
      <c r="I223">
        <v>3</v>
      </c>
      <c r="J223">
        <v>296</v>
      </c>
      <c r="K223">
        <v>159</v>
      </c>
      <c r="L223" t="s">
        <v>3258</v>
      </c>
      <c r="M223" t="s">
        <v>3339</v>
      </c>
      <c r="N223" t="s">
        <v>1630</v>
      </c>
      <c r="O223" s="4">
        <v>45678.6149421296</v>
      </c>
      <c r="P223" t="s">
        <v>57</v>
      </c>
      <c r="Q223" t="s">
        <v>1753</v>
      </c>
      <c r="R223" t="s">
        <v>3341</v>
      </c>
      <c r="T223" t="s">
        <v>57</v>
      </c>
    </row>
    <row r="224" ht="25.5" customHeight="1" spans="1:20">
      <c r="A224" t="s">
        <v>2972</v>
      </c>
      <c r="B224" t="s">
        <v>56</v>
      </c>
      <c r="C224" t="s">
        <v>3338</v>
      </c>
      <c r="D224" s="3"/>
      <c r="E224" s="2">
        <v>45679</v>
      </c>
      <c r="F224">
        <v>133400</v>
      </c>
      <c r="G224">
        <v>9808</v>
      </c>
      <c r="H224">
        <v>388</v>
      </c>
      <c r="I224">
        <v>3</v>
      </c>
      <c r="J224">
        <v>300</v>
      </c>
      <c r="K224">
        <v>160</v>
      </c>
      <c r="L224" t="s">
        <v>3258</v>
      </c>
      <c r="M224" t="s">
        <v>3339</v>
      </c>
      <c r="N224" t="s">
        <v>1630</v>
      </c>
      <c r="O224" s="4">
        <v>45679.6859490741</v>
      </c>
      <c r="P224" t="s">
        <v>57</v>
      </c>
      <c r="Q224" t="s">
        <v>1753</v>
      </c>
      <c r="R224" t="s">
        <v>3342</v>
      </c>
      <c r="T224" t="s">
        <v>57</v>
      </c>
    </row>
    <row r="225" ht="25.5" customHeight="1" spans="1:20">
      <c r="A225" t="s">
        <v>2972</v>
      </c>
      <c r="B225" t="s">
        <v>56</v>
      </c>
      <c r="C225" t="s">
        <v>3338</v>
      </c>
      <c r="D225" s="3"/>
      <c r="E225" s="2">
        <v>45680</v>
      </c>
      <c r="F225">
        <v>133500</v>
      </c>
      <c r="G225">
        <v>9932</v>
      </c>
      <c r="H225">
        <v>391</v>
      </c>
      <c r="I225">
        <v>3</v>
      </c>
      <c r="J225">
        <v>304</v>
      </c>
      <c r="K225">
        <v>161</v>
      </c>
      <c r="L225" t="s">
        <v>3258</v>
      </c>
      <c r="M225" t="s">
        <v>3339</v>
      </c>
      <c r="N225" t="s">
        <v>1630</v>
      </c>
      <c r="O225" s="4">
        <v>45680.6383217593</v>
      </c>
      <c r="P225" t="s">
        <v>57</v>
      </c>
      <c r="Q225" t="s">
        <v>1753</v>
      </c>
      <c r="R225" t="s">
        <v>3343</v>
      </c>
      <c r="T225" t="s">
        <v>57</v>
      </c>
    </row>
    <row r="226" ht="25.5" customHeight="1" spans="1:20">
      <c r="A226" t="s">
        <v>2972</v>
      </c>
      <c r="B226" t="s">
        <v>56</v>
      </c>
      <c r="C226" t="s">
        <v>3338</v>
      </c>
      <c r="D226" s="3"/>
      <c r="E226" s="2">
        <v>45681</v>
      </c>
      <c r="F226">
        <v>133500</v>
      </c>
      <c r="G226">
        <v>10100</v>
      </c>
      <c r="H226">
        <v>395</v>
      </c>
      <c r="I226">
        <v>4</v>
      </c>
      <c r="J226">
        <v>306</v>
      </c>
      <c r="K226">
        <v>161</v>
      </c>
      <c r="L226" t="s">
        <v>3258</v>
      </c>
      <c r="M226" t="s">
        <v>3339</v>
      </c>
      <c r="N226" t="s">
        <v>1630</v>
      </c>
      <c r="O226" s="4">
        <v>45681.5981828704</v>
      </c>
      <c r="P226" t="s">
        <v>57</v>
      </c>
      <c r="Q226" t="s">
        <v>1753</v>
      </c>
      <c r="R226" t="s">
        <v>3344</v>
      </c>
      <c r="T226" t="s">
        <v>57</v>
      </c>
    </row>
    <row r="227" ht="25.5" customHeight="1" spans="1:20">
      <c r="A227" t="s">
        <v>2972</v>
      </c>
      <c r="B227" t="s">
        <v>56</v>
      </c>
      <c r="C227" t="s">
        <v>3338</v>
      </c>
      <c r="D227" s="3"/>
      <c r="E227" s="2">
        <v>45683</v>
      </c>
      <c r="F227">
        <v>133600</v>
      </c>
      <c r="G227">
        <v>10300</v>
      </c>
      <c r="H227">
        <v>403</v>
      </c>
      <c r="I227">
        <v>4</v>
      </c>
      <c r="J227">
        <v>313</v>
      </c>
      <c r="K227">
        <v>166</v>
      </c>
      <c r="L227" t="s">
        <v>3258</v>
      </c>
      <c r="M227" t="s">
        <v>3339</v>
      </c>
      <c r="N227" t="s">
        <v>1630</v>
      </c>
      <c r="O227" s="4">
        <v>45683.7535185185</v>
      </c>
      <c r="P227" t="s">
        <v>57</v>
      </c>
      <c r="Q227" t="s">
        <v>1753</v>
      </c>
      <c r="R227" t="s">
        <v>3345</v>
      </c>
      <c r="T227" t="s">
        <v>57</v>
      </c>
    </row>
    <row r="228" ht="25.5" customHeight="1" spans="1:20">
      <c r="A228" t="s">
        <v>2972</v>
      </c>
      <c r="B228" t="s">
        <v>56</v>
      </c>
      <c r="C228" t="s">
        <v>3338</v>
      </c>
      <c r="D228" s="3"/>
      <c r="E228" s="2">
        <v>45684</v>
      </c>
      <c r="F228">
        <v>133700</v>
      </c>
      <c r="G228">
        <v>10400</v>
      </c>
      <c r="H228">
        <v>406</v>
      </c>
      <c r="I228">
        <v>4</v>
      </c>
      <c r="J228">
        <v>316</v>
      </c>
      <c r="K228">
        <v>166</v>
      </c>
      <c r="L228" t="s">
        <v>3258</v>
      </c>
      <c r="M228" t="s">
        <v>3339</v>
      </c>
      <c r="N228" t="s">
        <v>1630</v>
      </c>
      <c r="O228" s="4">
        <v>45684.8089814815</v>
      </c>
      <c r="P228" t="s">
        <v>57</v>
      </c>
      <c r="Q228" t="s">
        <v>1753</v>
      </c>
      <c r="R228" t="s">
        <v>3346</v>
      </c>
      <c r="T228" t="s">
        <v>57</v>
      </c>
    </row>
    <row r="229" ht="25.5" customHeight="1" spans="1:20">
      <c r="A229" t="s">
        <v>2972</v>
      </c>
      <c r="B229" t="s">
        <v>56</v>
      </c>
      <c r="C229" t="s">
        <v>3338</v>
      </c>
      <c r="D229" s="3"/>
      <c r="E229" s="2">
        <v>45693</v>
      </c>
      <c r="F229">
        <v>134300</v>
      </c>
      <c r="G229">
        <v>11100</v>
      </c>
      <c r="H229">
        <v>433</v>
      </c>
      <c r="I229">
        <v>4</v>
      </c>
      <c r="J229">
        <v>334</v>
      </c>
      <c r="K229">
        <v>177</v>
      </c>
      <c r="L229" t="s">
        <v>3258</v>
      </c>
      <c r="M229" t="s">
        <v>3339</v>
      </c>
      <c r="N229" t="s">
        <v>1630</v>
      </c>
      <c r="O229" s="4">
        <v>45693.7977314815</v>
      </c>
      <c r="P229" t="s">
        <v>57</v>
      </c>
      <c r="Q229" t="s">
        <v>1753</v>
      </c>
      <c r="R229" t="s">
        <v>3347</v>
      </c>
      <c r="T229" t="s">
        <v>57</v>
      </c>
    </row>
    <row r="230" ht="25.5" customHeight="1" spans="1:20">
      <c r="A230" t="s">
        <v>2972</v>
      </c>
      <c r="B230" t="s">
        <v>56</v>
      </c>
      <c r="C230" t="s">
        <v>3338</v>
      </c>
      <c r="D230" s="3"/>
      <c r="E230" s="2">
        <v>45694</v>
      </c>
      <c r="F230">
        <v>134300</v>
      </c>
      <c r="G230">
        <v>11200</v>
      </c>
      <c r="H230">
        <v>433</v>
      </c>
      <c r="I230">
        <v>4</v>
      </c>
      <c r="J230">
        <v>335</v>
      </c>
      <c r="K230">
        <v>177</v>
      </c>
      <c r="L230" t="s">
        <v>3195</v>
      </c>
      <c r="M230" t="s">
        <v>3339</v>
      </c>
      <c r="N230" t="s">
        <v>1630</v>
      </c>
      <c r="O230" s="4">
        <v>45698.6216782407</v>
      </c>
      <c r="P230" t="s">
        <v>57</v>
      </c>
      <c r="Q230" t="s">
        <v>1753</v>
      </c>
      <c r="R230" t="s">
        <v>3348</v>
      </c>
      <c r="S230" t="s">
        <v>3245</v>
      </c>
      <c r="T230" t="s">
        <v>57</v>
      </c>
    </row>
    <row r="231" ht="25.5" customHeight="1" spans="1:20">
      <c r="A231" t="s">
        <v>2972</v>
      </c>
      <c r="B231" t="s">
        <v>56</v>
      </c>
      <c r="C231" t="s">
        <v>3338</v>
      </c>
      <c r="D231" s="3"/>
      <c r="E231" s="2">
        <v>45695</v>
      </c>
      <c r="F231">
        <v>134400</v>
      </c>
      <c r="G231">
        <v>11200</v>
      </c>
      <c r="H231">
        <v>433</v>
      </c>
      <c r="I231">
        <v>4</v>
      </c>
      <c r="J231">
        <v>336</v>
      </c>
      <c r="K231">
        <v>177</v>
      </c>
      <c r="L231" t="s">
        <v>3195</v>
      </c>
      <c r="M231" t="s">
        <v>3339</v>
      </c>
      <c r="N231" t="s">
        <v>1630</v>
      </c>
      <c r="O231" s="4">
        <v>45695.6929050926</v>
      </c>
      <c r="P231" t="s">
        <v>57</v>
      </c>
      <c r="Q231" t="s">
        <v>1753</v>
      </c>
      <c r="R231" t="s">
        <v>3349</v>
      </c>
      <c r="T231" t="s">
        <v>57</v>
      </c>
    </row>
    <row r="232" ht="25.5" customHeight="1" spans="1:20">
      <c r="A232" t="s">
        <v>2972</v>
      </c>
      <c r="B232" t="s">
        <v>56</v>
      </c>
      <c r="C232" t="s">
        <v>3338</v>
      </c>
      <c r="D232" s="3"/>
      <c r="E232" s="2">
        <v>45696</v>
      </c>
      <c r="F232">
        <v>134500</v>
      </c>
      <c r="G232">
        <v>11200</v>
      </c>
      <c r="H232">
        <v>434</v>
      </c>
      <c r="I232">
        <v>4</v>
      </c>
      <c r="J232">
        <v>337</v>
      </c>
      <c r="K232">
        <v>177</v>
      </c>
      <c r="L232" t="s">
        <v>3195</v>
      </c>
      <c r="M232" t="s">
        <v>3339</v>
      </c>
      <c r="N232" t="s">
        <v>1630</v>
      </c>
      <c r="O232" s="4">
        <v>45696.4280902778</v>
      </c>
      <c r="P232" t="s">
        <v>57</v>
      </c>
      <c r="Q232" t="s">
        <v>1753</v>
      </c>
      <c r="R232" t="s">
        <v>3350</v>
      </c>
      <c r="T232" t="s">
        <v>57</v>
      </c>
    </row>
    <row r="233" ht="25.5" customHeight="1" spans="1:20">
      <c r="A233" t="s">
        <v>2107</v>
      </c>
      <c r="B233" t="s">
        <v>1816</v>
      </c>
      <c r="C233" t="s">
        <v>3351</v>
      </c>
      <c r="D233" s="3"/>
      <c r="E233" s="2">
        <v>45664</v>
      </c>
      <c r="F233">
        <v>125800</v>
      </c>
      <c r="G233">
        <v>96000</v>
      </c>
      <c r="H233">
        <v>371</v>
      </c>
      <c r="I233">
        <v>20</v>
      </c>
      <c r="J233">
        <v>1000</v>
      </c>
      <c r="K233">
        <v>56</v>
      </c>
      <c r="L233" t="s">
        <v>3138</v>
      </c>
      <c r="M233" t="s">
        <v>3352</v>
      </c>
      <c r="N233" t="s">
        <v>1630</v>
      </c>
      <c r="O233" s="4">
        <v>45670.75625</v>
      </c>
      <c r="P233" t="s">
        <v>1817</v>
      </c>
      <c r="Q233" t="s">
        <v>1631</v>
      </c>
      <c r="R233" t="s">
        <v>3353</v>
      </c>
      <c r="T233" t="s">
        <v>1817</v>
      </c>
    </row>
    <row r="234" ht="25.5" customHeight="1" spans="1:20">
      <c r="A234" t="s">
        <v>2107</v>
      </c>
      <c r="B234" t="s">
        <v>1816</v>
      </c>
      <c r="C234" t="s">
        <v>3351</v>
      </c>
      <c r="D234" s="3"/>
      <c r="E234" s="2">
        <v>45665</v>
      </c>
      <c r="F234">
        <v>125900</v>
      </c>
      <c r="G234">
        <v>106900</v>
      </c>
      <c r="H234">
        <v>432</v>
      </c>
      <c r="I234">
        <v>21</v>
      </c>
      <c r="J234">
        <v>1200</v>
      </c>
      <c r="K234">
        <v>68</v>
      </c>
      <c r="L234" t="s">
        <v>3138</v>
      </c>
      <c r="M234" t="s">
        <v>3352</v>
      </c>
      <c r="N234" t="s">
        <v>1630</v>
      </c>
      <c r="O234" s="4">
        <v>45672.5030092593</v>
      </c>
      <c r="P234" t="s">
        <v>1817</v>
      </c>
      <c r="Q234" t="s">
        <v>1631</v>
      </c>
      <c r="R234" t="s">
        <v>3354</v>
      </c>
      <c r="T234" t="s">
        <v>1817</v>
      </c>
    </row>
    <row r="235" ht="25.5" customHeight="1" spans="1:20">
      <c r="A235" t="s">
        <v>2107</v>
      </c>
      <c r="B235" t="s">
        <v>1816</v>
      </c>
      <c r="C235" t="s">
        <v>3351</v>
      </c>
      <c r="D235" s="3"/>
      <c r="E235" s="2">
        <v>45670</v>
      </c>
      <c r="F235">
        <v>126500</v>
      </c>
      <c r="G235">
        <v>111500</v>
      </c>
      <c r="H235">
        <v>443</v>
      </c>
      <c r="I235">
        <v>21</v>
      </c>
      <c r="J235">
        <v>1200</v>
      </c>
      <c r="K235">
        <v>72</v>
      </c>
      <c r="L235" t="s">
        <v>3138</v>
      </c>
      <c r="M235" t="s">
        <v>3352</v>
      </c>
      <c r="N235" t="s">
        <v>1630</v>
      </c>
      <c r="O235" s="4">
        <v>45672.5030092593</v>
      </c>
      <c r="P235" t="s">
        <v>1817</v>
      </c>
      <c r="Q235" t="s">
        <v>1631</v>
      </c>
      <c r="R235" t="s">
        <v>3355</v>
      </c>
      <c r="T235" t="s">
        <v>1817</v>
      </c>
    </row>
    <row r="236" ht="25.5" customHeight="1" spans="1:20">
      <c r="A236" t="s">
        <v>2107</v>
      </c>
      <c r="B236" t="s">
        <v>1816</v>
      </c>
      <c r="C236" t="s">
        <v>3351</v>
      </c>
      <c r="D236" s="3"/>
      <c r="E236" s="2">
        <v>45671</v>
      </c>
      <c r="F236">
        <v>126600</v>
      </c>
      <c r="G236">
        <v>111700</v>
      </c>
      <c r="H236">
        <v>444</v>
      </c>
      <c r="I236">
        <v>21</v>
      </c>
      <c r="J236">
        <v>1200</v>
      </c>
      <c r="K236">
        <v>72</v>
      </c>
      <c r="L236" t="s">
        <v>3138</v>
      </c>
      <c r="M236" t="s">
        <v>3352</v>
      </c>
      <c r="N236" t="s">
        <v>1630</v>
      </c>
      <c r="O236" s="4">
        <v>45672.5030092593</v>
      </c>
      <c r="P236" t="s">
        <v>1817</v>
      </c>
      <c r="Q236" t="s">
        <v>1631</v>
      </c>
      <c r="R236" t="s">
        <v>3356</v>
      </c>
      <c r="T236" t="s">
        <v>1817</v>
      </c>
    </row>
    <row r="237" ht="25.5" customHeight="1" spans="1:20">
      <c r="A237" t="s">
        <v>2107</v>
      </c>
      <c r="B237" t="s">
        <v>1816</v>
      </c>
      <c r="C237" t="s">
        <v>3351</v>
      </c>
      <c r="D237" s="3"/>
      <c r="E237" s="2">
        <v>45672</v>
      </c>
      <c r="F237">
        <v>126700</v>
      </c>
      <c r="G237">
        <v>111800</v>
      </c>
      <c r="H237">
        <v>443</v>
      </c>
      <c r="I237">
        <v>21</v>
      </c>
      <c r="J237">
        <v>1200</v>
      </c>
      <c r="K237">
        <v>71</v>
      </c>
      <c r="L237" t="s">
        <v>3138</v>
      </c>
      <c r="M237" t="s">
        <v>3352</v>
      </c>
      <c r="N237" t="s">
        <v>1630</v>
      </c>
      <c r="O237" s="4">
        <v>45672.7116435185</v>
      </c>
      <c r="P237" t="s">
        <v>1817</v>
      </c>
      <c r="Q237" t="s">
        <v>1631</v>
      </c>
      <c r="R237" t="s">
        <v>3357</v>
      </c>
      <c r="T237" t="s">
        <v>1817</v>
      </c>
    </row>
    <row r="238" ht="25.5" customHeight="1" spans="1:20">
      <c r="A238" t="s">
        <v>2107</v>
      </c>
      <c r="B238" t="s">
        <v>1816</v>
      </c>
      <c r="C238" t="s">
        <v>3351</v>
      </c>
      <c r="D238" s="3"/>
      <c r="E238" s="2">
        <v>45673</v>
      </c>
      <c r="F238">
        <v>126700</v>
      </c>
      <c r="G238">
        <v>111800</v>
      </c>
      <c r="H238">
        <v>440</v>
      </c>
      <c r="I238">
        <v>21</v>
      </c>
      <c r="J238">
        <v>1200</v>
      </c>
      <c r="K238">
        <v>71</v>
      </c>
      <c r="L238" t="s">
        <v>3138</v>
      </c>
      <c r="M238" t="s">
        <v>3352</v>
      </c>
      <c r="N238" t="s">
        <v>1630</v>
      </c>
      <c r="O238" s="4">
        <v>45673.625775463</v>
      </c>
      <c r="P238" t="s">
        <v>1817</v>
      </c>
      <c r="Q238" t="s">
        <v>1631</v>
      </c>
      <c r="R238" t="s">
        <v>3358</v>
      </c>
      <c r="T238" t="s">
        <v>1817</v>
      </c>
    </row>
    <row r="239" ht="25.5" customHeight="1" spans="1:20">
      <c r="A239" t="s">
        <v>2107</v>
      </c>
      <c r="B239" t="s">
        <v>1816</v>
      </c>
      <c r="C239" t="s">
        <v>3351</v>
      </c>
      <c r="D239" s="3"/>
      <c r="E239" s="2">
        <v>45674</v>
      </c>
      <c r="F239">
        <v>126700</v>
      </c>
      <c r="G239">
        <v>111900</v>
      </c>
      <c r="H239">
        <v>443</v>
      </c>
      <c r="I239">
        <v>21</v>
      </c>
      <c r="J239">
        <v>1200</v>
      </c>
      <c r="K239">
        <v>71</v>
      </c>
      <c r="L239" t="s">
        <v>3138</v>
      </c>
      <c r="M239" t="s">
        <v>3352</v>
      </c>
      <c r="N239" t="s">
        <v>1630</v>
      </c>
      <c r="O239" s="4">
        <v>45674.6810185185</v>
      </c>
      <c r="P239" t="s">
        <v>1817</v>
      </c>
      <c r="Q239" t="s">
        <v>1631</v>
      </c>
      <c r="R239" t="s">
        <v>3357</v>
      </c>
      <c r="T239" t="s">
        <v>1817</v>
      </c>
    </row>
    <row r="240" ht="25.5" customHeight="1" spans="1:20">
      <c r="A240" t="s">
        <v>2107</v>
      </c>
      <c r="B240" t="s">
        <v>1816</v>
      </c>
      <c r="C240" t="s">
        <v>3351</v>
      </c>
      <c r="D240" s="3"/>
      <c r="E240" s="2">
        <v>45677</v>
      </c>
      <c r="F240">
        <v>126700</v>
      </c>
      <c r="G240">
        <v>112100</v>
      </c>
      <c r="H240">
        <v>443</v>
      </c>
      <c r="I240">
        <v>21</v>
      </c>
      <c r="J240">
        <v>1200</v>
      </c>
      <c r="K240">
        <v>71</v>
      </c>
      <c r="L240" t="s">
        <v>3138</v>
      </c>
      <c r="M240" t="s">
        <v>3352</v>
      </c>
      <c r="N240" t="s">
        <v>1630</v>
      </c>
      <c r="O240" s="4">
        <v>45677.4399537037</v>
      </c>
      <c r="P240" t="s">
        <v>1817</v>
      </c>
      <c r="Q240" t="s">
        <v>1631</v>
      </c>
      <c r="R240" t="s">
        <v>3357</v>
      </c>
      <c r="T240" t="s">
        <v>1817</v>
      </c>
    </row>
    <row r="241" ht="25.5" customHeight="1" spans="1:20">
      <c r="A241" t="s">
        <v>2107</v>
      </c>
      <c r="B241" t="s">
        <v>1816</v>
      </c>
      <c r="C241" t="s">
        <v>3351</v>
      </c>
      <c r="D241" s="3"/>
      <c r="E241" s="2">
        <v>45678</v>
      </c>
      <c r="F241">
        <v>126700</v>
      </c>
      <c r="G241">
        <v>112100</v>
      </c>
      <c r="H241">
        <v>442</v>
      </c>
      <c r="I241">
        <v>21</v>
      </c>
      <c r="J241">
        <v>1200</v>
      </c>
      <c r="K241">
        <v>71</v>
      </c>
      <c r="L241" t="s">
        <v>3138</v>
      </c>
      <c r="M241" t="s">
        <v>3352</v>
      </c>
      <c r="N241" t="s">
        <v>1630</v>
      </c>
      <c r="O241" s="4">
        <v>45678.6641550926</v>
      </c>
      <c r="P241" t="s">
        <v>1817</v>
      </c>
      <c r="Q241" t="s">
        <v>1631</v>
      </c>
      <c r="R241" t="s">
        <v>3359</v>
      </c>
      <c r="T241" t="s">
        <v>1817</v>
      </c>
    </row>
    <row r="242" ht="25.5" customHeight="1" spans="1:20">
      <c r="A242" t="s">
        <v>2107</v>
      </c>
      <c r="B242" t="s">
        <v>1816</v>
      </c>
      <c r="C242" t="s">
        <v>3351</v>
      </c>
      <c r="D242" s="3"/>
      <c r="E242" s="2">
        <v>45679</v>
      </c>
      <c r="F242">
        <v>126600</v>
      </c>
      <c r="G242">
        <v>112100</v>
      </c>
      <c r="H242">
        <v>442</v>
      </c>
      <c r="I242">
        <v>21</v>
      </c>
      <c r="J242">
        <v>1200</v>
      </c>
      <c r="K242">
        <v>71</v>
      </c>
      <c r="L242" t="s">
        <v>3138</v>
      </c>
      <c r="M242" t="s">
        <v>3352</v>
      </c>
      <c r="N242" t="s">
        <v>1630</v>
      </c>
      <c r="O242" s="4">
        <v>45679.6503935185</v>
      </c>
      <c r="P242" t="s">
        <v>1817</v>
      </c>
      <c r="Q242" t="s">
        <v>1631</v>
      </c>
      <c r="R242" t="s">
        <v>3359</v>
      </c>
      <c r="T242" t="s">
        <v>1817</v>
      </c>
    </row>
    <row r="243" ht="25.5" customHeight="1" spans="1:20">
      <c r="A243" t="s">
        <v>2107</v>
      </c>
      <c r="B243" t="s">
        <v>1816</v>
      </c>
      <c r="C243" t="s">
        <v>3351</v>
      </c>
      <c r="D243" s="3"/>
      <c r="E243" s="2">
        <v>45680</v>
      </c>
      <c r="F243">
        <v>126600</v>
      </c>
      <c r="G243">
        <v>112200</v>
      </c>
      <c r="H243">
        <v>442</v>
      </c>
      <c r="I243">
        <v>21</v>
      </c>
      <c r="J243">
        <v>1200</v>
      </c>
      <c r="K243">
        <v>71</v>
      </c>
      <c r="L243" t="s">
        <v>3138</v>
      </c>
      <c r="M243" t="s">
        <v>3352</v>
      </c>
      <c r="N243" t="s">
        <v>1630</v>
      </c>
      <c r="O243" s="4">
        <v>45680.6652314815</v>
      </c>
      <c r="P243" t="s">
        <v>1817</v>
      </c>
      <c r="Q243" t="s">
        <v>1631</v>
      </c>
      <c r="R243" t="s">
        <v>3359</v>
      </c>
      <c r="T243" t="s">
        <v>1817</v>
      </c>
    </row>
    <row r="244" ht="25.5" customHeight="1" spans="1:20">
      <c r="A244" t="s">
        <v>2107</v>
      </c>
      <c r="B244" t="s">
        <v>1816</v>
      </c>
      <c r="C244" t="s">
        <v>3351</v>
      </c>
      <c r="D244" s="3"/>
      <c r="E244" s="2">
        <v>45681</v>
      </c>
      <c r="F244">
        <v>126600</v>
      </c>
      <c r="G244">
        <v>112200</v>
      </c>
      <c r="H244">
        <v>440</v>
      </c>
      <c r="I244">
        <v>21</v>
      </c>
      <c r="J244">
        <v>1200</v>
      </c>
      <c r="K244">
        <v>71</v>
      </c>
      <c r="L244" t="s">
        <v>3138</v>
      </c>
      <c r="M244" t="s">
        <v>3352</v>
      </c>
      <c r="N244" t="s">
        <v>1630</v>
      </c>
      <c r="O244" s="4">
        <v>45681.6511458333</v>
      </c>
      <c r="P244" t="s">
        <v>1817</v>
      </c>
      <c r="Q244" t="s">
        <v>1631</v>
      </c>
      <c r="R244" t="s">
        <v>3358</v>
      </c>
      <c r="T244" t="s">
        <v>1817</v>
      </c>
    </row>
    <row r="245" ht="25.5" customHeight="1" spans="1:20">
      <c r="A245" t="s">
        <v>2107</v>
      </c>
      <c r="B245" t="s">
        <v>1816</v>
      </c>
      <c r="C245" t="s">
        <v>3351</v>
      </c>
      <c r="D245" s="3"/>
      <c r="E245" s="2">
        <v>45683</v>
      </c>
      <c r="F245">
        <v>126700</v>
      </c>
      <c r="G245">
        <v>112300</v>
      </c>
      <c r="H245">
        <v>440</v>
      </c>
      <c r="I245">
        <v>21</v>
      </c>
      <c r="J245">
        <v>1200</v>
      </c>
      <c r="K245">
        <v>71</v>
      </c>
      <c r="L245" t="s">
        <v>3138</v>
      </c>
      <c r="M245" t="s">
        <v>3352</v>
      </c>
      <c r="N245" t="s">
        <v>1630</v>
      </c>
      <c r="O245" s="4">
        <v>45683.7918634259</v>
      </c>
      <c r="P245" t="s">
        <v>1817</v>
      </c>
      <c r="Q245" t="s">
        <v>1631</v>
      </c>
      <c r="R245" t="s">
        <v>3358</v>
      </c>
      <c r="T245" t="s">
        <v>1817</v>
      </c>
    </row>
    <row r="246" ht="25.5" customHeight="1" spans="1:20">
      <c r="A246" t="s">
        <v>2107</v>
      </c>
      <c r="B246" t="s">
        <v>1816</v>
      </c>
      <c r="C246" t="s">
        <v>3351</v>
      </c>
      <c r="D246" s="3"/>
      <c r="E246" s="2">
        <v>45684</v>
      </c>
      <c r="F246">
        <v>126700</v>
      </c>
      <c r="G246">
        <v>112300</v>
      </c>
      <c r="H246">
        <v>440</v>
      </c>
      <c r="I246">
        <v>21</v>
      </c>
      <c r="J246">
        <v>1200</v>
      </c>
      <c r="K246">
        <v>70</v>
      </c>
      <c r="L246" t="s">
        <v>3138</v>
      </c>
      <c r="M246" t="s">
        <v>3352</v>
      </c>
      <c r="N246" t="s">
        <v>1630</v>
      </c>
      <c r="O246" s="4">
        <v>45684.7521180556</v>
      </c>
      <c r="P246" t="s">
        <v>1817</v>
      </c>
      <c r="Q246" t="s">
        <v>1631</v>
      </c>
      <c r="R246" t="s">
        <v>3360</v>
      </c>
      <c r="T246" t="s">
        <v>1817</v>
      </c>
    </row>
    <row r="247" ht="25.5" customHeight="1" spans="1:20">
      <c r="A247" t="s">
        <v>2107</v>
      </c>
      <c r="B247" t="s">
        <v>1816</v>
      </c>
      <c r="C247" t="s">
        <v>3351</v>
      </c>
      <c r="D247" s="3"/>
      <c r="E247" s="2">
        <v>45693</v>
      </c>
      <c r="F247">
        <v>127900</v>
      </c>
      <c r="G247">
        <v>112500</v>
      </c>
      <c r="H247">
        <v>441</v>
      </c>
      <c r="I247">
        <v>21</v>
      </c>
      <c r="J247">
        <v>1200</v>
      </c>
      <c r="K247">
        <v>70</v>
      </c>
      <c r="L247" t="s">
        <v>3138</v>
      </c>
      <c r="M247" t="s">
        <v>3352</v>
      </c>
      <c r="N247" t="s">
        <v>1630</v>
      </c>
      <c r="O247" s="4">
        <v>45693.8353009259</v>
      </c>
      <c r="P247" t="s">
        <v>1817</v>
      </c>
      <c r="Q247" t="s">
        <v>1631</v>
      </c>
      <c r="R247" t="s">
        <v>3358</v>
      </c>
      <c r="T247" t="s">
        <v>1817</v>
      </c>
    </row>
    <row r="248" ht="25.5" customHeight="1" spans="1:20">
      <c r="A248" t="s">
        <v>2107</v>
      </c>
      <c r="B248" t="s">
        <v>1816</v>
      </c>
      <c r="C248" t="s">
        <v>3351</v>
      </c>
      <c r="D248" s="3"/>
      <c r="E248" s="2">
        <v>45694</v>
      </c>
      <c r="F248">
        <v>127900</v>
      </c>
      <c r="G248">
        <v>112600</v>
      </c>
      <c r="H248">
        <v>442</v>
      </c>
      <c r="I248">
        <v>21</v>
      </c>
      <c r="J248">
        <v>1200</v>
      </c>
      <c r="K248">
        <v>70</v>
      </c>
      <c r="L248" t="s">
        <v>3138</v>
      </c>
      <c r="M248" t="s">
        <v>3352</v>
      </c>
      <c r="N248" t="s">
        <v>1630</v>
      </c>
      <c r="O248" s="4">
        <v>45698.6216782407</v>
      </c>
      <c r="P248" t="s">
        <v>1817</v>
      </c>
      <c r="Q248" t="s">
        <v>1631</v>
      </c>
      <c r="R248" t="s">
        <v>3361</v>
      </c>
      <c r="S248" t="s">
        <v>3245</v>
      </c>
      <c r="T248" t="s">
        <v>1817</v>
      </c>
    </row>
    <row r="249" ht="25.5" customHeight="1" spans="1:20">
      <c r="A249" t="s">
        <v>1124</v>
      </c>
      <c r="B249" t="s">
        <v>56</v>
      </c>
      <c r="C249" t="s">
        <v>3362</v>
      </c>
      <c r="D249" s="3"/>
      <c r="E249" s="2">
        <v>45677</v>
      </c>
      <c r="F249">
        <v>11900</v>
      </c>
      <c r="G249">
        <v>840</v>
      </c>
      <c r="H249">
        <v>79</v>
      </c>
      <c r="I249">
        <v>1</v>
      </c>
      <c r="J249">
        <v>24</v>
      </c>
      <c r="K249">
        <v>3</v>
      </c>
      <c r="L249" t="s">
        <v>3260</v>
      </c>
      <c r="M249" t="s">
        <v>3363</v>
      </c>
      <c r="N249" t="s">
        <v>1630</v>
      </c>
      <c r="O249" s="4">
        <v>45677.4207523148</v>
      </c>
      <c r="P249" t="s">
        <v>57</v>
      </c>
      <c r="Q249" t="s">
        <v>1779</v>
      </c>
      <c r="R249" t="s">
        <v>3364</v>
      </c>
      <c r="T249" t="s">
        <v>57</v>
      </c>
    </row>
    <row r="250" ht="25.5" customHeight="1" spans="1:20">
      <c r="A250" t="s">
        <v>1124</v>
      </c>
      <c r="B250" t="s">
        <v>56</v>
      </c>
      <c r="C250" t="s">
        <v>3362</v>
      </c>
      <c r="D250" s="3"/>
      <c r="E250" s="2">
        <v>45678</v>
      </c>
      <c r="F250">
        <v>11900</v>
      </c>
      <c r="G250">
        <v>889</v>
      </c>
      <c r="H250">
        <v>82</v>
      </c>
      <c r="I250">
        <v>1</v>
      </c>
      <c r="J250">
        <v>25</v>
      </c>
      <c r="K250">
        <v>3</v>
      </c>
      <c r="L250" t="s">
        <v>3260</v>
      </c>
      <c r="M250" t="s">
        <v>3363</v>
      </c>
      <c r="N250" t="s">
        <v>1630</v>
      </c>
      <c r="O250" s="4">
        <v>45678.6151157407</v>
      </c>
      <c r="P250" t="s">
        <v>57</v>
      </c>
      <c r="Q250" t="s">
        <v>1779</v>
      </c>
      <c r="R250" t="s">
        <v>3365</v>
      </c>
      <c r="T250" t="s">
        <v>57</v>
      </c>
    </row>
    <row r="251" ht="25.5" customHeight="1" spans="1:20">
      <c r="A251" t="s">
        <v>1124</v>
      </c>
      <c r="B251" t="s">
        <v>56</v>
      </c>
      <c r="C251" t="s">
        <v>3362</v>
      </c>
      <c r="D251" s="3"/>
      <c r="E251" s="2">
        <v>45679</v>
      </c>
      <c r="F251">
        <v>11900</v>
      </c>
      <c r="G251">
        <v>938</v>
      </c>
      <c r="H251">
        <v>85</v>
      </c>
      <c r="I251">
        <v>1</v>
      </c>
      <c r="J251">
        <v>25</v>
      </c>
      <c r="K251">
        <v>3</v>
      </c>
      <c r="L251" t="s">
        <v>3230</v>
      </c>
      <c r="M251" t="s">
        <v>3363</v>
      </c>
      <c r="N251" t="s">
        <v>1630</v>
      </c>
      <c r="O251" s="4">
        <v>45679.686099537</v>
      </c>
      <c r="P251" t="s">
        <v>57</v>
      </c>
      <c r="Q251" t="s">
        <v>1779</v>
      </c>
      <c r="R251" t="s">
        <v>3366</v>
      </c>
      <c r="T251" t="s">
        <v>57</v>
      </c>
    </row>
    <row r="252" ht="25.5" customHeight="1" spans="1:20">
      <c r="A252" t="s">
        <v>1124</v>
      </c>
      <c r="B252" t="s">
        <v>56</v>
      </c>
      <c r="C252" t="s">
        <v>3362</v>
      </c>
      <c r="D252" s="3"/>
      <c r="E252" s="2">
        <v>45680</v>
      </c>
      <c r="F252">
        <v>12000</v>
      </c>
      <c r="G252">
        <v>992</v>
      </c>
      <c r="H252">
        <v>88</v>
      </c>
      <c r="I252">
        <v>2</v>
      </c>
      <c r="J252">
        <v>25</v>
      </c>
      <c r="K252">
        <v>3</v>
      </c>
      <c r="L252" t="s">
        <v>3230</v>
      </c>
      <c r="M252" t="s">
        <v>3363</v>
      </c>
      <c r="N252" t="s">
        <v>1630</v>
      </c>
      <c r="O252" s="4">
        <v>45680.6385532407</v>
      </c>
      <c r="P252" t="s">
        <v>57</v>
      </c>
      <c r="Q252" t="s">
        <v>1779</v>
      </c>
      <c r="R252" t="s">
        <v>3367</v>
      </c>
      <c r="T252" t="s">
        <v>57</v>
      </c>
    </row>
    <row r="253" ht="25.5" customHeight="1" spans="1:20">
      <c r="A253" t="s">
        <v>1124</v>
      </c>
      <c r="B253" t="s">
        <v>56</v>
      </c>
      <c r="C253" t="s">
        <v>3362</v>
      </c>
      <c r="D253" s="3"/>
      <c r="E253" s="2">
        <v>45681</v>
      </c>
      <c r="F253">
        <v>12000</v>
      </c>
      <c r="G253">
        <v>1042</v>
      </c>
      <c r="H253">
        <v>93</v>
      </c>
      <c r="I253">
        <v>3</v>
      </c>
      <c r="J253">
        <v>27</v>
      </c>
      <c r="K253">
        <v>3</v>
      </c>
      <c r="L253" t="s">
        <v>3260</v>
      </c>
      <c r="M253" t="s">
        <v>3363</v>
      </c>
      <c r="N253" t="s">
        <v>1630</v>
      </c>
      <c r="O253" s="4">
        <v>45681.5984490741</v>
      </c>
      <c r="P253" t="s">
        <v>57</v>
      </c>
      <c r="Q253" t="s">
        <v>1779</v>
      </c>
      <c r="R253" t="s">
        <v>3253</v>
      </c>
      <c r="T253" t="s">
        <v>57</v>
      </c>
    </row>
    <row r="254" ht="25.5" customHeight="1" spans="1:20">
      <c r="A254" t="s">
        <v>1124</v>
      </c>
      <c r="B254" t="s">
        <v>56</v>
      </c>
      <c r="C254" t="s">
        <v>3362</v>
      </c>
      <c r="D254" s="3"/>
      <c r="E254" s="2">
        <v>45683</v>
      </c>
      <c r="F254">
        <v>12000</v>
      </c>
      <c r="G254">
        <v>1179</v>
      </c>
      <c r="H254">
        <v>98</v>
      </c>
      <c r="I254">
        <v>3</v>
      </c>
      <c r="J254">
        <v>27</v>
      </c>
      <c r="K254">
        <v>3</v>
      </c>
      <c r="L254" t="s">
        <v>3230</v>
      </c>
      <c r="M254" t="s">
        <v>3363</v>
      </c>
      <c r="N254" t="s">
        <v>1630</v>
      </c>
      <c r="O254" s="4">
        <v>45683.7563194444</v>
      </c>
      <c r="P254" t="s">
        <v>57</v>
      </c>
      <c r="Q254" t="s">
        <v>1779</v>
      </c>
      <c r="R254" t="s">
        <v>3368</v>
      </c>
      <c r="T254" t="s">
        <v>57</v>
      </c>
    </row>
    <row r="255" ht="25.5" customHeight="1" spans="1:20">
      <c r="A255" t="s">
        <v>1124</v>
      </c>
      <c r="B255" t="s">
        <v>56</v>
      </c>
      <c r="C255" t="s">
        <v>3362</v>
      </c>
      <c r="D255" s="3"/>
      <c r="E255" s="2">
        <v>45684</v>
      </c>
      <c r="F255">
        <v>12000</v>
      </c>
      <c r="G255">
        <v>1251</v>
      </c>
      <c r="H255">
        <v>101</v>
      </c>
      <c r="I255">
        <v>4</v>
      </c>
      <c r="J255">
        <v>27</v>
      </c>
      <c r="K255">
        <v>3</v>
      </c>
      <c r="L255" t="s">
        <v>3230</v>
      </c>
      <c r="M255" t="s">
        <v>3363</v>
      </c>
      <c r="N255" t="s">
        <v>1630</v>
      </c>
      <c r="O255" s="4">
        <v>45684.8244675926</v>
      </c>
      <c r="P255" t="s">
        <v>57</v>
      </c>
      <c r="Q255" t="s">
        <v>1779</v>
      </c>
      <c r="R255" t="s">
        <v>3369</v>
      </c>
      <c r="T255" t="s">
        <v>57</v>
      </c>
    </row>
    <row r="256" ht="25.5" customHeight="1" spans="1:20">
      <c r="A256" t="s">
        <v>1124</v>
      </c>
      <c r="B256" t="s">
        <v>56</v>
      </c>
      <c r="C256" t="s">
        <v>3362</v>
      </c>
      <c r="D256" s="3"/>
      <c r="E256" s="2">
        <v>45693</v>
      </c>
      <c r="F256">
        <v>12000</v>
      </c>
      <c r="G256">
        <v>1653</v>
      </c>
      <c r="H256">
        <v>115</v>
      </c>
      <c r="I256">
        <v>6</v>
      </c>
      <c r="J256">
        <v>30</v>
      </c>
      <c r="K256">
        <v>3</v>
      </c>
      <c r="L256" t="s">
        <v>3317</v>
      </c>
      <c r="M256" t="s">
        <v>3363</v>
      </c>
      <c r="N256" t="s">
        <v>1630</v>
      </c>
      <c r="O256" s="4">
        <v>45693.7979976852</v>
      </c>
      <c r="P256" t="s">
        <v>57</v>
      </c>
      <c r="Q256" t="s">
        <v>1779</v>
      </c>
      <c r="R256" t="s">
        <v>3370</v>
      </c>
      <c r="T256" t="s">
        <v>57</v>
      </c>
    </row>
    <row r="257" ht="25.5" customHeight="1" spans="1:20">
      <c r="A257" t="s">
        <v>1124</v>
      </c>
      <c r="B257" t="s">
        <v>56</v>
      </c>
      <c r="C257" t="s">
        <v>3362</v>
      </c>
      <c r="D257" s="3"/>
      <c r="E257" s="2">
        <v>45694</v>
      </c>
      <c r="F257">
        <v>12000</v>
      </c>
      <c r="G257">
        <v>1673</v>
      </c>
      <c r="H257">
        <v>115</v>
      </c>
      <c r="I257">
        <v>6</v>
      </c>
      <c r="J257">
        <v>30</v>
      </c>
      <c r="K257">
        <v>3</v>
      </c>
      <c r="L257" t="s">
        <v>3248</v>
      </c>
      <c r="M257" t="s">
        <v>3363</v>
      </c>
      <c r="N257" t="s">
        <v>1630</v>
      </c>
      <c r="O257" s="4">
        <v>45698.6216782407</v>
      </c>
      <c r="P257" t="s">
        <v>57</v>
      </c>
      <c r="Q257" t="s">
        <v>1779</v>
      </c>
      <c r="R257" t="s">
        <v>3370</v>
      </c>
      <c r="S257" t="s">
        <v>3180</v>
      </c>
      <c r="T257" t="s">
        <v>57</v>
      </c>
    </row>
    <row r="258" ht="25.5" customHeight="1" spans="1:20">
      <c r="A258" t="s">
        <v>1124</v>
      </c>
      <c r="B258" t="s">
        <v>56</v>
      </c>
      <c r="C258" t="s">
        <v>3362</v>
      </c>
      <c r="D258" s="3"/>
      <c r="E258" s="2">
        <v>45695</v>
      </c>
      <c r="F258">
        <v>12000</v>
      </c>
      <c r="G258">
        <v>1699</v>
      </c>
      <c r="H258">
        <v>116</v>
      </c>
      <c r="I258">
        <v>6</v>
      </c>
      <c r="J258">
        <v>30</v>
      </c>
      <c r="K258">
        <v>3</v>
      </c>
      <c r="L258" t="s">
        <v>3248</v>
      </c>
      <c r="M258" t="s">
        <v>3363</v>
      </c>
      <c r="N258" t="s">
        <v>1630</v>
      </c>
      <c r="O258" s="4">
        <v>45695.6946412037</v>
      </c>
      <c r="P258" t="s">
        <v>57</v>
      </c>
      <c r="Q258" t="s">
        <v>1779</v>
      </c>
      <c r="R258" t="s">
        <v>3371</v>
      </c>
      <c r="T258" t="s">
        <v>57</v>
      </c>
    </row>
    <row r="259" ht="25.5" customHeight="1" spans="1:20">
      <c r="A259" t="s">
        <v>1124</v>
      </c>
      <c r="B259" t="s">
        <v>56</v>
      </c>
      <c r="C259" t="s">
        <v>3362</v>
      </c>
      <c r="D259" s="3"/>
      <c r="E259" s="2">
        <v>45696</v>
      </c>
      <c r="F259">
        <v>12000</v>
      </c>
      <c r="G259">
        <v>1765</v>
      </c>
      <c r="H259">
        <v>123</v>
      </c>
      <c r="I259">
        <v>6</v>
      </c>
      <c r="J259">
        <v>33</v>
      </c>
      <c r="K259">
        <v>3</v>
      </c>
      <c r="L259" t="s">
        <v>3248</v>
      </c>
      <c r="M259" t="s">
        <v>3363</v>
      </c>
      <c r="N259" t="s">
        <v>1630</v>
      </c>
      <c r="O259" s="4">
        <v>45696.4283217593</v>
      </c>
      <c r="P259" t="s">
        <v>57</v>
      </c>
      <c r="Q259" t="s">
        <v>1779</v>
      </c>
      <c r="R259" t="s">
        <v>3372</v>
      </c>
      <c r="T259" t="s">
        <v>57</v>
      </c>
    </row>
    <row r="260" ht="25.5" customHeight="1" spans="1:20">
      <c r="A260" t="s">
        <v>2030</v>
      </c>
      <c r="B260" t="s">
        <v>56</v>
      </c>
      <c r="C260" t="s">
        <v>3373</v>
      </c>
      <c r="D260" s="3"/>
      <c r="E260" s="2">
        <v>45694</v>
      </c>
      <c r="F260">
        <v>339600</v>
      </c>
      <c r="G260">
        <v>7196</v>
      </c>
      <c r="H260">
        <v>649</v>
      </c>
      <c r="I260">
        <v>15</v>
      </c>
      <c r="J260">
        <v>246</v>
      </c>
      <c r="K260">
        <v>8</v>
      </c>
      <c r="L260" t="s">
        <v>3230</v>
      </c>
      <c r="M260" t="s">
        <v>3139</v>
      </c>
      <c r="N260" t="s">
        <v>1630</v>
      </c>
      <c r="O260" s="4">
        <v>45698.6216782407</v>
      </c>
      <c r="P260" t="s">
        <v>57</v>
      </c>
      <c r="Q260" t="s">
        <v>1753</v>
      </c>
      <c r="R260" t="s">
        <v>3374</v>
      </c>
      <c r="S260" t="s">
        <v>3245</v>
      </c>
      <c r="T260" t="s">
        <v>57</v>
      </c>
    </row>
    <row r="261" ht="25.5" customHeight="1" spans="1:20">
      <c r="A261" t="s">
        <v>2030</v>
      </c>
      <c r="B261" t="s">
        <v>56</v>
      </c>
      <c r="C261" t="s">
        <v>3373</v>
      </c>
      <c r="D261" s="3"/>
      <c r="E261" s="2">
        <v>45695</v>
      </c>
      <c r="F261">
        <v>339600</v>
      </c>
      <c r="G261">
        <v>10600</v>
      </c>
      <c r="H261">
        <v>951</v>
      </c>
      <c r="I261">
        <v>17</v>
      </c>
      <c r="J261">
        <v>382</v>
      </c>
      <c r="K261">
        <v>17</v>
      </c>
      <c r="L261" t="s">
        <v>3230</v>
      </c>
      <c r="M261" t="s">
        <v>3139</v>
      </c>
      <c r="N261" t="s">
        <v>1630</v>
      </c>
      <c r="O261" s="4">
        <v>45695.6968518519</v>
      </c>
      <c r="P261" t="s">
        <v>57</v>
      </c>
      <c r="Q261" t="s">
        <v>1753</v>
      </c>
      <c r="R261" t="s">
        <v>3375</v>
      </c>
      <c r="T261" t="s">
        <v>57</v>
      </c>
    </row>
    <row r="262" ht="25.5" customHeight="1" spans="1:20">
      <c r="A262" t="s">
        <v>2030</v>
      </c>
      <c r="B262" t="s">
        <v>56</v>
      </c>
      <c r="C262" t="s">
        <v>3373</v>
      </c>
      <c r="D262" s="3"/>
      <c r="E262" s="2">
        <v>45696</v>
      </c>
      <c r="F262">
        <v>339600</v>
      </c>
      <c r="G262">
        <v>11400</v>
      </c>
      <c r="H262">
        <v>1010</v>
      </c>
      <c r="I262">
        <v>17</v>
      </c>
      <c r="J262">
        <v>412</v>
      </c>
      <c r="K262">
        <v>19</v>
      </c>
      <c r="L262" t="s">
        <v>3230</v>
      </c>
      <c r="M262" t="s">
        <v>3139</v>
      </c>
      <c r="N262" t="s">
        <v>1630</v>
      </c>
      <c r="O262" s="4">
        <v>45696.4284953704</v>
      </c>
      <c r="P262" t="s">
        <v>57</v>
      </c>
      <c r="Q262" t="s">
        <v>1753</v>
      </c>
      <c r="R262" t="s">
        <v>3376</v>
      </c>
      <c r="T262" t="s">
        <v>57</v>
      </c>
    </row>
    <row r="263" ht="25.5" customHeight="1" spans="1:20">
      <c r="A263" t="s">
        <v>2475</v>
      </c>
      <c r="B263" t="s">
        <v>1816</v>
      </c>
      <c r="C263" t="s">
        <v>3377</v>
      </c>
      <c r="D263" s="3"/>
      <c r="E263" s="2">
        <v>45664</v>
      </c>
      <c r="F263">
        <v>109400</v>
      </c>
      <c r="G263">
        <v>36500</v>
      </c>
      <c r="H263">
        <v>148</v>
      </c>
      <c r="I263">
        <v>20</v>
      </c>
      <c r="J263">
        <v>192</v>
      </c>
      <c r="K263">
        <v>50</v>
      </c>
      <c r="L263" t="s">
        <v>3138</v>
      </c>
      <c r="M263" t="s">
        <v>3378</v>
      </c>
      <c r="N263" t="s">
        <v>1630</v>
      </c>
      <c r="O263" s="4">
        <v>45670.7561226852</v>
      </c>
      <c r="P263" t="s">
        <v>1817</v>
      </c>
      <c r="Q263" t="s">
        <v>1652</v>
      </c>
      <c r="R263" t="s">
        <v>3379</v>
      </c>
      <c r="T263" t="s">
        <v>1817</v>
      </c>
    </row>
    <row r="264" ht="25.5" customHeight="1" spans="1:20">
      <c r="A264" t="s">
        <v>2475</v>
      </c>
      <c r="B264" t="s">
        <v>1816</v>
      </c>
      <c r="C264" t="s">
        <v>3377</v>
      </c>
      <c r="D264" s="3"/>
      <c r="E264" s="2">
        <v>45665</v>
      </c>
      <c r="F264">
        <v>109400</v>
      </c>
      <c r="G264">
        <v>45700</v>
      </c>
      <c r="H264">
        <v>201</v>
      </c>
      <c r="I264">
        <v>22</v>
      </c>
      <c r="J264">
        <v>283</v>
      </c>
      <c r="K264">
        <v>63</v>
      </c>
      <c r="L264" t="s">
        <v>3138</v>
      </c>
      <c r="M264" t="s">
        <v>3378</v>
      </c>
      <c r="N264" t="s">
        <v>1630</v>
      </c>
      <c r="O264" s="4">
        <v>45672.5030092593</v>
      </c>
      <c r="P264" t="s">
        <v>1817</v>
      </c>
      <c r="Q264" t="s">
        <v>1652</v>
      </c>
      <c r="R264" t="s">
        <v>3380</v>
      </c>
      <c r="T264" t="s">
        <v>1817</v>
      </c>
    </row>
    <row r="265" ht="25.5" customHeight="1" spans="1:20">
      <c r="A265" t="s">
        <v>2475</v>
      </c>
      <c r="B265" t="s">
        <v>1816</v>
      </c>
      <c r="C265" t="s">
        <v>3377</v>
      </c>
      <c r="D265" s="3"/>
      <c r="E265" s="2">
        <v>45670</v>
      </c>
      <c r="F265">
        <v>110200</v>
      </c>
      <c r="G265">
        <v>63200</v>
      </c>
      <c r="H265">
        <v>322</v>
      </c>
      <c r="I265">
        <v>23</v>
      </c>
      <c r="J265">
        <v>465</v>
      </c>
      <c r="K265">
        <v>87</v>
      </c>
      <c r="L265" t="s">
        <v>3138</v>
      </c>
      <c r="M265" t="s">
        <v>3378</v>
      </c>
      <c r="N265" t="s">
        <v>1630</v>
      </c>
      <c r="O265" s="4">
        <v>45672.5030092593</v>
      </c>
      <c r="P265" t="s">
        <v>1817</v>
      </c>
      <c r="Q265" t="s">
        <v>1652</v>
      </c>
      <c r="R265" t="s">
        <v>3381</v>
      </c>
      <c r="T265" t="s">
        <v>1817</v>
      </c>
    </row>
    <row r="266" ht="25.5" customHeight="1" spans="1:20">
      <c r="A266" t="s">
        <v>2475</v>
      </c>
      <c r="B266" t="s">
        <v>1816</v>
      </c>
      <c r="C266" t="s">
        <v>3377</v>
      </c>
      <c r="D266" s="3"/>
      <c r="E266" s="2">
        <v>45671</v>
      </c>
      <c r="F266">
        <v>110300</v>
      </c>
      <c r="G266">
        <v>63300</v>
      </c>
      <c r="H266">
        <v>322</v>
      </c>
      <c r="I266">
        <v>23</v>
      </c>
      <c r="J266">
        <v>466</v>
      </c>
      <c r="K266">
        <v>87</v>
      </c>
      <c r="L266" t="s">
        <v>3138</v>
      </c>
      <c r="M266" t="s">
        <v>3378</v>
      </c>
      <c r="N266" t="s">
        <v>1630</v>
      </c>
      <c r="O266" s="4">
        <v>45672.5030092593</v>
      </c>
      <c r="P266" t="s">
        <v>1817</v>
      </c>
      <c r="Q266" t="s">
        <v>1652</v>
      </c>
      <c r="R266" t="s">
        <v>3382</v>
      </c>
      <c r="T266" t="s">
        <v>1817</v>
      </c>
    </row>
    <row r="267" ht="25.5" customHeight="1" spans="1:20">
      <c r="A267" t="s">
        <v>2475</v>
      </c>
      <c r="B267" t="s">
        <v>1816</v>
      </c>
      <c r="C267" t="s">
        <v>3377</v>
      </c>
      <c r="D267" s="3"/>
      <c r="E267" s="2">
        <v>45672</v>
      </c>
      <c r="F267">
        <v>110400</v>
      </c>
      <c r="G267">
        <v>63400</v>
      </c>
      <c r="H267">
        <v>323</v>
      </c>
      <c r="I267">
        <v>23</v>
      </c>
      <c r="J267">
        <v>466</v>
      </c>
      <c r="K267">
        <v>87</v>
      </c>
      <c r="L267" t="s">
        <v>3138</v>
      </c>
      <c r="M267" t="s">
        <v>3378</v>
      </c>
      <c r="N267" t="s">
        <v>1630</v>
      </c>
      <c r="O267" s="4">
        <v>45672.7117361111</v>
      </c>
      <c r="P267" t="s">
        <v>1817</v>
      </c>
      <c r="Q267" t="s">
        <v>1652</v>
      </c>
      <c r="R267" t="s">
        <v>3383</v>
      </c>
      <c r="T267" t="s">
        <v>1817</v>
      </c>
    </row>
    <row r="268" ht="25.5" customHeight="1" spans="1:20">
      <c r="A268" t="s">
        <v>2475</v>
      </c>
      <c r="B268" t="s">
        <v>1816</v>
      </c>
      <c r="C268" t="s">
        <v>3377</v>
      </c>
      <c r="D268" s="3"/>
      <c r="E268" s="2">
        <v>45673</v>
      </c>
      <c r="F268">
        <v>110500</v>
      </c>
      <c r="G268">
        <v>63400</v>
      </c>
      <c r="H268">
        <v>323</v>
      </c>
      <c r="I268">
        <v>23</v>
      </c>
      <c r="J268">
        <v>466</v>
      </c>
      <c r="K268">
        <v>87</v>
      </c>
      <c r="L268" t="s">
        <v>3138</v>
      </c>
      <c r="M268" t="s">
        <v>3378</v>
      </c>
      <c r="N268" t="s">
        <v>1630</v>
      </c>
      <c r="O268" s="4">
        <v>45673.6262731481</v>
      </c>
      <c r="P268" t="s">
        <v>1817</v>
      </c>
      <c r="Q268" t="s">
        <v>1652</v>
      </c>
      <c r="R268" t="s">
        <v>3383</v>
      </c>
      <c r="T268" t="s">
        <v>1817</v>
      </c>
    </row>
    <row r="269" ht="25.5" customHeight="1" spans="1:20">
      <c r="A269" t="s">
        <v>2475</v>
      </c>
      <c r="B269" t="s">
        <v>1816</v>
      </c>
      <c r="C269" t="s">
        <v>3377</v>
      </c>
      <c r="D269" s="3"/>
      <c r="E269" s="2">
        <v>45674</v>
      </c>
      <c r="F269">
        <v>110900</v>
      </c>
      <c r="G269">
        <v>63400</v>
      </c>
      <c r="H269">
        <v>322</v>
      </c>
      <c r="I269">
        <v>23</v>
      </c>
      <c r="J269">
        <v>466</v>
      </c>
      <c r="K269">
        <v>87</v>
      </c>
      <c r="L269" t="s">
        <v>3138</v>
      </c>
      <c r="M269" t="s">
        <v>3378</v>
      </c>
      <c r="N269" t="s">
        <v>1630</v>
      </c>
      <c r="O269" s="4">
        <v>45674.6811921296</v>
      </c>
      <c r="P269" t="s">
        <v>1817</v>
      </c>
      <c r="Q269" t="s">
        <v>1652</v>
      </c>
      <c r="R269" t="s">
        <v>3382</v>
      </c>
      <c r="T269" t="s">
        <v>1817</v>
      </c>
    </row>
    <row r="270" ht="25.5" customHeight="1" spans="1:20">
      <c r="A270" t="s">
        <v>2475</v>
      </c>
      <c r="B270" t="s">
        <v>1816</v>
      </c>
      <c r="C270" t="s">
        <v>3377</v>
      </c>
      <c r="D270" s="3"/>
      <c r="E270" s="2">
        <v>45677</v>
      </c>
      <c r="F270">
        <v>111200</v>
      </c>
      <c r="G270">
        <v>63500</v>
      </c>
      <c r="H270">
        <v>322</v>
      </c>
      <c r="I270">
        <v>23</v>
      </c>
      <c r="J270">
        <v>466</v>
      </c>
      <c r="K270">
        <v>86</v>
      </c>
      <c r="L270" t="s">
        <v>3138</v>
      </c>
      <c r="M270" t="s">
        <v>3378</v>
      </c>
      <c r="N270" t="s">
        <v>1630</v>
      </c>
      <c r="O270" s="4">
        <v>45677.4401967593</v>
      </c>
      <c r="P270" t="s">
        <v>1817</v>
      </c>
      <c r="Q270" t="s">
        <v>1652</v>
      </c>
      <c r="R270" t="s">
        <v>3381</v>
      </c>
      <c r="T270" t="s">
        <v>1817</v>
      </c>
    </row>
    <row r="271" ht="25.5" customHeight="1" spans="1:20">
      <c r="A271" t="s">
        <v>2475</v>
      </c>
      <c r="B271" t="s">
        <v>1816</v>
      </c>
      <c r="C271" t="s">
        <v>3377</v>
      </c>
      <c r="D271" s="3"/>
      <c r="E271" s="2">
        <v>45678</v>
      </c>
      <c r="F271">
        <v>111200</v>
      </c>
      <c r="G271">
        <v>63500</v>
      </c>
      <c r="H271">
        <v>322</v>
      </c>
      <c r="I271">
        <v>23</v>
      </c>
      <c r="J271">
        <v>466</v>
      </c>
      <c r="K271">
        <v>86</v>
      </c>
      <c r="L271" t="s">
        <v>3138</v>
      </c>
      <c r="M271" t="s">
        <v>3378</v>
      </c>
      <c r="N271" t="s">
        <v>1630</v>
      </c>
      <c r="O271" s="4">
        <v>45678.6642013889</v>
      </c>
      <c r="P271" t="s">
        <v>1817</v>
      </c>
      <c r="Q271" t="s">
        <v>1652</v>
      </c>
      <c r="R271" t="s">
        <v>3381</v>
      </c>
      <c r="T271" t="s">
        <v>1817</v>
      </c>
    </row>
    <row r="272" ht="25.5" customHeight="1" spans="1:20">
      <c r="A272" t="s">
        <v>2475</v>
      </c>
      <c r="B272" t="s">
        <v>1816</v>
      </c>
      <c r="C272" t="s">
        <v>3377</v>
      </c>
      <c r="D272" s="3"/>
      <c r="E272" s="2">
        <v>45679</v>
      </c>
      <c r="F272">
        <v>111200</v>
      </c>
      <c r="G272">
        <v>63500</v>
      </c>
      <c r="H272">
        <v>321</v>
      </c>
      <c r="I272">
        <v>23</v>
      </c>
      <c r="J272">
        <v>466</v>
      </c>
      <c r="K272">
        <v>86</v>
      </c>
      <c r="L272" t="s">
        <v>3138</v>
      </c>
      <c r="M272" t="s">
        <v>3378</v>
      </c>
      <c r="N272" t="s">
        <v>1630</v>
      </c>
      <c r="O272" s="4">
        <v>45679.6505787037</v>
      </c>
      <c r="P272" t="s">
        <v>1817</v>
      </c>
      <c r="Q272" t="s">
        <v>1652</v>
      </c>
      <c r="R272" t="s">
        <v>3384</v>
      </c>
      <c r="T272" t="s">
        <v>1817</v>
      </c>
    </row>
    <row r="273" ht="25.5" customHeight="1" spans="1:20">
      <c r="A273" t="s">
        <v>2475</v>
      </c>
      <c r="B273" t="s">
        <v>1816</v>
      </c>
      <c r="C273" t="s">
        <v>3377</v>
      </c>
      <c r="D273" s="3"/>
      <c r="E273" s="2">
        <v>45680</v>
      </c>
      <c r="F273">
        <v>111500</v>
      </c>
      <c r="G273">
        <v>63600</v>
      </c>
      <c r="H273">
        <v>321</v>
      </c>
      <c r="I273">
        <v>23</v>
      </c>
      <c r="J273">
        <v>466</v>
      </c>
      <c r="K273">
        <v>86</v>
      </c>
      <c r="L273" t="s">
        <v>3138</v>
      </c>
      <c r="M273" t="s">
        <v>3378</v>
      </c>
      <c r="N273" t="s">
        <v>1630</v>
      </c>
      <c r="O273" s="4">
        <v>45680.6655324074</v>
      </c>
      <c r="P273" t="s">
        <v>1817</v>
      </c>
      <c r="Q273" t="s">
        <v>1652</v>
      </c>
      <c r="R273" t="s">
        <v>3384</v>
      </c>
      <c r="T273" t="s">
        <v>1817</v>
      </c>
    </row>
    <row r="274" ht="25.5" customHeight="1" spans="1:20">
      <c r="A274" t="s">
        <v>2475</v>
      </c>
      <c r="B274" t="s">
        <v>1816</v>
      </c>
      <c r="C274" t="s">
        <v>3377</v>
      </c>
      <c r="D274" s="3"/>
      <c r="E274" s="2">
        <v>45681</v>
      </c>
      <c r="F274">
        <v>111700</v>
      </c>
      <c r="G274">
        <v>63600</v>
      </c>
      <c r="H274">
        <v>321</v>
      </c>
      <c r="I274">
        <v>23</v>
      </c>
      <c r="J274">
        <v>466</v>
      </c>
      <c r="K274">
        <v>86</v>
      </c>
      <c r="L274" t="s">
        <v>3138</v>
      </c>
      <c r="M274" t="s">
        <v>3378</v>
      </c>
      <c r="N274" t="s">
        <v>1630</v>
      </c>
      <c r="O274" s="4">
        <v>45681.6512847222</v>
      </c>
      <c r="P274" t="s">
        <v>1817</v>
      </c>
      <c r="Q274" t="s">
        <v>1652</v>
      </c>
      <c r="R274" t="s">
        <v>3384</v>
      </c>
      <c r="T274" t="s">
        <v>1817</v>
      </c>
    </row>
    <row r="275" ht="25.5" customHeight="1" spans="1:20">
      <c r="A275" t="s">
        <v>2475</v>
      </c>
      <c r="B275" t="s">
        <v>1816</v>
      </c>
      <c r="C275" t="s">
        <v>3377</v>
      </c>
      <c r="D275" s="3"/>
      <c r="E275" s="2">
        <v>45683</v>
      </c>
      <c r="F275">
        <v>111900</v>
      </c>
      <c r="G275">
        <v>63600</v>
      </c>
      <c r="H275">
        <v>320</v>
      </c>
      <c r="I275">
        <v>23</v>
      </c>
      <c r="J275">
        <v>466</v>
      </c>
      <c r="K275">
        <v>86</v>
      </c>
      <c r="L275" t="s">
        <v>3138</v>
      </c>
      <c r="M275" t="s">
        <v>3378</v>
      </c>
      <c r="N275" t="s">
        <v>1630</v>
      </c>
      <c r="O275" s="4">
        <v>45683.7921990741</v>
      </c>
      <c r="P275" t="s">
        <v>1817</v>
      </c>
      <c r="Q275" t="s">
        <v>1652</v>
      </c>
      <c r="R275" t="s">
        <v>3385</v>
      </c>
      <c r="T275" t="s">
        <v>1817</v>
      </c>
    </row>
    <row r="276" ht="25.5" customHeight="1" spans="1:20">
      <c r="A276" t="s">
        <v>2475</v>
      </c>
      <c r="B276" t="s">
        <v>1816</v>
      </c>
      <c r="C276" t="s">
        <v>3377</v>
      </c>
      <c r="D276" s="3"/>
      <c r="E276" s="2">
        <v>45684</v>
      </c>
      <c r="F276">
        <v>111900</v>
      </c>
      <c r="G276">
        <v>63600</v>
      </c>
      <c r="H276">
        <v>320</v>
      </c>
      <c r="I276">
        <v>23</v>
      </c>
      <c r="J276">
        <v>465</v>
      </c>
      <c r="K276">
        <v>86</v>
      </c>
      <c r="L276" t="s">
        <v>3138</v>
      </c>
      <c r="M276" t="s">
        <v>3378</v>
      </c>
      <c r="N276" t="s">
        <v>1630</v>
      </c>
      <c r="O276" s="4">
        <v>45684.7522569444</v>
      </c>
      <c r="P276" t="s">
        <v>1817</v>
      </c>
      <c r="Q276" t="s">
        <v>1652</v>
      </c>
      <c r="R276" t="s">
        <v>3386</v>
      </c>
      <c r="T276" t="s">
        <v>1817</v>
      </c>
    </row>
    <row r="277" ht="25.5" customHeight="1" spans="1:20">
      <c r="A277" t="s">
        <v>2475</v>
      </c>
      <c r="B277" t="s">
        <v>1816</v>
      </c>
      <c r="C277" t="s">
        <v>3377</v>
      </c>
      <c r="D277" s="3"/>
      <c r="E277" s="2">
        <v>45693</v>
      </c>
      <c r="F277">
        <v>113200</v>
      </c>
      <c r="G277">
        <v>63700</v>
      </c>
      <c r="H277">
        <v>320</v>
      </c>
      <c r="I277">
        <v>23</v>
      </c>
      <c r="J277">
        <v>463</v>
      </c>
      <c r="K277">
        <v>85</v>
      </c>
      <c r="L277" t="s">
        <v>3138</v>
      </c>
      <c r="M277" t="s">
        <v>3378</v>
      </c>
      <c r="N277" t="s">
        <v>1630</v>
      </c>
      <c r="O277" s="4">
        <v>45693.835462963</v>
      </c>
      <c r="P277" t="s">
        <v>1817</v>
      </c>
      <c r="Q277" t="s">
        <v>1652</v>
      </c>
      <c r="R277" t="s">
        <v>3387</v>
      </c>
      <c r="T277" t="s">
        <v>1817</v>
      </c>
    </row>
    <row r="278" ht="25.5" customHeight="1" spans="1:20">
      <c r="A278" t="s">
        <v>2475</v>
      </c>
      <c r="B278" t="s">
        <v>1816</v>
      </c>
      <c r="C278" t="s">
        <v>3377</v>
      </c>
      <c r="D278" s="3"/>
      <c r="E278" s="2">
        <v>45694</v>
      </c>
      <c r="F278">
        <v>113300</v>
      </c>
      <c r="G278">
        <v>63700</v>
      </c>
      <c r="H278">
        <v>320</v>
      </c>
      <c r="I278">
        <v>23</v>
      </c>
      <c r="J278">
        <v>463</v>
      </c>
      <c r="K278">
        <v>85</v>
      </c>
      <c r="L278" t="s">
        <v>3138</v>
      </c>
      <c r="M278" t="s">
        <v>3378</v>
      </c>
      <c r="N278" t="s">
        <v>1630</v>
      </c>
      <c r="O278" s="4">
        <v>45698.6216782407</v>
      </c>
      <c r="P278" t="s">
        <v>1817</v>
      </c>
      <c r="Q278" t="s">
        <v>1652</v>
      </c>
      <c r="R278" t="s">
        <v>3387</v>
      </c>
      <c r="S278" t="s">
        <v>3245</v>
      </c>
      <c r="T278" t="s">
        <v>1817</v>
      </c>
    </row>
    <row r="279" ht="25.5" customHeight="1" spans="1:20">
      <c r="A279" t="s">
        <v>2702</v>
      </c>
      <c r="B279" t="s">
        <v>65</v>
      </c>
      <c r="C279" t="s">
        <v>3388</v>
      </c>
      <c r="D279" s="3" t="str">
        <f>HYPERLINK("https://www.instagram.com/bestdreamsetup/reels/","https://www.instagram.com/bestdreamsetup/reels/")</f>
        <v>https://www.instagram.com/bestdreamsetup/reels/</v>
      </c>
      <c r="E279" s="2">
        <v>45666</v>
      </c>
      <c r="F279">
        <v>190000</v>
      </c>
      <c r="G279">
        <v>5262</v>
      </c>
      <c r="H279">
        <v>105</v>
      </c>
      <c r="I279">
        <v>0</v>
      </c>
      <c r="L279" t="s">
        <v>3138</v>
      </c>
      <c r="M279" t="s">
        <v>3249</v>
      </c>
      <c r="N279" t="s">
        <v>1630</v>
      </c>
      <c r="O279" s="4">
        <v>45670.7644675926</v>
      </c>
      <c r="P279" t="s">
        <v>116</v>
      </c>
      <c r="Q279" t="s">
        <v>1887</v>
      </c>
      <c r="R279" t="s">
        <v>3389</v>
      </c>
      <c r="T279" t="s">
        <v>116</v>
      </c>
    </row>
    <row r="280" ht="25.5" customHeight="1" spans="1:20">
      <c r="A280" t="s">
        <v>2702</v>
      </c>
      <c r="B280" t="s">
        <v>65</v>
      </c>
      <c r="C280" t="s">
        <v>3388</v>
      </c>
      <c r="D280" s="3"/>
      <c r="E280" s="2">
        <v>45671</v>
      </c>
      <c r="F280">
        <v>190000</v>
      </c>
      <c r="G280">
        <v>5381</v>
      </c>
      <c r="H280">
        <v>107</v>
      </c>
      <c r="I280">
        <v>0</v>
      </c>
      <c r="L280" t="s">
        <v>3138</v>
      </c>
      <c r="M280" t="s">
        <v>3249</v>
      </c>
      <c r="N280" t="s">
        <v>1630</v>
      </c>
      <c r="O280" s="4">
        <v>45672.5030092593</v>
      </c>
      <c r="P280" t="s">
        <v>116</v>
      </c>
      <c r="Q280" t="s">
        <v>1887</v>
      </c>
      <c r="R280" t="s">
        <v>3364</v>
      </c>
      <c r="T280" t="s">
        <v>116</v>
      </c>
    </row>
    <row r="281" ht="25.5" customHeight="1" spans="1:20">
      <c r="A281" t="s">
        <v>2702</v>
      </c>
      <c r="B281" t="s">
        <v>65</v>
      </c>
      <c r="C281" t="s">
        <v>3388</v>
      </c>
      <c r="D281" s="3"/>
      <c r="E281" s="2">
        <v>45672</v>
      </c>
      <c r="F281">
        <v>190000</v>
      </c>
      <c r="G281">
        <v>5450</v>
      </c>
      <c r="H281">
        <v>107</v>
      </c>
      <c r="I281">
        <v>0</v>
      </c>
      <c r="L281" t="s">
        <v>3138</v>
      </c>
      <c r="M281" t="s">
        <v>3249</v>
      </c>
      <c r="N281" t="s">
        <v>1630</v>
      </c>
      <c r="O281" s="4">
        <v>45672.5031365741</v>
      </c>
      <c r="P281" t="s">
        <v>116</v>
      </c>
      <c r="Q281" t="s">
        <v>1887</v>
      </c>
      <c r="R281" t="s">
        <v>3364</v>
      </c>
      <c r="T281" t="s">
        <v>116</v>
      </c>
    </row>
    <row r="282" ht="25.5" customHeight="1" spans="1:20">
      <c r="A282" t="s">
        <v>2702</v>
      </c>
      <c r="B282" t="s">
        <v>65</v>
      </c>
      <c r="C282" t="s">
        <v>3388</v>
      </c>
      <c r="D282" s="3"/>
      <c r="E282" s="2">
        <v>45673</v>
      </c>
      <c r="F282">
        <v>190000</v>
      </c>
      <c r="G282">
        <v>5560</v>
      </c>
      <c r="H282">
        <v>111</v>
      </c>
      <c r="I282">
        <v>0</v>
      </c>
      <c r="L282" t="s">
        <v>3138</v>
      </c>
      <c r="M282" t="s">
        <v>3249</v>
      </c>
      <c r="N282" t="s">
        <v>1630</v>
      </c>
      <c r="O282" s="4">
        <v>45673.48625</v>
      </c>
      <c r="P282" t="s">
        <v>116</v>
      </c>
      <c r="Q282" t="s">
        <v>1887</v>
      </c>
      <c r="R282" t="s">
        <v>3365</v>
      </c>
      <c r="T282" t="s">
        <v>116</v>
      </c>
    </row>
    <row r="283" ht="25.5" customHeight="1" spans="1:20">
      <c r="A283" t="s">
        <v>2702</v>
      </c>
      <c r="B283" t="s">
        <v>65</v>
      </c>
      <c r="C283" t="s">
        <v>3388</v>
      </c>
      <c r="D283" s="3"/>
      <c r="E283" s="2">
        <v>45674</v>
      </c>
      <c r="F283">
        <v>190000</v>
      </c>
      <c r="G283">
        <v>5629</v>
      </c>
      <c r="H283">
        <v>111</v>
      </c>
      <c r="I283">
        <v>0</v>
      </c>
      <c r="L283" t="s">
        <v>3138</v>
      </c>
      <c r="M283" t="s">
        <v>3249</v>
      </c>
      <c r="N283" t="s">
        <v>1630</v>
      </c>
      <c r="O283" s="4">
        <v>45674.6183333333</v>
      </c>
      <c r="P283" t="s">
        <v>116</v>
      </c>
      <c r="Q283" t="s">
        <v>1887</v>
      </c>
      <c r="R283" t="s">
        <v>3365</v>
      </c>
      <c r="T283" t="s">
        <v>116</v>
      </c>
    </row>
    <row r="284" ht="25.5" customHeight="1" spans="1:20">
      <c r="A284" t="s">
        <v>2702</v>
      </c>
      <c r="B284" t="s">
        <v>65</v>
      </c>
      <c r="C284" t="s">
        <v>3388</v>
      </c>
      <c r="D284" s="3"/>
      <c r="E284" s="2">
        <v>45677</v>
      </c>
      <c r="F284">
        <v>190000</v>
      </c>
      <c r="G284">
        <v>5852</v>
      </c>
      <c r="H284">
        <v>113</v>
      </c>
      <c r="I284">
        <v>0</v>
      </c>
      <c r="L284" t="s">
        <v>3138</v>
      </c>
      <c r="M284" t="s">
        <v>3249</v>
      </c>
      <c r="N284" t="s">
        <v>1630</v>
      </c>
      <c r="O284" s="4">
        <v>45677.3881018519</v>
      </c>
      <c r="P284" t="s">
        <v>116</v>
      </c>
      <c r="Q284" t="s">
        <v>1887</v>
      </c>
      <c r="R284" t="s">
        <v>3390</v>
      </c>
      <c r="T284" t="s">
        <v>116</v>
      </c>
    </row>
    <row r="285" ht="25.5" customHeight="1" spans="1:20">
      <c r="A285" t="s">
        <v>2702</v>
      </c>
      <c r="B285" t="s">
        <v>65</v>
      </c>
      <c r="C285" t="s">
        <v>3388</v>
      </c>
      <c r="D285" s="3"/>
      <c r="E285" s="2">
        <v>45678</v>
      </c>
      <c r="F285">
        <v>190000</v>
      </c>
      <c r="G285">
        <v>5919</v>
      </c>
      <c r="H285">
        <v>113</v>
      </c>
      <c r="I285">
        <v>0</v>
      </c>
      <c r="L285" t="s">
        <v>3138</v>
      </c>
      <c r="M285" t="s">
        <v>3249</v>
      </c>
      <c r="N285" t="s">
        <v>1630</v>
      </c>
      <c r="O285" s="4">
        <v>45678.4937384259</v>
      </c>
      <c r="P285" t="s">
        <v>116</v>
      </c>
      <c r="Q285" t="s">
        <v>1887</v>
      </c>
      <c r="R285" t="s">
        <v>3390</v>
      </c>
      <c r="T285" t="s">
        <v>116</v>
      </c>
    </row>
    <row r="286" ht="25.5" customHeight="1" spans="1:20">
      <c r="A286" t="s">
        <v>2702</v>
      </c>
      <c r="B286" t="s">
        <v>65</v>
      </c>
      <c r="C286" t="s">
        <v>3388</v>
      </c>
      <c r="D286" s="3"/>
      <c r="E286" s="2">
        <v>45679</v>
      </c>
      <c r="F286">
        <v>190000</v>
      </c>
      <c r="G286">
        <v>5981</v>
      </c>
      <c r="H286">
        <v>113</v>
      </c>
      <c r="I286">
        <v>0</v>
      </c>
      <c r="L286" t="s">
        <v>3138</v>
      </c>
      <c r="M286" t="s">
        <v>3249</v>
      </c>
      <c r="N286" t="s">
        <v>1630</v>
      </c>
      <c r="O286" s="4">
        <v>45679.6569791667</v>
      </c>
      <c r="P286" t="s">
        <v>116</v>
      </c>
      <c r="Q286" t="s">
        <v>1887</v>
      </c>
      <c r="R286" t="s">
        <v>3390</v>
      </c>
      <c r="T286" t="s">
        <v>116</v>
      </c>
    </row>
    <row r="287" ht="25.5" customHeight="1" spans="1:20">
      <c r="A287" t="s">
        <v>2702</v>
      </c>
      <c r="B287" t="s">
        <v>65</v>
      </c>
      <c r="C287" t="s">
        <v>3388</v>
      </c>
      <c r="D287" s="3"/>
      <c r="E287" s="2">
        <v>45680</v>
      </c>
      <c r="F287">
        <v>190000</v>
      </c>
      <c r="G287">
        <v>6010</v>
      </c>
      <c r="H287">
        <v>113</v>
      </c>
      <c r="I287">
        <v>0</v>
      </c>
      <c r="L287" t="s">
        <v>3138</v>
      </c>
      <c r="M287" t="s">
        <v>3249</v>
      </c>
      <c r="N287" t="s">
        <v>1630</v>
      </c>
      <c r="O287" s="4">
        <v>45680.5042939815</v>
      </c>
      <c r="P287" t="s">
        <v>116</v>
      </c>
      <c r="Q287" t="s">
        <v>1887</v>
      </c>
      <c r="R287" t="s">
        <v>3390</v>
      </c>
      <c r="T287" t="s">
        <v>116</v>
      </c>
    </row>
    <row r="288" ht="25.5" customHeight="1" spans="1:20">
      <c r="A288" t="s">
        <v>2702</v>
      </c>
      <c r="B288" t="s">
        <v>65</v>
      </c>
      <c r="C288" t="s">
        <v>3388</v>
      </c>
      <c r="D288" s="3"/>
      <c r="E288" s="2">
        <v>45681</v>
      </c>
      <c r="F288">
        <v>190000</v>
      </c>
      <c r="G288">
        <v>6021</v>
      </c>
      <c r="H288">
        <v>113</v>
      </c>
      <c r="I288">
        <v>0</v>
      </c>
      <c r="L288" t="s">
        <v>3138</v>
      </c>
      <c r="M288" t="s">
        <v>3249</v>
      </c>
      <c r="N288" t="s">
        <v>1630</v>
      </c>
      <c r="O288" s="4">
        <v>45681.4774768519</v>
      </c>
      <c r="P288" t="s">
        <v>116</v>
      </c>
      <c r="Q288" t="s">
        <v>1887</v>
      </c>
      <c r="R288" t="s">
        <v>3390</v>
      </c>
      <c r="T288" t="s">
        <v>116</v>
      </c>
    </row>
    <row r="289" ht="25.5" customHeight="1" spans="1:20">
      <c r="A289" t="s">
        <v>2702</v>
      </c>
      <c r="B289" t="s">
        <v>65</v>
      </c>
      <c r="C289" t="s">
        <v>3388</v>
      </c>
      <c r="D289" s="3"/>
      <c r="E289" s="2">
        <v>45683</v>
      </c>
      <c r="F289">
        <v>190000</v>
      </c>
      <c r="G289">
        <v>6060</v>
      </c>
      <c r="H289">
        <v>113</v>
      </c>
      <c r="I289">
        <v>0</v>
      </c>
      <c r="L289" t="s">
        <v>3138</v>
      </c>
      <c r="M289" t="s">
        <v>3249</v>
      </c>
      <c r="N289" t="s">
        <v>1630</v>
      </c>
      <c r="O289" s="4">
        <v>45683.7065972222</v>
      </c>
      <c r="P289" t="s">
        <v>116</v>
      </c>
      <c r="Q289" t="s">
        <v>1887</v>
      </c>
      <c r="R289" t="s">
        <v>3390</v>
      </c>
      <c r="T289" t="s">
        <v>116</v>
      </c>
    </row>
    <row r="290" ht="25.5" customHeight="1" spans="1:20">
      <c r="A290" t="s">
        <v>2702</v>
      </c>
      <c r="B290" t="s">
        <v>65</v>
      </c>
      <c r="C290" t="s">
        <v>3388</v>
      </c>
      <c r="D290" s="3"/>
      <c r="E290" s="2">
        <v>45684</v>
      </c>
      <c r="F290">
        <v>190000</v>
      </c>
      <c r="G290">
        <v>6078</v>
      </c>
      <c r="H290">
        <v>113</v>
      </c>
      <c r="I290">
        <v>0</v>
      </c>
      <c r="L290" t="s">
        <v>3138</v>
      </c>
      <c r="M290" t="s">
        <v>3249</v>
      </c>
      <c r="N290" t="s">
        <v>1630</v>
      </c>
      <c r="O290" s="4">
        <v>45684.7629861111</v>
      </c>
      <c r="P290" t="s">
        <v>116</v>
      </c>
      <c r="Q290" t="s">
        <v>1887</v>
      </c>
      <c r="R290" t="s">
        <v>3390</v>
      </c>
      <c r="T290" t="s">
        <v>116</v>
      </c>
    </row>
    <row r="291" ht="25.5" customHeight="1" spans="1:20">
      <c r="A291" t="s">
        <v>2702</v>
      </c>
      <c r="B291" t="s">
        <v>65</v>
      </c>
      <c r="C291" t="s">
        <v>3388</v>
      </c>
      <c r="D291" s="3"/>
      <c r="E291" s="2">
        <v>45693</v>
      </c>
      <c r="F291">
        <v>189000</v>
      </c>
      <c r="G291">
        <v>6185</v>
      </c>
      <c r="H291">
        <v>116</v>
      </c>
      <c r="I291">
        <v>0</v>
      </c>
      <c r="L291" t="s">
        <v>3138</v>
      </c>
      <c r="M291" t="s">
        <v>3249</v>
      </c>
      <c r="N291" t="s">
        <v>1630</v>
      </c>
      <c r="O291" s="4">
        <v>45693.7617824074</v>
      </c>
      <c r="P291" t="s">
        <v>116</v>
      </c>
      <c r="Q291" t="s">
        <v>1887</v>
      </c>
      <c r="R291" t="s">
        <v>3391</v>
      </c>
      <c r="T291" t="s">
        <v>116</v>
      </c>
    </row>
    <row r="292" ht="25.5" customHeight="1" spans="1:20">
      <c r="A292" t="s">
        <v>2702</v>
      </c>
      <c r="B292" t="s">
        <v>65</v>
      </c>
      <c r="C292" t="s">
        <v>3388</v>
      </c>
      <c r="D292" s="3"/>
      <c r="E292" s="2">
        <v>45694</v>
      </c>
      <c r="F292">
        <v>189000</v>
      </c>
      <c r="G292">
        <v>6196</v>
      </c>
      <c r="H292">
        <v>116</v>
      </c>
      <c r="I292">
        <v>0</v>
      </c>
      <c r="L292" t="s">
        <v>3138</v>
      </c>
      <c r="M292" t="s">
        <v>3249</v>
      </c>
      <c r="N292" t="s">
        <v>1630</v>
      </c>
      <c r="O292" s="4">
        <v>45698.6216782407</v>
      </c>
      <c r="P292" t="s">
        <v>116</v>
      </c>
      <c r="Q292" t="s">
        <v>1887</v>
      </c>
      <c r="R292" t="s">
        <v>3391</v>
      </c>
      <c r="S292" t="s">
        <v>3245</v>
      </c>
      <c r="T292" t="s">
        <v>116</v>
      </c>
    </row>
    <row r="293" ht="25.5" customHeight="1" spans="1:20">
      <c r="A293" t="s">
        <v>2702</v>
      </c>
      <c r="B293" t="s">
        <v>65</v>
      </c>
      <c r="C293" t="s">
        <v>3388</v>
      </c>
      <c r="D293" s="3"/>
      <c r="E293" s="2">
        <v>45695</v>
      </c>
      <c r="F293">
        <v>189000</v>
      </c>
      <c r="G293">
        <v>6207</v>
      </c>
      <c r="H293">
        <v>116</v>
      </c>
      <c r="I293">
        <v>0</v>
      </c>
      <c r="L293" t="s">
        <v>3138</v>
      </c>
      <c r="M293" t="s">
        <v>3249</v>
      </c>
      <c r="N293" t="s">
        <v>1630</v>
      </c>
      <c r="O293" s="4">
        <v>45695.4767013889</v>
      </c>
      <c r="P293" t="s">
        <v>116</v>
      </c>
      <c r="Q293" t="s">
        <v>1887</v>
      </c>
      <c r="R293" t="s">
        <v>3391</v>
      </c>
      <c r="T293" t="s">
        <v>116</v>
      </c>
    </row>
    <row r="294" ht="25.5" customHeight="1" spans="1:20">
      <c r="A294" t="s">
        <v>2702</v>
      </c>
      <c r="B294" t="s">
        <v>65</v>
      </c>
      <c r="C294" t="s">
        <v>3388</v>
      </c>
      <c r="D294" s="3"/>
      <c r="E294" s="2">
        <v>45696</v>
      </c>
      <c r="F294">
        <v>189000</v>
      </c>
      <c r="G294">
        <v>6224</v>
      </c>
      <c r="H294">
        <v>116</v>
      </c>
      <c r="I294">
        <v>0</v>
      </c>
      <c r="L294" t="s">
        <v>3138</v>
      </c>
      <c r="M294" t="s">
        <v>3249</v>
      </c>
      <c r="N294" t="s">
        <v>1630</v>
      </c>
      <c r="O294" s="4">
        <v>45696.4455902778</v>
      </c>
      <c r="P294" t="s">
        <v>116</v>
      </c>
      <c r="Q294" t="s">
        <v>1887</v>
      </c>
      <c r="R294" t="s">
        <v>3391</v>
      </c>
      <c r="T294" t="s">
        <v>116</v>
      </c>
    </row>
    <row r="295" ht="25.5" customHeight="1" spans="1:20">
      <c r="A295" t="s">
        <v>2825</v>
      </c>
      <c r="B295" t="s">
        <v>65</v>
      </c>
      <c r="C295" t="s">
        <v>3392</v>
      </c>
      <c r="D295" s="3" t="str">
        <f>HYPERLINK("https://www.instagram.com/bestminimalsetup/reels/","https://www.instagram.com/bestminimalsetup/reels/")</f>
        <v>https://www.instagram.com/bestminimalsetup/reels/</v>
      </c>
      <c r="E295" s="2">
        <v>45667</v>
      </c>
      <c r="F295">
        <v>116000</v>
      </c>
      <c r="G295">
        <v>2780</v>
      </c>
      <c r="H295">
        <v>50</v>
      </c>
      <c r="I295">
        <v>0</v>
      </c>
      <c r="L295" t="s">
        <v>3138</v>
      </c>
      <c r="M295" t="s">
        <v>3393</v>
      </c>
      <c r="N295" t="s">
        <v>1630</v>
      </c>
      <c r="O295" s="4">
        <v>45670.7650347222</v>
      </c>
      <c r="P295" t="s">
        <v>116</v>
      </c>
      <c r="Q295" t="s">
        <v>1887</v>
      </c>
      <c r="R295" t="s">
        <v>3176</v>
      </c>
      <c r="T295" t="s">
        <v>116</v>
      </c>
    </row>
    <row r="296" ht="25.5" customHeight="1" spans="1:20">
      <c r="A296" t="s">
        <v>2825</v>
      </c>
      <c r="B296" t="s">
        <v>65</v>
      </c>
      <c r="C296" t="s">
        <v>3392</v>
      </c>
      <c r="D296" s="3"/>
      <c r="E296" s="2">
        <v>45671</v>
      </c>
      <c r="F296">
        <v>116000</v>
      </c>
      <c r="G296">
        <v>2885</v>
      </c>
      <c r="H296">
        <v>52</v>
      </c>
      <c r="I296">
        <v>0</v>
      </c>
      <c r="L296" t="s">
        <v>3138</v>
      </c>
      <c r="M296" t="s">
        <v>3393</v>
      </c>
      <c r="N296" t="s">
        <v>1630</v>
      </c>
      <c r="O296" s="4">
        <v>45672.5030092593</v>
      </c>
      <c r="P296" t="s">
        <v>116</v>
      </c>
      <c r="Q296" t="s">
        <v>1887</v>
      </c>
      <c r="R296" t="s">
        <v>3179</v>
      </c>
      <c r="T296" t="s">
        <v>116</v>
      </c>
    </row>
    <row r="297" ht="25.5" customHeight="1" spans="1:20">
      <c r="A297" t="s">
        <v>2825</v>
      </c>
      <c r="B297" t="s">
        <v>65</v>
      </c>
      <c r="C297" t="s">
        <v>3392</v>
      </c>
      <c r="D297" s="3"/>
      <c r="E297" s="2">
        <v>45672</v>
      </c>
      <c r="F297">
        <v>116000</v>
      </c>
      <c r="G297">
        <v>2938</v>
      </c>
      <c r="H297">
        <v>52</v>
      </c>
      <c r="I297">
        <v>0</v>
      </c>
      <c r="L297" t="s">
        <v>3138</v>
      </c>
      <c r="M297" t="s">
        <v>3393</v>
      </c>
      <c r="N297" t="s">
        <v>1630</v>
      </c>
      <c r="O297" s="4">
        <v>45672.5033564815</v>
      </c>
      <c r="P297" t="s">
        <v>116</v>
      </c>
      <c r="Q297" t="s">
        <v>1887</v>
      </c>
      <c r="R297" t="s">
        <v>3179</v>
      </c>
      <c r="T297" t="s">
        <v>116</v>
      </c>
    </row>
    <row r="298" ht="25.5" customHeight="1" spans="1:20">
      <c r="A298" t="s">
        <v>2825</v>
      </c>
      <c r="B298" t="s">
        <v>65</v>
      </c>
      <c r="C298" t="s">
        <v>3392</v>
      </c>
      <c r="D298" s="3"/>
      <c r="E298" s="2">
        <v>45673</v>
      </c>
      <c r="F298">
        <v>116000</v>
      </c>
      <c r="G298">
        <v>3069</v>
      </c>
      <c r="H298">
        <v>54</v>
      </c>
      <c r="I298">
        <v>0</v>
      </c>
      <c r="L298" t="s">
        <v>3138</v>
      </c>
      <c r="M298" t="s">
        <v>3393</v>
      </c>
      <c r="N298" t="s">
        <v>1630</v>
      </c>
      <c r="O298" s="4">
        <v>45673.4867939815</v>
      </c>
      <c r="P298" t="s">
        <v>116</v>
      </c>
      <c r="Q298" t="s">
        <v>1887</v>
      </c>
      <c r="R298" t="s">
        <v>3272</v>
      </c>
      <c r="T298" t="s">
        <v>116</v>
      </c>
    </row>
    <row r="299" ht="25.5" customHeight="1" spans="1:20">
      <c r="A299" t="s">
        <v>2825</v>
      </c>
      <c r="B299" t="s">
        <v>65</v>
      </c>
      <c r="C299" t="s">
        <v>3392</v>
      </c>
      <c r="D299" s="3"/>
      <c r="E299" s="2">
        <v>45674</v>
      </c>
      <c r="F299">
        <v>116000</v>
      </c>
      <c r="G299">
        <v>3128</v>
      </c>
      <c r="H299">
        <v>55</v>
      </c>
      <c r="I299">
        <v>0</v>
      </c>
      <c r="L299" t="s">
        <v>3138</v>
      </c>
      <c r="M299" t="s">
        <v>3393</v>
      </c>
      <c r="N299" t="s">
        <v>1630</v>
      </c>
      <c r="O299" s="4">
        <v>45674.6185300926</v>
      </c>
      <c r="P299" t="s">
        <v>116</v>
      </c>
      <c r="Q299" t="s">
        <v>1887</v>
      </c>
      <c r="R299" t="s">
        <v>3394</v>
      </c>
      <c r="T299" t="s">
        <v>116</v>
      </c>
    </row>
    <row r="300" ht="25.5" customHeight="1" spans="1:20">
      <c r="A300" t="s">
        <v>2825</v>
      </c>
      <c r="B300" t="s">
        <v>65</v>
      </c>
      <c r="C300" t="s">
        <v>3392</v>
      </c>
      <c r="D300" s="3"/>
      <c r="E300" s="2">
        <v>45677</v>
      </c>
      <c r="F300">
        <v>116000</v>
      </c>
      <c r="G300">
        <v>3297</v>
      </c>
      <c r="H300">
        <v>56</v>
      </c>
      <c r="I300">
        <v>0</v>
      </c>
      <c r="L300" t="s">
        <v>3138</v>
      </c>
      <c r="M300" t="s">
        <v>3393</v>
      </c>
      <c r="N300" t="s">
        <v>1630</v>
      </c>
      <c r="O300" s="4">
        <v>45677.388287037</v>
      </c>
      <c r="P300" t="s">
        <v>116</v>
      </c>
      <c r="Q300" t="s">
        <v>1887</v>
      </c>
      <c r="R300" t="s">
        <v>3273</v>
      </c>
      <c r="T300" t="s">
        <v>116</v>
      </c>
    </row>
    <row r="301" ht="25.5" customHeight="1" spans="1:20">
      <c r="A301" t="s">
        <v>2825</v>
      </c>
      <c r="B301" t="s">
        <v>65</v>
      </c>
      <c r="C301" t="s">
        <v>3392</v>
      </c>
      <c r="D301" s="3"/>
      <c r="E301" s="2">
        <v>45678</v>
      </c>
      <c r="F301">
        <v>116000</v>
      </c>
      <c r="G301">
        <v>3366</v>
      </c>
      <c r="H301">
        <v>57</v>
      </c>
      <c r="I301">
        <v>0</v>
      </c>
      <c r="L301" t="s">
        <v>3138</v>
      </c>
      <c r="M301" t="s">
        <v>3393</v>
      </c>
      <c r="N301" t="s">
        <v>1630</v>
      </c>
      <c r="O301" s="4">
        <v>45678.4938657407</v>
      </c>
      <c r="P301" t="s">
        <v>116</v>
      </c>
      <c r="Q301" t="s">
        <v>1887</v>
      </c>
      <c r="R301" t="s">
        <v>3395</v>
      </c>
      <c r="T301" t="s">
        <v>116</v>
      </c>
    </row>
    <row r="302" ht="25.5" customHeight="1" spans="1:20">
      <c r="A302" t="s">
        <v>2825</v>
      </c>
      <c r="B302" t="s">
        <v>65</v>
      </c>
      <c r="C302" t="s">
        <v>3392</v>
      </c>
      <c r="D302" s="3"/>
      <c r="E302" s="2">
        <v>45679</v>
      </c>
      <c r="F302">
        <v>116000</v>
      </c>
      <c r="G302">
        <v>3409</v>
      </c>
      <c r="H302">
        <v>60</v>
      </c>
      <c r="I302">
        <v>0</v>
      </c>
      <c r="L302" t="s">
        <v>3138</v>
      </c>
      <c r="M302" t="s">
        <v>3393</v>
      </c>
      <c r="N302" t="s">
        <v>1630</v>
      </c>
      <c r="O302" s="4">
        <v>45679.6572106481</v>
      </c>
      <c r="P302" t="s">
        <v>116</v>
      </c>
      <c r="Q302" t="s">
        <v>1887</v>
      </c>
      <c r="R302" t="s">
        <v>3396</v>
      </c>
      <c r="T302" t="s">
        <v>116</v>
      </c>
    </row>
    <row r="303" ht="25.5" customHeight="1" spans="1:20">
      <c r="A303" t="s">
        <v>2825</v>
      </c>
      <c r="B303" t="s">
        <v>65</v>
      </c>
      <c r="C303" t="s">
        <v>3392</v>
      </c>
      <c r="D303" s="3"/>
      <c r="E303" s="2">
        <v>45680</v>
      </c>
      <c r="F303">
        <v>116000</v>
      </c>
      <c r="G303">
        <v>3445</v>
      </c>
      <c r="H303">
        <v>60</v>
      </c>
      <c r="I303">
        <v>0</v>
      </c>
      <c r="L303" t="s">
        <v>3138</v>
      </c>
      <c r="M303" t="s">
        <v>3393</v>
      </c>
      <c r="N303" t="s">
        <v>1630</v>
      </c>
      <c r="O303" s="4">
        <v>45680.5044675926</v>
      </c>
      <c r="P303" t="s">
        <v>116</v>
      </c>
      <c r="Q303" t="s">
        <v>1887</v>
      </c>
      <c r="R303" t="s">
        <v>3396</v>
      </c>
      <c r="T303" t="s">
        <v>116</v>
      </c>
    </row>
    <row r="304" ht="25.5" customHeight="1" spans="1:20">
      <c r="A304" t="s">
        <v>2825</v>
      </c>
      <c r="B304" t="s">
        <v>65</v>
      </c>
      <c r="C304" t="s">
        <v>3392</v>
      </c>
      <c r="D304" s="3"/>
      <c r="E304" s="2">
        <v>45681</v>
      </c>
      <c r="F304">
        <v>116000</v>
      </c>
      <c r="G304">
        <v>3473</v>
      </c>
      <c r="H304">
        <v>60</v>
      </c>
      <c r="I304">
        <v>0</v>
      </c>
      <c r="L304" t="s">
        <v>3138</v>
      </c>
      <c r="M304" t="s">
        <v>3393</v>
      </c>
      <c r="N304" t="s">
        <v>1630</v>
      </c>
      <c r="O304" s="4">
        <v>45681.4777083333</v>
      </c>
      <c r="P304" t="s">
        <v>116</v>
      </c>
      <c r="Q304" t="s">
        <v>1887</v>
      </c>
      <c r="R304" t="s">
        <v>3396</v>
      </c>
      <c r="T304" t="s">
        <v>116</v>
      </c>
    </row>
    <row r="305" ht="25.5" customHeight="1" spans="1:20">
      <c r="A305" t="s">
        <v>2825</v>
      </c>
      <c r="B305" t="s">
        <v>65</v>
      </c>
      <c r="C305" t="s">
        <v>3392</v>
      </c>
      <c r="D305" s="3"/>
      <c r="E305" s="2">
        <v>45683</v>
      </c>
      <c r="F305">
        <v>116000</v>
      </c>
      <c r="G305">
        <v>3548</v>
      </c>
      <c r="H305">
        <v>63</v>
      </c>
      <c r="I305">
        <v>0</v>
      </c>
      <c r="L305" t="s">
        <v>3138</v>
      </c>
      <c r="M305" t="s">
        <v>3393</v>
      </c>
      <c r="N305" t="s">
        <v>1630</v>
      </c>
      <c r="O305" s="4">
        <v>45683.7067939815</v>
      </c>
      <c r="P305" t="s">
        <v>116</v>
      </c>
      <c r="Q305" t="s">
        <v>1887</v>
      </c>
      <c r="R305" t="s">
        <v>3397</v>
      </c>
      <c r="T305" t="s">
        <v>116</v>
      </c>
    </row>
    <row r="306" ht="25.5" customHeight="1" spans="1:20">
      <c r="A306" t="s">
        <v>2825</v>
      </c>
      <c r="B306" t="s">
        <v>65</v>
      </c>
      <c r="C306" t="s">
        <v>3392</v>
      </c>
      <c r="D306" s="3"/>
      <c r="E306" s="2">
        <v>45684</v>
      </c>
      <c r="F306">
        <v>116000</v>
      </c>
      <c r="G306">
        <v>3559</v>
      </c>
      <c r="H306">
        <v>63</v>
      </c>
      <c r="I306">
        <v>0</v>
      </c>
      <c r="L306" t="s">
        <v>3138</v>
      </c>
      <c r="M306" t="s">
        <v>3393</v>
      </c>
      <c r="N306" t="s">
        <v>1630</v>
      </c>
      <c r="O306" s="4">
        <v>45684.7631481482</v>
      </c>
      <c r="P306" t="s">
        <v>116</v>
      </c>
      <c r="Q306" t="s">
        <v>1887</v>
      </c>
      <c r="R306" t="s">
        <v>3397</v>
      </c>
      <c r="T306" t="s">
        <v>116</v>
      </c>
    </row>
    <row r="307" ht="25.5" customHeight="1" spans="1:20">
      <c r="A307" t="s">
        <v>2825</v>
      </c>
      <c r="B307" t="s">
        <v>65</v>
      </c>
      <c r="C307" t="s">
        <v>3392</v>
      </c>
      <c r="D307" s="3"/>
      <c r="E307" s="2">
        <v>45693</v>
      </c>
      <c r="F307">
        <v>115000</v>
      </c>
      <c r="G307">
        <v>3684</v>
      </c>
      <c r="H307">
        <v>67</v>
      </c>
      <c r="I307">
        <v>0</v>
      </c>
      <c r="L307" t="s">
        <v>3138</v>
      </c>
      <c r="M307" t="s">
        <v>3393</v>
      </c>
      <c r="N307" t="s">
        <v>1630</v>
      </c>
      <c r="O307" s="4">
        <v>45693.7619560185</v>
      </c>
      <c r="P307" t="s">
        <v>116</v>
      </c>
      <c r="Q307" t="s">
        <v>1887</v>
      </c>
      <c r="R307" t="s">
        <v>3398</v>
      </c>
      <c r="T307" t="s">
        <v>116</v>
      </c>
    </row>
    <row r="308" ht="25.5" customHeight="1" spans="1:20">
      <c r="A308" t="s">
        <v>2825</v>
      </c>
      <c r="B308" t="s">
        <v>65</v>
      </c>
      <c r="C308" t="s">
        <v>3392</v>
      </c>
      <c r="D308" s="3"/>
      <c r="E308" s="2">
        <v>45694</v>
      </c>
      <c r="F308">
        <v>115000</v>
      </c>
      <c r="G308">
        <v>3688</v>
      </c>
      <c r="H308">
        <v>67</v>
      </c>
      <c r="I308">
        <v>0</v>
      </c>
      <c r="L308" t="s">
        <v>3138</v>
      </c>
      <c r="M308" t="s">
        <v>3393</v>
      </c>
      <c r="N308" t="s">
        <v>1630</v>
      </c>
      <c r="O308" s="4">
        <v>45698.6216782407</v>
      </c>
      <c r="P308" t="s">
        <v>116</v>
      </c>
      <c r="Q308" t="s">
        <v>1887</v>
      </c>
      <c r="R308" t="s">
        <v>3398</v>
      </c>
      <c r="S308" t="s">
        <v>3245</v>
      </c>
      <c r="T308" t="s">
        <v>116</v>
      </c>
    </row>
    <row r="309" ht="25.5" customHeight="1" spans="1:20">
      <c r="A309" t="s">
        <v>2825</v>
      </c>
      <c r="B309" t="s">
        <v>65</v>
      </c>
      <c r="C309" t="s">
        <v>3392</v>
      </c>
      <c r="D309" s="3"/>
      <c r="E309" s="2">
        <v>45695</v>
      </c>
      <c r="F309">
        <v>115000</v>
      </c>
      <c r="G309">
        <v>3699</v>
      </c>
      <c r="H309">
        <v>67</v>
      </c>
      <c r="I309">
        <v>0</v>
      </c>
      <c r="L309" t="s">
        <v>3138</v>
      </c>
      <c r="M309" t="s">
        <v>3393</v>
      </c>
      <c r="N309" t="s">
        <v>1630</v>
      </c>
      <c r="O309" s="4">
        <v>45695.4768287037</v>
      </c>
      <c r="P309" t="s">
        <v>116</v>
      </c>
      <c r="Q309" t="s">
        <v>1887</v>
      </c>
      <c r="R309" t="s">
        <v>3398</v>
      </c>
      <c r="T309" t="s">
        <v>116</v>
      </c>
    </row>
    <row r="310" ht="25.5" customHeight="1" spans="1:20">
      <c r="A310" t="s">
        <v>2825</v>
      </c>
      <c r="B310" t="s">
        <v>65</v>
      </c>
      <c r="C310" t="s">
        <v>3392</v>
      </c>
      <c r="D310" s="3"/>
      <c r="E310" s="2">
        <v>45696</v>
      </c>
      <c r="F310">
        <v>115000</v>
      </c>
      <c r="G310">
        <v>3720</v>
      </c>
      <c r="H310">
        <v>67</v>
      </c>
      <c r="I310">
        <v>0</v>
      </c>
      <c r="L310" t="s">
        <v>3138</v>
      </c>
      <c r="M310" t="s">
        <v>3393</v>
      </c>
      <c r="N310" t="s">
        <v>1630</v>
      </c>
      <c r="O310" s="4">
        <v>45696.4458912037</v>
      </c>
      <c r="P310" t="s">
        <v>116</v>
      </c>
      <c r="Q310" t="s">
        <v>1887</v>
      </c>
      <c r="R310" t="s">
        <v>3398</v>
      </c>
      <c r="T310" t="s">
        <v>116</v>
      </c>
    </row>
    <row r="311" ht="25.5" customHeight="1" spans="1:20">
      <c r="A311" t="s">
        <v>2234</v>
      </c>
      <c r="B311" t="s">
        <v>1816</v>
      </c>
      <c r="C311" t="s">
        <v>3399</v>
      </c>
      <c r="D311" s="3"/>
      <c r="E311" s="2">
        <v>45664</v>
      </c>
      <c r="F311">
        <v>108700</v>
      </c>
      <c r="G311">
        <v>40400</v>
      </c>
      <c r="H311">
        <v>81</v>
      </c>
      <c r="I311">
        <v>33</v>
      </c>
      <c r="J311">
        <v>69</v>
      </c>
      <c r="K311">
        <v>22</v>
      </c>
      <c r="L311" t="s">
        <v>3138</v>
      </c>
      <c r="M311" t="s">
        <v>3400</v>
      </c>
      <c r="N311" t="s">
        <v>1630</v>
      </c>
      <c r="O311" s="4">
        <v>45670.7563888889</v>
      </c>
      <c r="P311" t="s">
        <v>1817</v>
      </c>
      <c r="Q311" t="s">
        <v>1631</v>
      </c>
      <c r="R311" t="s">
        <v>3330</v>
      </c>
      <c r="T311" t="s">
        <v>1817</v>
      </c>
    </row>
    <row r="312" ht="25.5" customHeight="1" spans="1:20">
      <c r="A312" t="s">
        <v>2234</v>
      </c>
      <c r="B312" t="s">
        <v>1816</v>
      </c>
      <c r="C312" t="s">
        <v>3399</v>
      </c>
      <c r="D312" s="3"/>
      <c r="E312" s="2">
        <v>45665</v>
      </c>
      <c r="F312">
        <v>108700</v>
      </c>
      <c r="G312">
        <v>43700</v>
      </c>
      <c r="H312">
        <v>90</v>
      </c>
      <c r="I312">
        <v>37</v>
      </c>
      <c r="J312">
        <v>78</v>
      </c>
      <c r="K312">
        <v>22</v>
      </c>
      <c r="L312" t="s">
        <v>3138</v>
      </c>
      <c r="M312" t="s">
        <v>3400</v>
      </c>
      <c r="N312" t="s">
        <v>1630</v>
      </c>
      <c r="O312" s="4">
        <v>45672.5030092593</v>
      </c>
      <c r="P312" t="s">
        <v>1817</v>
      </c>
      <c r="Q312" t="s">
        <v>1631</v>
      </c>
      <c r="R312" t="s">
        <v>3401</v>
      </c>
      <c r="T312" t="s">
        <v>1817</v>
      </c>
    </row>
    <row r="313" ht="25.5" customHeight="1" spans="1:20">
      <c r="A313" t="s">
        <v>2234</v>
      </c>
      <c r="B313" t="s">
        <v>1816</v>
      </c>
      <c r="C313" t="s">
        <v>3399</v>
      </c>
      <c r="D313" s="3"/>
      <c r="E313" s="2">
        <v>45670</v>
      </c>
      <c r="F313">
        <v>109000</v>
      </c>
      <c r="G313">
        <v>46000</v>
      </c>
      <c r="H313">
        <v>94</v>
      </c>
      <c r="I313">
        <v>40</v>
      </c>
      <c r="J313">
        <v>81</v>
      </c>
      <c r="K313">
        <v>22</v>
      </c>
      <c r="L313" t="s">
        <v>3138</v>
      </c>
      <c r="M313" t="s">
        <v>3400</v>
      </c>
      <c r="N313" t="s">
        <v>1630</v>
      </c>
      <c r="O313" s="4">
        <v>45672.5030092593</v>
      </c>
      <c r="P313" t="s">
        <v>1817</v>
      </c>
      <c r="Q313" t="s">
        <v>1631</v>
      </c>
      <c r="R313" t="s">
        <v>3402</v>
      </c>
      <c r="T313" t="s">
        <v>1817</v>
      </c>
    </row>
    <row r="314" ht="25.5" customHeight="1" spans="1:20">
      <c r="A314" t="s">
        <v>2234</v>
      </c>
      <c r="B314" t="s">
        <v>1816</v>
      </c>
      <c r="C314" t="s">
        <v>3399</v>
      </c>
      <c r="D314" s="3"/>
      <c r="E314" s="2">
        <v>45671</v>
      </c>
      <c r="F314">
        <v>109100</v>
      </c>
      <c r="G314">
        <v>46000</v>
      </c>
      <c r="H314">
        <v>94</v>
      </c>
      <c r="I314">
        <v>40</v>
      </c>
      <c r="J314">
        <v>81</v>
      </c>
      <c r="K314">
        <v>22</v>
      </c>
      <c r="L314" t="s">
        <v>3138</v>
      </c>
      <c r="M314" t="s">
        <v>3400</v>
      </c>
      <c r="N314" t="s">
        <v>1630</v>
      </c>
      <c r="O314" s="4">
        <v>45672.5030092593</v>
      </c>
      <c r="P314" t="s">
        <v>1817</v>
      </c>
      <c r="Q314" t="s">
        <v>1631</v>
      </c>
      <c r="R314" t="s">
        <v>3402</v>
      </c>
      <c r="T314" t="s">
        <v>1817</v>
      </c>
    </row>
    <row r="315" ht="25.5" customHeight="1" spans="1:20">
      <c r="A315" t="s">
        <v>2234</v>
      </c>
      <c r="B315" t="s">
        <v>1816</v>
      </c>
      <c r="C315" t="s">
        <v>3399</v>
      </c>
      <c r="D315" s="3"/>
      <c r="E315" s="2">
        <v>45672</v>
      </c>
      <c r="F315">
        <v>109000</v>
      </c>
      <c r="G315">
        <v>46100</v>
      </c>
      <c r="H315">
        <v>94</v>
      </c>
      <c r="I315">
        <v>40</v>
      </c>
      <c r="J315">
        <v>81</v>
      </c>
      <c r="K315">
        <v>22</v>
      </c>
      <c r="L315" t="s">
        <v>3138</v>
      </c>
      <c r="M315" t="s">
        <v>3400</v>
      </c>
      <c r="N315" t="s">
        <v>1630</v>
      </c>
      <c r="O315" s="4">
        <v>45672.7119675926</v>
      </c>
      <c r="P315" t="s">
        <v>1817</v>
      </c>
      <c r="Q315" t="s">
        <v>1631</v>
      </c>
      <c r="R315" t="s">
        <v>3402</v>
      </c>
      <c r="T315" t="s">
        <v>1817</v>
      </c>
    </row>
    <row r="316" ht="25.5" customHeight="1" spans="1:20">
      <c r="A316" t="s">
        <v>2234</v>
      </c>
      <c r="B316" t="s">
        <v>1816</v>
      </c>
      <c r="C316" t="s">
        <v>3399</v>
      </c>
      <c r="D316" s="3"/>
      <c r="E316" s="2">
        <v>45673</v>
      </c>
      <c r="F316">
        <v>109300</v>
      </c>
      <c r="G316">
        <v>46100</v>
      </c>
      <c r="H316">
        <v>92</v>
      </c>
      <c r="I316">
        <v>40</v>
      </c>
      <c r="J316">
        <v>81</v>
      </c>
      <c r="K316">
        <v>22</v>
      </c>
      <c r="L316" t="s">
        <v>3138</v>
      </c>
      <c r="M316" t="s">
        <v>3400</v>
      </c>
      <c r="N316" t="s">
        <v>1630</v>
      </c>
      <c r="O316" s="4">
        <v>45673.6264467593</v>
      </c>
      <c r="P316" t="s">
        <v>1817</v>
      </c>
      <c r="Q316" t="s">
        <v>1631</v>
      </c>
      <c r="R316" t="s">
        <v>3403</v>
      </c>
      <c r="T316" t="s">
        <v>1817</v>
      </c>
    </row>
    <row r="317" ht="25.5" customHeight="1" spans="1:20">
      <c r="A317" t="s">
        <v>2234</v>
      </c>
      <c r="B317" t="s">
        <v>1816</v>
      </c>
      <c r="C317" t="s">
        <v>3399</v>
      </c>
      <c r="D317" s="3"/>
      <c r="E317" s="2">
        <v>45674</v>
      </c>
      <c r="F317">
        <v>109400</v>
      </c>
      <c r="G317">
        <v>46100</v>
      </c>
      <c r="H317">
        <v>92</v>
      </c>
      <c r="I317">
        <v>40</v>
      </c>
      <c r="J317">
        <v>81</v>
      </c>
      <c r="K317">
        <v>22</v>
      </c>
      <c r="L317" t="s">
        <v>3138</v>
      </c>
      <c r="M317" t="s">
        <v>3400</v>
      </c>
      <c r="N317" t="s">
        <v>1630</v>
      </c>
      <c r="O317" s="4">
        <v>45674.6813657407</v>
      </c>
      <c r="P317" t="s">
        <v>1817</v>
      </c>
      <c r="Q317" t="s">
        <v>1631</v>
      </c>
      <c r="R317" t="s">
        <v>3403</v>
      </c>
      <c r="T317" t="s">
        <v>1817</v>
      </c>
    </row>
    <row r="318" ht="25.5" customHeight="1" spans="1:20">
      <c r="A318" t="s">
        <v>2234</v>
      </c>
      <c r="B318" t="s">
        <v>1816</v>
      </c>
      <c r="C318" t="s">
        <v>3399</v>
      </c>
      <c r="D318" s="3"/>
      <c r="E318" s="2">
        <v>45677</v>
      </c>
      <c r="F318">
        <v>109400</v>
      </c>
      <c r="G318">
        <v>46200</v>
      </c>
      <c r="H318">
        <v>93</v>
      </c>
      <c r="I318">
        <v>40</v>
      </c>
      <c r="J318">
        <v>81</v>
      </c>
      <c r="K318">
        <v>22</v>
      </c>
      <c r="L318" t="s">
        <v>3138</v>
      </c>
      <c r="M318" t="s">
        <v>3400</v>
      </c>
      <c r="N318" t="s">
        <v>1630</v>
      </c>
      <c r="O318" s="4">
        <v>45677.4403703704</v>
      </c>
      <c r="P318" t="s">
        <v>1817</v>
      </c>
      <c r="Q318" t="s">
        <v>1631</v>
      </c>
      <c r="R318" t="s">
        <v>3404</v>
      </c>
      <c r="T318" t="s">
        <v>1817</v>
      </c>
    </row>
    <row r="319" ht="25.5" customHeight="1" spans="1:20">
      <c r="A319" t="s">
        <v>2234</v>
      </c>
      <c r="B319" t="s">
        <v>1816</v>
      </c>
      <c r="C319" t="s">
        <v>3399</v>
      </c>
      <c r="D319" s="3"/>
      <c r="E319" s="2">
        <v>45678</v>
      </c>
      <c r="F319">
        <v>109400</v>
      </c>
      <c r="G319">
        <v>46200</v>
      </c>
      <c r="H319">
        <v>93</v>
      </c>
      <c r="I319">
        <v>40</v>
      </c>
      <c r="J319">
        <v>81</v>
      </c>
      <c r="K319">
        <v>22</v>
      </c>
      <c r="L319" t="s">
        <v>3138</v>
      </c>
      <c r="M319" t="s">
        <v>3400</v>
      </c>
      <c r="N319" t="s">
        <v>1630</v>
      </c>
      <c r="O319" s="4">
        <v>45678.6649768519</v>
      </c>
      <c r="P319" t="s">
        <v>1817</v>
      </c>
      <c r="Q319" t="s">
        <v>1631</v>
      </c>
      <c r="R319" t="s">
        <v>3404</v>
      </c>
      <c r="T319" t="s">
        <v>1817</v>
      </c>
    </row>
    <row r="320" ht="25.5" customHeight="1" spans="1:20">
      <c r="A320" t="s">
        <v>2234</v>
      </c>
      <c r="B320" t="s">
        <v>1816</v>
      </c>
      <c r="C320" t="s">
        <v>3399</v>
      </c>
      <c r="D320" s="3"/>
      <c r="E320" s="2">
        <v>45679</v>
      </c>
      <c r="F320">
        <v>109400</v>
      </c>
      <c r="G320">
        <v>46200</v>
      </c>
      <c r="H320">
        <v>93</v>
      </c>
      <c r="I320">
        <v>40</v>
      </c>
      <c r="J320">
        <v>81</v>
      </c>
      <c r="K320">
        <v>21</v>
      </c>
      <c r="L320" t="s">
        <v>3138</v>
      </c>
      <c r="M320" t="s">
        <v>3400</v>
      </c>
      <c r="N320" t="s">
        <v>1630</v>
      </c>
      <c r="O320" s="4">
        <v>45679.650787037</v>
      </c>
      <c r="P320" t="s">
        <v>1817</v>
      </c>
      <c r="Q320" t="s">
        <v>1631</v>
      </c>
      <c r="R320" t="s">
        <v>3403</v>
      </c>
      <c r="T320" t="s">
        <v>1817</v>
      </c>
    </row>
    <row r="321" ht="25.5" customHeight="1" spans="1:20">
      <c r="A321" t="s">
        <v>2234</v>
      </c>
      <c r="B321" t="s">
        <v>1816</v>
      </c>
      <c r="C321" t="s">
        <v>3399</v>
      </c>
      <c r="D321" s="3"/>
      <c r="E321" s="2">
        <v>45680</v>
      </c>
      <c r="F321">
        <v>109500</v>
      </c>
      <c r="G321">
        <v>46200</v>
      </c>
      <c r="H321">
        <v>92</v>
      </c>
      <c r="I321">
        <v>40</v>
      </c>
      <c r="J321">
        <v>81</v>
      </c>
      <c r="K321">
        <v>21</v>
      </c>
      <c r="L321" t="s">
        <v>3138</v>
      </c>
      <c r="M321" t="s">
        <v>3400</v>
      </c>
      <c r="N321" t="s">
        <v>1630</v>
      </c>
      <c r="O321" s="4">
        <v>45680.6660416667</v>
      </c>
      <c r="P321" t="s">
        <v>1817</v>
      </c>
      <c r="Q321" t="s">
        <v>1631</v>
      </c>
      <c r="R321" t="s">
        <v>3191</v>
      </c>
      <c r="T321" t="s">
        <v>1817</v>
      </c>
    </row>
    <row r="322" ht="25.5" customHeight="1" spans="1:20">
      <c r="A322" t="s">
        <v>2234</v>
      </c>
      <c r="B322" t="s">
        <v>1816</v>
      </c>
      <c r="C322" t="s">
        <v>3399</v>
      </c>
      <c r="D322" s="3"/>
      <c r="E322" s="2">
        <v>45681</v>
      </c>
      <c r="F322">
        <v>109500</v>
      </c>
      <c r="G322">
        <v>46200</v>
      </c>
      <c r="H322">
        <v>92</v>
      </c>
      <c r="I322">
        <v>40</v>
      </c>
      <c r="J322">
        <v>81</v>
      </c>
      <c r="K322">
        <v>21</v>
      </c>
      <c r="L322" t="s">
        <v>3138</v>
      </c>
      <c r="M322" t="s">
        <v>3400</v>
      </c>
      <c r="N322" t="s">
        <v>1630</v>
      </c>
      <c r="O322" s="4">
        <v>45681.6513425926</v>
      </c>
      <c r="P322" t="s">
        <v>1817</v>
      </c>
      <c r="Q322" t="s">
        <v>1631</v>
      </c>
      <c r="R322" t="s">
        <v>3191</v>
      </c>
      <c r="T322" t="s">
        <v>1817</v>
      </c>
    </row>
    <row r="323" ht="25.5" customHeight="1" spans="1:20">
      <c r="A323" t="s">
        <v>2234</v>
      </c>
      <c r="B323" t="s">
        <v>1816</v>
      </c>
      <c r="C323" t="s">
        <v>3399</v>
      </c>
      <c r="D323" s="3"/>
      <c r="E323" s="2">
        <v>45683</v>
      </c>
      <c r="F323">
        <v>109500</v>
      </c>
      <c r="G323">
        <v>46200</v>
      </c>
      <c r="H323">
        <v>92</v>
      </c>
      <c r="I323">
        <v>40</v>
      </c>
      <c r="J323">
        <v>81</v>
      </c>
      <c r="K323">
        <v>21</v>
      </c>
      <c r="L323" t="s">
        <v>3138</v>
      </c>
      <c r="M323" t="s">
        <v>3400</v>
      </c>
      <c r="N323" t="s">
        <v>1630</v>
      </c>
      <c r="O323" s="4">
        <v>45683.792337963</v>
      </c>
      <c r="P323" t="s">
        <v>1817</v>
      </c>
      <c r="Q323" t="s">
        <v>1631</v>
      </c>
      <c r="R323" t="s">
        <v>3191</v>
      </c>
      <c r="T323" t="s">
        <v>1817</v>
      </c>
    </row>
    <row r="324" ht="25.5" customHeight="1" spans="1:20">
      <c r="A324" t="s">
        <v>2234</v>
      </c>
      <c r="B324" t="s">
        <v>1816</v>
      </c>
      <c r="C324" t="s">
        <v>3399</v>
      </c>
      <c r="D324" s="3"/>
      <c r="E324" s="2">
        <v>45684</v>
      </c>
      <c r="F324">
        <v>109500</v>
      </c>
      <c r="G324">
        <v>46200</v>
      </c>
      <c r="H324">
        <v>91</v>
      </c>
      <c r="I324">
        <v>40</v>
      </c>
      <c r="J324">
        <v>81</v>
      </c>
      <c r="K324">
        <v>21</v>
      </c>
      <c r="L324" t="s">
        <v>3138</v>
      </c>
      <c r="M324" t="s">
        <v>3400</v>
      </c>
      <c r="N324" t="s">
        <v>1630</v>
      </c>
      <c r="O324" s="4">
        <v>45684.752349537</v>
      </c>
      <c r="P324" t="s">
        <v>1817</v>
      </c>
      <c r="Q324" t="s">
        <v>1631</v>
      </c>
      <c r="R324" t="s">
        <v>3405</v>
      </c>
      <c r="T324" t="s">
        <v>1817</v>
      </c>
    </row>
    <row r="325" ht="25.5" customHeight="1" spans="1:20">
      <c r="A325" t="s">
        <v>2234</v>
      </c>
      <c r="B325" t="s">
        <v>1816</v>
      </c>
      <c r="C325" t="s">
        <v>3399</v>
      </c>
      <c r="D325" s="3"/>
      <c r="E325" s="2">
        <v>45693</v>
      </c>
      <c r="F325">
        <v>110200</v>
      </c>
      <c r="G325">
        <v>46200</v>
      </c>
      <c r="H325">
        <v>90</v>
      </c>
      <c r="I325">
        <v>40</v>
      </c>
      <c r="J325">
        <v>81</v>
      </c>
      <c r="K325">
        <v>20</v>
      </c>
      <c r="L325" t="s">
        <v>3138</v>
      </c>
      <c r="M325" t="s">
        <v>3400</v>
      </c>
      <c r="N325" t="s">
        <v>1630</v>
      </c>
      <c r="O325" s="4">
        <v>45693.8356134259</v>
      </c>
      <c r="P325" t="s">
        <v>1817</v>
      </c>
      <c r="Q325" t="s">
        <v>1631</v>
      </c>
      <c r="R325" t="s">
        <v>3406</v>
      </c>
      <c r="T325" t="s">
        <v>1817</v>
      </c>
    </row>
    <row r="326" ht="25.5" customHeight="1" spans="1:20">
      <c r="A326" t="s">
        <v>2234</v>
      </c>
      <c r="B326" t="s">
        <v>1816</v>
      </c>
      <c r="C326" t="s">
        <v>3399</v>
      </c>
      <c r="D326" s="3"/>
      <c r="E326" s="2">
        <v>45694</v>
      </c>
      <c r="F326">
        <v>110200</v>
      </c>
      <c r="G326">
        <v>46200</v>
      </c>
      <c r="H326">
        <v>91</v>
      </c>
      <c r="I326">
        <v>40</v>
      </c>
      <c r="J326">
        <v>81</v>
      </c>
      <c r="K326">
        <v>21</v>
      </c>
      <c r="L326" t="s">
        <v>3138</v>
      </c>
      <c r="M326" t="s">
        <v>3400</v>
      </c>
      <c r="N326" t="s">
        <v>1630</v>
      </c>
      <c r="O326" s="4">
        <v>45698.6216782407</v>
      </c>
      <c r="P326" t="s">
        <v>1817</v>
      </c>
      <c r="Q326" t="s">
        <v>1631</v>
      </c>
      <c r="R326" t="s">
        <v>3405</v>
      </c>
      <c r="S326" t="s">
        <v>3245</v>
      </c>
      <c r="T326" t="s">
        <v>1817</v>
      </c>
    </row>
    <row r="327" ht="25.5" customHeight="1" spans="1:18">
      <c r="A327" t="s">
        <v>3407</v>
      </c>
      <c r="D327" s="3"/>
      <c r="E327" s="2">
        <v>45678</v>
      </c>
      <c r="O327" s="4">
        <v>45678.6643171296</v>
      </c>
      <c r="R327" t="s">
        <v>3133</v>
      </c>
    </row>
    <row r="328" ht="25.5" customHeight="1" spans="1:20">
      <c r="A328" t="s">
        <v>81</v>
      </c>
      <c r="B328" t="s">
        <v>65</v>
      </c>
      <c r="C328" t="s">
        <v>3408</v>
      </c>
      <c r="D328" s="3" t="str">
        <f>HYPERLINK("https://www.instagram.com/ceomindset.official/","https://www.instagram.com/ceomindset.official/")</f>
        <v>https://www.instagram.com/ceomindset.official/</v>
      </c>
      <c r="E328" s="2">
        <v>45664</v>
      </c>
      <c r="F328">
        <v>69700</v>
      </c>
      <c r="H328">
        <v>141</v>
      </c>
      <c r="I328">
        <v>1</v>
      </c>
      <c r="L328" t="s">
        <v>3138</v>
      </c>
      <c r="M328" t="s">
        <v>3270</v>
      </c>
      <c r="N328" t="s">
        <v>1630</v>
      </c>
      <c r="O328" s="4">
        <v>45679.6462268519</v>
      </c>
      <c r="P328" t="s">
        <v>66</v>
      </c>
      <c r="Q328" t="s">
        <v>1631</v>
      </c>
      <c r="R328" t="s">
        <v>3409</v>
      </c>
      <c r="T328" t="s">
        <v>66</v>
      </c>
    </row>
    <row r="329" ht="25.5" customHeight="1" spans="1:20">
      <c r="A329" t="s">
        <v>81</v>
      </c>
      <c r="B329" t="s">
        <v>65</v>
      </c>
      <c r="C329" t="s">
        <v>3408</v>
      </c>
      <c r="D329" s="3"/>
      <c r="E329" s="2">
        <v>45670</v>
      </c>
      <c r="F329">
        <v>69800</v>
      </c>
      <c r="H329">
        <v>218</v>
      </c>
      <c r="I329">
        <v>1</v>
      </c>
      <c r="L329" t="s">
        <v>3138</v>
      </c>
      <c r="M329" t="s">
        <v>3270</v>
      </c>
      <c r="N329" t="s">
        <v>1630</v>
      </c>
      <c r="O329" s="4">
        <v>45672.5030092593</v>
      </c>
      <c r="P329" t="s">
        <v>66</v>
      </c>
      <c r="Q329" t="s">
        <v>1631</v>
      </c>
      <c r="R329" t="s">
        <v>3410</v>
      </c>
      <c r="T329" t="s">
        <v>66</v>
      </c>
    </row>
    <row r="330" ht="25.5" customHeight="1" spans="1:20">
      <c r="A330" t="s">
        <v>81</v>
      </c>
      <c r="B330" t="s">
        <v>65</v>
      </c>
      <c r="C330" t="s">
        <v>3408</v>
      </c>
      <c r="D330" s="3"/>
      <c r="E330" s="2">
        <v>45671</v>
      </c>
      <c r="F330">
        <v>69800</v>
      </c>
      <c r="H330">
        <v>222</v>
      </c>
      <c r="I330">
        <v>1</v>
      </c>
      <c r="L330" t="s">
        <v>3138</v>
      </c>
      <c r="M330" t="s">
        <v>3270</v>
      </c>
      <c r="N330" t="s">
        <v>1630</v>
      </c>
      <c r="O330" s="4">
        <v>45679.6462268519</v>
      </c>
      <c r="P330" t="s">
        <v>66</v>
      </c>
      <c r="Q330" t="s">
        <v>1631</v>
      </c>
      <c r="R330" t="s">
        <v>3411</v>
      </c>
      <c r="T330" t="s">
        <v>66</v>
      </c>
    </row>
    <row r="331" ht="25.5" customHeight="1" spans="1:20">
      <c r="A331" t="s">
        <v>81</v>
      </c>
      <c r="B331" t="s">
        <v>65</v>
      </c>
      <c r="C331" t="s">
        <v>3408</v>
      </c>
      <c r="D331" s="3"/>
      <c r="E331" s="2">
        <v>45672</v>
      </c>
      <c r="F331">
        <v>69800</v>
      </c>
      <c r="H331">
        <v>223</v>
      </c>
      <c r="I331">
        <v>1</v>
      </c>
      <c r="L331" t="s">
        <v>3138</v>
      </c>
      <c r="M331" t="s">
        <v>3270</v>
      </c>
      <c r="N331" t="s">
        <v>1630</v>
      </c>
      <c r="O331" s="4">
        <v>45672.504525463</v>
      </c>
      <c r="P331" t="s">
        <v>66</v>
      </c>
      <c r="Q331" t="s">
        <v>1631</v>
      </c>
      <c r="R331" t="s">
        <v>3412</v>
      </c>
      <c r="T331" t="s">
        <v>66</v>
      </c>
    </row>
    <row r="332" ht="25.5" customHeight="1" spans="1:20">
      <c r="A332" t="s">
        <v>81</v>
      </c>
      <c r="B332" t="s">
        <v>65</v>
      </c>
      <c r="C332" t="s">
        <v>3408</v>
      </c>
      <c r="D332" s="3"/>
      <c r="E332" s="2">
        <v>45673</v>
      </c>
      <c r="F332">
        <v>69900</v>
      </c>
      <c r="H332">
        <v>226</v>
      </c>
      <c r="I332">
        <v>1</v>
      </c>
      <c r="L332" t="s">
        <v>3138</v>
      </c>
      <c r="M332" t="s">
        <v>3270</v>
      </c>
      <c r="N332" t="s">
        <v>1630</v>
      </c>
      <c r="O332" s="4">
        <v>45673.487025463</v>
      </c>
      <c r="P332" t="s">
        <v>66</v>
      </c>
      <c r="Q332" t="s">
        <v>1631</v>
      </c>
      <c r="R332" t="s">
        <v>3401</v>
      </c>
      <c r="T332" t="s">
        <v>66</v>
      </c>
    </row>
    <row r="333" ht="25.5" customHeight="1" spans="1:20">
      <c r="A333" t="s">
        <v>81</v>
      </c>
      <c r="B333" t="s">
        <v>65</v>
      </c>
      <c r="C333" t="s">
        <v>3408</v>
      </c>
      <c r="D333" s="3"/>
      <c r="E333" s="2">
        <v>45674</v>
      </c>
      <c r="F333">
        <v>69900</v>
      </c>
      <c r="H333">
        <v>227</v>
      </c>
      <c r="I333">
        <v>1</v>
      </c>
      <c r="L333" t="s">
        <v>3138</v>
      </c>
      <c r="M333" t="s">
        <v>3270</v>
      </c>
      <c r="N333" t="s">
        <v>1630</v>
      </c>
      <c r="O333" s="4">
        <v>45674.618900463</v>
      </c>
      <c r="P333" t="s">
        <v>66</v>
      </c>
      <c r="Q333" t="s">
        <v>1631</v>
      </c>
      <c r="R333" t="s">
        <v>3322</v>
      </c>
      <c r="T333" t="s">
        <v>66</v>
      </c>
    </row>
    <row r="334" ht="25.5" customHeight="1" spans="1:20">
      <c r="A334" t="s">
        <v>81</v>
      </c>
      <c r="B334" t="s">
        <v>65</v>
      </c>
      <c r="C334" t="s">
        <v>3408</v>
      </c>
      <c r="D334" s="3"/>
      <c r="E334" s="2">
        <v>45677</v>
      </c>
      <c r="F334">
        <v>70000</v>
      </c>
      <c r="H334">
        <v>233</v>
      </c>
      <c r="I334">
        <v>1</v>
      </c>
      <c r="L334" t="s">
        <v>3138</v>
      </c>
      <c r="M334" t="s">
        <v>3270</v>
      </c>
      <c r="N334" t="s">
        <v>1630</v>
      </c>
      <c r="O334" s="4">
        <v>45677.3887847222</v>
      </c>
      <c r="P334" t="s">
        <v>66</v>
      </c>
      <c r="Q334" t="s">
        <v>1631</v>
      </c>
      <c r="R334" t="s">
        <v>3191</v>
      </c>
      <c r="T334" t="s">
        <v>66</v>
      </c>
    </row>
    <row r="335" ht="25.5" customHeight="1" spans="1:20">
      <c r="A335" t="s">
        <v>81</v>
      </c>
      <c r="B335" t="s">
        <v>65</v>
      </c>
      <c r="C335" t="s">
        <v>3408</v>
      </c>
      <c r="D335" s="3"/>
      <c r="E335" s="2">
        <v>45678</v>
      </c>
      <c r="F335">
        <v>70000</v>
      </c>
      <c r="H335">
        <v>234</v>
      </c>
      <c r="I335">
        <v>1</v>
      </c>
      <c r="L335" t="s">
        <v>3138</v>
      </c>
      <c r="M335" t="s">
        <v>3270</v>
      </c>
      <c r="N335" t="s">
        <v>1630</v>
      </c>
      <c r="O335" s="4">
        <v>45678.4955324074</v>
      </c>
      <c r="P335" t="s">
        <v>66</v>
      </c>
      <c r="Q335" t="s">
        <v>1631</v>
      </c>
      <c r="R335" t="s">
        <v>3403</v>
      </c>
      <c r="T335" t="s">
        <v>66</v>
      </c>
    </row>
    <row r="336" ht="25.5" customHeight="1" spans="1:20">
      <c r="A336" t="s">
        <v>81</v>
      </c>
      <c r="B336" t="s">
        <v>65</v>
      </c>
      <c r="C336" t="s">
        <v>3408</v>
      </c>
      <c r="D336" s="3"/>
      <c r="E336" s="2">
        <v>45679</v>
      </c>
      <c r="F336">
        <v>70000</v>
      </c>
      <c r="H336">
        <v>234</v>
      </c>
      <c r="I336">
        <v>1</v>
      </c>
      <c r="L336" t="s">
        <v>3138</v>
      </c>
      <c r="M336" t="s">
        <v>3270</v>
      </c>
      <c r="N336" t="s">
        <v>1630</v>
      </c>
      <c r="O336" s="4">
        <v>45679.6574652778</v>
      </c>
      <c r="P336" t="s">
        <v>66</v>
      </c>
      <c r="Q336" t="s">
        <v>1631</v>
      </c>
      <c r="R336" t="s">
        <v>3403</v>
      </c>
      <c r="T336" t="s">
        <v>66</v>
      </c>
    </row>
    <row r="337" ht="25.5" customHeight="1" spans="1:20">
      <c r="A337" t="s">
        <v>81</v>
      </c>
      <c r="B337" t="s">
        <v>65</v>
      </c>
      <c r="C337" t="s">
        <v>3408</v>
      </c>
      <c r="D337" s="3"/>
      <c r="E337" s="2">
        <v>45680</v>
      </c>
      <c r="F337">
        <v>70100</v>
      </c>
      <c r="H337">
        <v>234</v>
      </c>
      <c r="I337">
        <v>1</v>
      </c>
      <c r="L337" t="s">
        <v>3138</v>
      </c>
      <c r="M337" t="s">
        <v>3270</v>
      </c>
      <c r="N337" t="s">
        <v>1630</v>
      </c>
      <c r="O337" s="4">
        <v>45680.5048611111</v>
      </c>
      <c r="P337" t="s">
        <v>66</v>
      </c>
      <c r="Q337" t="s">
        <v>1631</v>
      </c>
      <c r="R337" t="s">
        <v>3403</v>
      </c>
      <c r="T337" t="s">
        <v>66</v>
      </c>
    </row>
    <row r="338" ht="25.5" customHeight="1" spans="1:20">
      <c r="A338" t="s">
        <v>81</v>
      </c>
      <c r="B338" t="s">
        <v>65</v>
      </c>
      <c r="C338" t="s">
        <v>3408</v>
      </c>
      <c r="D338" s="3"/>
      <c r="E338" s="2">
        <v>45681</v>
      </c>
      <c r="F338">
        <v>70100</v>
      </c>
      <c r="H338">
        <v>234</v>
      </c>
      <c r="I338">
        <v>1</v>
      </c>
      <c r="L338" t="s">
        <v>3138</v>
      </c>
      <c r="M338" t="s">
        <v>3270</v>
      </c>
      <c r="N338" t="s">
        <v>1630</v>
      </c>
      <c r="O338" s="4">
        <v>45681.4790740741</v>
      </c>
      <c r="P338" t="s">
        <v>66</v>
      </c>
      <c r="Q338" t="s">
        <v>1631</v>
      </c>
      <c r="R338" t="s">
        <v>3403</v>
      </c>
      <c r="T338" t="s">
        <v>66</v>
      </c>
    </row>
    <row r="339" ht="25.5" customHeight="1" spans="1:20">
      <c r="A339" t="s">
        <v>81</v>
      </c>
      <c r="B339" t="s">
        <v>65</v>
      </c>
      <c r="C339" t="s">
        <v>3408</v>
      </c>
      <c r="D339" s="3"/>
      <c r="E339" s="2">
        <v>45683</v>
      </c>
      <c r="F339">
        <v>70300</v>
      </c>
      <c r="H339">
        <v>234</v>
      </c>
      <c r="I339">
        <v>1</v>
      </c>
      <c r="L339" t="s">
        <v>3138</v>
      </c>
      <c r="M339" t="s">
        <v>3270</v>
      </c>
      <c r="N339" t="s">
        <v>1630</v>
      </c>
      <c r="O339" s="4">
        <v>45683.7072222222</v>
      </c>
      <c r="P339" t="s">
        <v>66</v>
      </c>
      <c r="Q339" t="s">
        <v>1631</v>
      </c>
      <c r="R339" t="s">
        <v>3403</v>
      </c>
      <c r="T339" t="s">
        <v>66</v>
      </c>
    </row>
    <row r="340" ht="25.5" customHeight="1" spans="1:20">
      <c r="A340" t="s">
        <v>81</v>
      </c>
      <c r="B340" t="s">
        <v>65</v>
      </c>
      <c r="C340" t="s">
        <v>3408</v>
      </c>
      <c r="D340" s="3"/>
      <c r="E340" s="2">
        <v>45684</v>
      </c>
      <c r="F340">
        <v>70400</v>
      </c>
      <c r="H340">
        <v>235</v>
      </c>
      <c r="I340">
        <v>1</v>
      </c>
      <c r="L340" t="s">
        <v>3138</v>
      </c>
      <c r="M340" t="s">
        <v>3270</v>
      </c>
      <c r="N340" t="s">
        <v>1630</v>
      </c>
      <c r="O340" s="4">
        <v>45684.7634837963</v>
      </c>
      <c r="P340" t="s">
        <v>66</v>
      </c>
      <c r="Q340" t="s">
        <v>1631</v>
      </c>
      <c r="R340" t="s">
        <v>3404</v>
      </c>
      <c r="T340" t="s">
        <v>66</v>
      </c>
    </row>
    <row r="341" ht="25.5" customHeight="1" spans="1:20">
      <c r="A341" t="s">
        <v>81</v>
      </c>
      <c r="B341" t="s">
        <v>65</v>
      </c>
      <c r="C341" t="s">
        <v>3408</v>
      </c>
      <c r="D341" s="3" t="str">
        <f>HYPERLINK("https://www.instagram.com/ceomindset.official/","https://www.instagram.com/ceomindset.official/")</f>
        <v>https://www.instagram.com/ceomindset.official/</v>
      </c>
      <c r="E341" s="2">
        <v>45693</v>
      </c>
      <c r="F341">
        <v>71000</v>
      </c>
      <c r="H341">
        <v>238</v>
      </c>
      <c r="I341">
        <v>1</v>
      </c>
      <c r="L341" t="s">
        <v>3138</v>
      </c>
      <c r="M341" t="s">
        <v>3270</v>
      </c>
      <c r="N341" t="s">
        <v>1630</v>
      </c>
      <c r="O341" s="4">
        <v>45695.4784259259</v>
      </c>
      <c r="P341" t="s">
        <v>66</v>
      </c>
      <c r="Q341" t="s">
        <v>1631</v>
      </c>
      <c r="R341" t="s">
        <v>3192</v>
      </c>
      <c r="T341" t="s">
        <v>66</v>
      </c>
    </row>
    <row r="342" ht="25.5" customHeight="1" spans="1:20">
      <c r="A342" t="s">
        <v>81</v>
      </c>
      <c r="B342" t="s">
        <v>65</v>
      </c>
      <c r="C342" t="s">
        <v>3408</v>
      </c>
      <c r="D342" s="3"/>
      <c r="E342" s="2">
        <v>45694</v>
      </c>
      <c r="F342">
        <v>71400</v>
      </c>
      <c r="H342">
        <v>238</v>
      </c>
      <c r="I342">
        <v>1</v>
      </c>
      <c r="L342" t="s">
        <v>3138</v>
      </c>
      <c r="M342" t="s">
        <v>3270</v>
      </c>
      <c r="N342" t="s">
        <v>1630</v>
      </c>
      <c r="O342" s="4">
        <v>45698.6216782407</v>
      </c>
      <c r="P342" t="s">
        <v>66</v>
      </c>
      <c r="Q342" t="s">
        <v>1631</v>
      </c>
      <c r="R342" t="s">
        <v>3192</v>
      </c>
      <c r="S342" t="s">
        <v>3180</v>
      </c>
      <c r="T342" t="s">
        <v>66</v>
      </c>
    </row>
    <row r="343" ht="25.5" customHeight="1" spans="1:20">
      <c r="A343" t="s">
        <v>81</v>
      </c>
      <c r="B343" t="s">
        <v>65</v>
      </c>
      <c r="C343" t="s">
        <v>3408</v>
      </c>
      <c r="D343" s="3"/>
      <c r="E343" s="2">
        <v>45695</v>
      </c>
      <c r="F343">
        <v>71500</v>
      </c>
      <c r="H343">
        <v>238</v>
      </c>
      <c r="I343">
        <v>1</v>
      </c>
      <c r="L343" t="s">
        <v>3138</v>
      </c>
      <c r="M343" t="s">
        <v>3270</v>
      </c>
      <c r="N343" t="s">
        <v>1630</v>
      </c>
      <c r="O343" s="4">
        <v>45695.4785185185</v>
      </c>
      <c r="P343" t="s">
        <v>66</v>
      </c>
      <c r="Q343" t="s">
        <v>1631</v>
      </c>
      <c r="R343" t="s">
        <v>3192</v>
      </c>
      <c r="T343" t="s">
        <v>66</v>
      </c>
    </row>
    <row r="344" ht="25.5" customHeight="1" spans="1:20">
      <c r="A344" t="s">
        <v>976</v>
      </c>
      <c r="B344" t="s">
        <v>65</v>
      </c>
      <c r="C344" t="s">
        <v>3413</v>
      </c>
      <c r="D344" s="3" t="str">
        <f>HYPERLINK("https://www.instagram.com/caffe_design/reels/","https://www.instagram.com/caffe_design/reels/")</f>
        <v>https://www.instagram.com/caffe_design/reels/</v>
      </c>
      <c r="E344" s="2">
        <v>45677</v>
      </c>
      <c r="F344">
        <v>200000</v>
      </c>
      <c r="G344">
        <v>90600</v>
      </c>
      <c r="H344">
        <v>3040</v>
      </c>
      <c r="I344">
        <v>13</v>
      </c>
      <c r="L344" t="s">
        <v>3281</v>
      </c>
      <c r="M344" t="s">
        <v>3414</v>
      </c>
      <c r="N344" t="s">
        <v>1630</v>
      </c>
      <c r="O344" s="4">
        <v>45677.7271990741</v>
      </c>
      <c r="P344" t="s">
        <v>116</v>
      </c>
      <c r="Q344" t="s">
        <v>1703</v>
      </c>
      <c r="R344" t="s">
        <v>3415</v>
      </c>
      <c r="T344" t="s">
        <v>116</v>
      </c>
    </row>
    <row r="345" ht="25.5" customHeight="1" spans="1:20">
      <c r="A345" t="s">
        <v>976</v>
      </c>
      <c r="B345" t="s">
        <v>65</v>
      </c>
      <c r="C345" t="s">
        <v>3413</v>
      </c>
      <c r="D345" s="3"/>
      <c r="E345" s="2">
        <v>45678</v>
      </c>
      <c r="F345">
        <v>200000</v>
      </c>
      <c r="G345">
        <v>93800</v>
      </c>
      <c r="H345">
        <v>3123</v>
      </c>
      <c r="I345">
        <v>14</v>
      </c>
      <c r="L345" t="s">
        <v>3281</v>
      </c>
      <c r="M345" t="s">
        <v>3414</v>
      </c>
      <c r="N345" t="s">
        <v>1630</v>
      </c>
      <c r="O345" s="4">
        <v>45678.4960069444</v>
      </c>
      <c r="P345" t="s">
        <v>116</v>
      </c>
      <c r="Q345" t="s">
        <v>1703</v>
      </c>
      <c r="R345" t="s">
        <v>3416</v>
      </c>
      <c r="T345" t="s">
        <v>116</v>
      </c>
    </row>
    <row r="346" ht="25.5" customHeight="1" spans="1:20">
      <c r="A346" t="s">
        <v>976</v>
      </c>
      <c r="B346" t="s">
        <v>65</v>
      </c>
      <c r="C346" t="s">
        <v>3413</v>
      </c>
      <c r="D346" s="3"/>
      <c r="E346" s="2">
        <v>45679</v>
      </c>
      <c r="F346">
        <v>200000</v>
      </c>
      <c r="G346">
        <v>97200</v>
      </c>
      <c r="H346">
        <v>3226</v>
      </c>
      <c r="I346">
        <v>15</v>
      </c>
      <c r="L346" t="s">
        <v>3281</v>
      </c>
      <c r="M346" t="s">
        <v>3414</v>
      </c>
      <c r="N346" t="s">
        <v>1630</v>
      </c>
      <c r="O346" s="4">
        <v>45679.6578472222</v>
      </c>
      <c r="P346" t="s">
        <v>116</v>
      </c>
      <c r="Q346" t="s">
        <v>1703</v>
      </c>
      <c r="R346" t="s">
        <v>3417</v>
      </c>
      <c r="T346" t="s">
        <v>116</v>
      </c>
    </row>
    <row r="347" ht="25.5" customHeight="1" spans="1:20">
      <c r="A347" t="s">
        <v>976</v>
      </c>
      <c r="B347" t="s">
        <v>65</v>
      </c>
      <c r="C347" t="s">
        <v>3413</v>
      </c>
      <c r="D347" s="3"/>
      <c r="E347" s="2">
        <v>45680</v>
      </c>
      <c r="F347">
        <v>200000</v>
      </c>
      <c r="G347">
        <v>99500</v>
      </c>
      <c r="H347">
        <v>3276</v>
      </c>
      <c r="I347">
        <v>15</v>
      </c>
      <c r="L347" t="s">
        <v>3281</v>
      </c>
      <c r="M347" t="s">
        <v>3414</v>
      </c>
      <c r="N347" t="s">
        <v>1630</v>
      </c>
      <c r="O347" s="4">
        <v>45680.5051273148</v>
      </c>
      <c r="P347" t="s">
        <v>116</v>
      </c>
      <c r="Q347" t="s">
        <v>1703</v>
      </c>
      <c r="R347" t="s">
        <v>3418</v>
      </c>
      <c r="T347" t="s">
        <v>116</v>
      </c>
    </row>
    <row r="348" ht="25.5" customHeight="1" spans="1:20">
      <c r="A348" t="s">
        <v>976</v>
      </c>
      <c r="B348" t="s">
        <v>65</v>
      </c>
      <c r="C348" t="s">
        <v>3413</v>
      </c>
      <c r="D348" s="3"/>
      <c r="E348" s="2">
        <v>45681</v>
      </c>
      <c r="F348">
        <v>200000</v>
      </c>
      <c r="G348">
        <v>101000</v>
      </c>
      <c r="H348">
        <v>3333</v>
      </c>
      <c r="I348">
        <v>15</v>
      </c>
      <c r="L348" t="s">
        <v>3281</v>
      </c>
      <c r="M348" t="s">
        <v>3414</v>
      </c>
      <c r="N348" t="s">
        <v>1630</v>
      </c>
      <c r="O348" s="4">
        <v>45681.4792824074</v>
      </c>
      <c r="P348" t="s">
        <v>116</v>
      </c>
      <c r="Q348" t="s">
        <v>1703</v>
      </c>
      <c r="R348" t="s">
        <v>3419</v>
      </c>
      <c r="T348" t="s">
        <v>116</v>
      </c>
    </row>
    <row r="349" ht="25.5" customHeight="1" spans="1:20">
      <c r="A349" t="s">
        <v>976</v>
      </c>
      <c r="B349" t="s">
        <v>65</v>
      </c>
      <c r="C349" t="s">
        <v>3413</v>
      </c>
      <c r="D349" s="3"/>
      <c r="E349" s="2">
        <v>45683</v>
      </c>
      <c r="F349">
        <v>200000</v>
      </c>
      <c r="G349">
        <v>104000</v>
      </c>
      <c r="H349">
        <v>3415</v>
      </c>
      <c r="I349">
        <v>18</v>
      </c>
      <c r="L349" t="s">
        <v>3281</v>
      </c>
      <c r="M349" t="s">
        <v>3414</v>
      </c>
      <c r="N349" t="s">
        <v>1630</v>
      </c>
      <c r="O349" s="4">
        <v>45683.7075347222</v>
      </c>
      <c r="P349" t="s">
        <v>116</v>
      </c>
      <c r="Q349" t="s">
        <v>1703</v>
      </c>
      <c r="R349" t="s">
        <v>3420</v>
      </c>
      <c r="T349" t="s">
        <v>116</v>
      </c>
    </row>
    <row r="350" ht="25.5" customHeight="1" spans="1:20">
      <c r="A350" t="s">
        <v>976</v>
      </c>
      <c r="B350" t="s">
        <v>65</v>
      </c>
      <c r="C350" t="s">
        <v>3413</v>
      </c>
      <c r="D350" s="3"/>
      <c r="E350" s="2">
        <v>45684</v>
      </c>
      <c r="F350">
        <v>200000</v>
      </c>
      <c r="G350">
        <v>105000</v>
      </c>
      <c r="H350">
        <v>3439</v>
      </c>
      <c r="I350">
        <v>18</v>
      </c>
      <c r="L350" t="s">
        <v>3281</v>
      </c>
      <c r="M350" t="s">
        <v>3414</v>
      </c>
      <c r="N350" t="s">
        <v>1630</v>
      </c>
      <c r="O350" s="4">
        <v>45684.7636689815</v>
      </c>
      <c r="P350" t="s">
        <v>116</v>
      </c>
      <c r="Q350" t="s">
        <v>1703</v>
      </c>
      <c r="R350" t="s">
        <v>3421</v>
      </c>
      <c r="T350" t="s">
        <v>116</v>
      </c>
    </row>
    <row r="351" ht="25.5" customHeight="1" spans="1:20">
      <c r="A351" t="s">
        <v>976</v>
      </c>
      <c r="B351" t="s">
        <v>65</v>
      </c>
      <c r="C351" t="s">
        <v>3413</v>
      </c>
      <c r="D351" s="3"/>
      <c r="E351" s="2">
        <v>45693</v>
      </c>
      <c r="F351">
        <v>201000</v>
      </c>
      <c r="G351">
        <v>110000</v>
      </c>
      <c r="H351">
        <v>3520</v>
      </c>
      <c r="I351">
        <v>19</v>
      </c>
      <c r="L351" t="s">
        <v>3281</v>
      </c>
      <c r="M351" t="s">
        <v>3414</v>
      </c>
      <c r="N351" t="s">
        <v>1630</v>
      </c>
      <c r="O351" s="4">
        <v>45693.7693981481</v>
      </c>
      <c r="P351" t="s">
        <v>116</v>
      </c>
      <c r="Q351" t="s">
        <v>1703</v>
      </c>
      <c r="R351" t="s">
        <v>3422</v>
      </c>
      <c r="T351" t="s">
        <v>116</v>
      </c>
    </row>
    <row r="352" ht="25.5" customHeight="1" spans="1:20">
      <c r="A352" t="s">
        <v>976</v>
      </c>
      <c r="B352" t="s">
        <v>65</v>
      </c>
      <c r="C352" t="s">
        <v>3413</v>
      </c>
      <c r="D352" s="3"/>
      <c r="E352" s="2">
        <v>45694</v>
      </c>
      <c r="F352">
        <v>202000</v>
      </c>
      <c r="G352">
        <v>110000</v>
      </c>
      <c r="H352">
        <v>3521</v>
      </c>
      <c r="I352">
        <v>19</v>
      </c>
      <c r="L352" t="s">
        <v>3281</v>
      </c>
      <c r="M352" t="s">
        <v>3414</v>
      </c>
      <c r="N352" t="s">
        <v>1630</v>
      </c>
      <c r="O352" s="4">
        <v>45698.6216782407</v>
      </c>
      <c r="P352" t="s">
        <v>116</v>
      </c>
      <c r="Q352" t="s">
        <v>1703</v>
      </c>
      <c r="R352" t="s">
        <v>3423</v>
      </c>
      <c r="S352" t="s">
        <v>3245</v>
      </c>
      <c r="T352" t="s">
        <v>116</v>
      </c>
    </row>
    <row r="353" ht="25.5" customHeight="1" spans="1:20">
      <c r="A353" t="s">
        <v>976</v>
      </c>
      <c r="B353" t="s">
        <v>65</v>
      </c>
      <c r="C353" t="s">
        <v>3413</v>
      </c>
      <c r="D353" s="3"/>
      <c r="E353" s="2">
        <v>45695</v>
      </c>
      <c r="F353">
        <v>202000</v>
      </c>
      <c r="G353">
        <v>110000</v>
      </c>
      <c r="H353">
        <v>3527</v>
      </c>
      <c r="I353">
        <v>19</v>
      </c>
      <c r="L353" t="s">
        <v>3281</v>
      </c>
      <c r="M353" t="s">
        <v>3414</v>
      </c>
      <c r="N353" t="s">
        <v>1630</v>
      </c>
      <c r="O353" s="4">
        <v>45695.4789814815</v>
      </c>
      <c r="P353" t="s">
        <v>116</v>
      </c>
      <c r="Q353" t="s">
        <v>1703</v>
      </c>
      <c r="R353" t="s">
        <v>3424</v>
      </c>
      <c r="T353" t="s">
        <v>116</v>
      </c>
    </row>
    <row r="354" ht="25.5" customHeight="1" spans="1:20">
      <c r="A354" t="s">
        <v>976</v>
      </c>
      <c r="B354" t="s">
        <v>65</v>
      </c>
      <c r="C354" t="s">
        <v>3413</v>
      </c>
      <c r="D354" s="3"/>
      <c r="E354" s="2">
        <v>45696</v>
      </c>
      <c r="F354">
        <v>202000</v>
      </c>
      <c r="G354">
        <v>110000</v>
      </c>
      <c r="H354">
        <v>3532</v>
      </c>
      <c r="I354">
        <v>19</v>
      </c>
      <c r="L354" t="s">
        <v>3281</v>
      </c>
      <c r="M354" t="s">
        <v>3414</v>
      </c>
      <c r="N354" t="s">
        <v>1630</v>
      </c>
      <c r="O354" s="4">
        <v>45696.446087963</v>
      </c>
      <c r="P354" t="s">
        <v>116</v>
      </c>
      <c r="Q354" t="s">
        <v>1703</v>
      </c>
      <c r="R354" t="s">
        <v>3425</v>
      </c>
      <c r="T354" t="s">
        <v>116</v>
      </c>
    </row>
    <row r="355" ht="25.5" customHeight="1" spans="1:20">
      <c r="A355" t="s">
        <v>2743</v>
      </c>
      <c r="B355" t="s">
        <v>56</v>
      </c>
      <c r="C355" t="s">
        <v>3426</v>
      </c>
      <c r="D355" s="3"/>
      <c r="E355" s="2">
        <v>45673</v>
      </c>
      <c r="F355">
        <v>38100</v>
      </c>
      <c r="G355">
        <v>881</v>
      </c>
      <c r="H355">
        <v>66</v>
      </c>
      <c r="I355">
        <v>1</v>
      </c>
      <c r="J355">
        <v>28</v>
      </c>
      <c r="K355">
        <v>6</v>
      </c>
      <c r="L355" t="s">
        <v>3317</v>
      </c>
      <c r="M355" t="s">
        <v>3427</v>
      </c>
      <c r="N355" t="s">
        <v>1630</v>
      </c>
      <c r="O355" s="4">
        <v>45673.5878356481</v>
      </c>
      <c r="P355" t="s">
        <v>57</v>
      </c>
      <c r="Q355" t="s">
        <v>1779</v>
      </c>
      <c r="R355" t="s">
        <v>3428</v>
      </c>
      <c r="T355" t="s">
        <v>57</v>
      </c>
    </row>
    <row r="356" ht="25.5" customHeight="1" spans="1:20">
      <c r="A356" t="s">
        <v>2743</v>
      </c>
      <c r="B356" t="s">
        <v>56</v>
      </c>
      <c r="C356" t="s">
        <v>3426</v>
      </c>
      <c r="D356" s="3"/>
      <c r="E356" s="2">
        <v>45674</v>
      </c>
      <c r="F356">
        <v>38100</v>
      </c>
      <c r="G356">
        <v>1444</v>
      </c>
      <c r="H356">
        <v>99</v>
      </c>
      <c r="I356">
        <v>1</v>
      </c>
      <c r="J356">
        <v>38</v>
      </c>
      <c r="K356">
        <v>6</v>
      </c>
      <c r="L356" t="s">
        <v>3248</v>
      </c>
      <c r="M356" t="s">
        <v>3427</v>
      </c>
      <c r="N356" t="s">
        <v>1630</v>
      </c>
      <c r="O356" s="4">
        <v>45674.6653125</v>
      </c>
      <c r="P356" t="s">
        <v>57</v>
      </c>
      <c r="Q356" t="s">
        <v>1779</v>
      </c>
      <c r="R356" t="s">
        <v>3429</v>
      </c>
      <c r="T356" t="s">
        <v>57</v>
      </c>
    </row>
    <row r="357" ht="25.5" customHeight="1" spans="1:20">
      <c r="A357" t="s">
        <v>2743</v>
      </c>
      <c r="B357" t="s">
        <v>56</v>
      </c>
      <c r="C357" t="s">
        <v>3426</v>
      </c>
      <c r="D357" s="3"/>
      <c r="E357" s="2">
        <v>45677</v>
      </c>
      <c r="F357">
        <v>38100</v>
      </c>
      <c r="G357">
        <v>2237</v>
      </c>
      <c r="H357">
        <v>148</v>
      </c>
      <c r="I357">
        <v>1</v>
      </c>
      <c r="J357">
        <v>67</v>
      </c>
      <c r="K357">
        <v>7</v>
      </c>
      <c r="L357" t="s">
        <v>3248</v>
      </c>
      <c r="M357" t="s">
        <v>3427</v>
      </c>
      <c r="N357" t="s">
        <v>1630</v>
      </c>
      <c r="O357" s="4">
        <v>45677.4213541667</v>
      </c>
      <c r="P357" t="s">
        <v>57</v>
      </c>
      <c r="Q357" t="s">
        <v>1779</v>
      </c>
      <c r="R357" t="s">
        <v>3411</v>
      </c>
      <c r="T357" t="s">
        <v>57</v>
      </c>
    </row>
    <row r="358" ht="25.5" customHeight="1" spans="1:20">
      <c r="A358" t="s">
        <v>2743</v>
      </c>
      <c r="B358" t="s">
        <v>56</v>
      </c>
      <c r="C358" t="s">
        <v>3426</v>
      </c>
      <c r="D358" s="3"/>
      <c r="E358" s="2">
        <v>45678</v>
      </c>
      <c r="F358">
        <v>38100</v>
      </c>
      <c r="G358">
        <v>2485</v>
      </c>
      <c r="H358">
        <v>156</v>
      </c>
      <c r="I358">
        <v>1</v>
      </c>
      <c r="J358">
        <v>69</v>
      </c>
      <c r="K358">
        <v>7</v>
      </c>
      <c r="L358" t="s">
        <v>3248</v>
      </c>
      <c r="M358" t="s">
        <v>3427</v>
      </c>
      <c r="N358" t="s">
        <v>1630</v>
      </c>
      <c r="O358" s="4">
        <v>45678.6152893519</v>
      </c>
      <c r="P358" t="s">
        <v>57</v>
      </c>
      <c r="Q358" t="s">
        <v>1779</v>
      </c>
      <c r="R358" t="s">
        <v>3405</v>
      </c>
      <c r="T358" t="s">
        <v>57</v>
      </c>
    </row>
    <row r="359" ht="25.5" customHeight="1" spans="1:20">
      <c r="A359" t="s">
        <v>2743</v>
      </c>
      <c r="B359" t="s">
        <v>56</v>
      </c>
      <c r="C359" t="s">
        <v>3426</v>
      </c>
      <c r="D359" s="3"/>
      <c r="E359" s="2">
        <v>45679</v>
      </c>
      <c r="F359">
        <v>38100</v>
      </c>
      <c r="G359">
        <v>2630</v>
      </c>
      <c r="H359">
        <v>166</v>
      </c>
      <c r="I359">
        <v>2</v>
      </c>
      <c r="J359">
        <v>76</v>
      </c>
      <c r="K359">
        <v>7</v>
      </c>
      <c r="L359" t="s">
        <v>3248</v>
      </c>
      <c r="M359" t="s">
        <v>3427</v>
      </c>
      <c r="N359" t="s">
        <v>1630</v>
      </c>
      <c r="O359" s="4">
        <v>45679.6863425926</v>
      </c>
      <c r="P359" t="s">
        <v>57</v>
      </c>
      <c r="Q359" t="s">
        <v>1779</v>
      </c>
      <c r="R359" t="s">
        <v>3430</v>
      </c>
      <c r="T359" t="s">
        <v>57</v>
      </c>
    </row>
    <row r="360" ht="25.5" customHeight="1" spans="1:20">
      <c r="A360" t="s">
        <v>2743</v>
      </c>
      <c r="B360" t="s">
        <v>56</v>
      </c>
      <c r="C360" t="s">
        <v>3426</v>
      </c>
      <c r="D360" s="3"/>
      <c r="E360" s="2">
        <v>45680</v>
      </c>
      <c r="F360">
        <v>38100</v>
      </c>
      <c r="G360">
        <v>2723</v>
      </c>
      <c r="H360">
        <v>173</v>
      </c>
      <c r="I360">
        <v>2</v>
      </c>
      <c r="J360">
        <v>78</v>
      </c>
      <c r="K360">
        <v>8</v>
      </c>
      <c r="L360" t="s">
        <v>3248</v>
      </c>
      <c r="M360" t="s">
        <v>3427</v>
      </c>
      <c r="N360" t="s">
        <v>1630</v>
      </c>
      <c r="O360" s="4">
        <v>45680.6387152778</v>
      </c>
      <c r="P360" t="s">
        <v>57</v>
      </c>
      <c r="Q360" t="s">
        <v>1779</v>
      </c>
      <c r="R360" t="s">
        <v>3431</v>
      </c>
      <c r="T360" t="s">
        <v>57</v>
      </c>
    </row>
    <row r="361" ht="25.5" customHeight="1" spans="1:20">
      <c r="A361" t="s">
        <v>2743</v>
      </c>
      <c r="B361" t="s">
        <v>56</v>
      </c>
      <c r="C361" t="s">
        <v>3426</v>
      </c>
      <c r="D361" s="3"/>
      <c r="E361" s="2">
        <v>45681</v>
      </c>
      <c r="F361">
        <v>38100</v>
      </c>
      <c r="G361">
        <v>2946</v>
      </c>
      <c r="H361">
        <v>180</v>
      </c>
      <c r="I361">
        <v>2</v>
      </c>
      <c r="J361">
        <v>84</v>
      </c>
      <c r="K361">
        <v>8</v>
      </c>
      <c r="L361" t="s">
        <v>3258</v>
      </c>
      <c r="M361" t="s">
        <v>3427</v>
      </c>
      <c r="N361" t="s">
        <v>1630</v>
      </c>
      <c r="O361" s="4">
        <v>45681.5987615741</v>
      </c>
      <c r="P361" t="s">
        <v>57</v>
      </c>
      <c r="Q361" t="s">
        <v>1779</v>
      </c>
      <c r="R361" t="s">
        <v>3432</v>
      </c>
      <c r="T361" t="s">
        <v>57</v>
      </c>
    </row>
    <row r="362" ht="25.5" customHeight="1" spans="1:20">
      <c r="A362" t="s">
        <v>2743</v>
      </c>
      <c r="B362" t="s">
        <v>56</v>
      </c>
      <c r="C362" t="s">
        <v>3426</v>
      </c>
      <c r="D362" s="3"/>
      <c r="E362" s="2">
        <v>45683</v>
      </c>
      <c r="F362">
        <v>38100</v>
      </c>
      <c r="G362">
        <v>3204</v>
      </c>
      <c r="H362">
        <v>202</v>
      </c>
      <c r="I362">
        <v>2</v>
      </c>
      <c r="J362">
        <v>92</v>
      </c>
      <c r="K362">
        <v>8</v>
      </c>
      <c r="L362" t="s">
        <v>3248</v>
      </c>
      <c r="M362" t="s">
        <v>3427</v>
      </c>
      <c r="N362" t="s">
        <v>1630</v>
      </c>
      <c r="O362" s="4">
        <v>45684.825150463</v>
      </c>
      <c r="P362" t="s">
        <v>57</v>
      </c>
      <c r="Q362" t="s">
        <v>1779</v>
      </c>
      <c r="R362" t="s">
        <v>3433</v>
      </c>
      <c r="T362" t="s">
        <v>57</v>
      </c>
    </row>
    <row r="363" ht="25.5" customHeight="1" spans="1:20">
      <c r="A363" t="s">
        <v>2743</v>
      </c>
      <c r="B363" t="s">
        <v>56</v>
      </c>
      <c r="C363" t="s">
        <v>3426</v>
      </c>
      <c r="D363" s="3"/>
      <c r="E363" s="2">
        <v>45684</v>
      </c>
      <c r="F363">
        <v>38100</v>
      </c>
      <c r="G363">
        <v>7528</v>
      </c>
      <c r="H363">
        <v>292</v>
      </c>
      <c r="I363">
        <v>2</v>
      </c>
      <c r="J363">
        <v>96</v>
      </c>
      <c r="K363">
        <v>9</v>
      </c>
      <c r="L363" t="s">
        <v>3208</v>
      </c>
      <c r="M363" t="s">
        <v>3427</v>
      </c>
      <c r="N363" t="s">
        <v>1630</v>
      </c>
      <c r="O363" s="4">
        <v>45684.8252546296</v>
      </c>
      <c r="P363" t="s">
        <v>57</v>
      </c>
      <c r="Q363" t="s">
        <v>1779</v>
      </c>
      <c r="R363" t="s">
        <v>3434</v>
      </c>
      <c r="T363" t="s">
        <v>57</v>
      </c>
    </row>
    <row r="364" ht="25.5" customHeight="1" spans="1:20">
      <c r="A364" t="s">
        <v>2743</v>
      </c>
      <c r="B364" t="s">
        <v>56</v>
      </c>
      <c r="C364" t="s">
        <v>3426</v>
      </c>
      <c r="D364" s="3"/>
      <c r="E364" s="2">
        <v>45693</v>
      </c>
      <c r="F364">
        <v>38100</v>
      </c>
      <c r="G364">
        <v>16300</v>
      </c>
      <c r="H364">
        <v>494</v>
      </c>
      <c r="I364">
        <v>5</v>
      </c>
      <c r="J364">
        <v>114</v>
      </c>
      <c r="K364">
        <v>9</v>
      </c>
      <c r="L364" t="s">
        <v>3284</v>
      </c>
      <c r="M364" t="s">
        <v>3427</v>
      </c>
      <c r="N364" t="s">
        <v>1630</v>
      </c>
      <c r="O364" s="4">
        <v>45693.7988541667</v>
      </c>
      <c r="P364" t="s">
        <v>57</v>
      </c>
      <c r="Q364" t="s">
        <v>1779</v>
      </c>
      <c r="R364" t="s">
        <v>3435</v>
      </c>
      <c r="T364" t="s">
        <v>57</v>
      </c>
    </row>
    <row r="365" ht="25.5" customHeight="1" spans="1:20">
      <c r="A365" t="s">
        <v>2743</v>
      </c>
      <c r="B365" t="s">
        <v>56</v>
      </c>
      <c r="C365" t="s">
        <v>3426</v>
      </c>
      <c r="D365" s="3"/>
      <c r="E365" s="2">
        <v>45694</v>
      </c>
      <c r="F365">
        <v>38100</v>
      </c>
      <c r="G365">
        <v>16300</v>
      </c>
      <c r="H365">
        <v>494</v>
      </c>
      <c r="I365">
        <v>5</v>
      </c>
      <c r="J365">
        <v>114</v>
      </c>
      <c r="K365">
        <v>9</v>
      </c>
      <c r="L365" t="s">
        <v>3284</v>
      </c>
      <c r="M365" t="s">
        <v>3427</v>
      </c>
      <c r="N365" t="s">
        <v>1630</v>
      </c>
      <c r="O365" s="4">
        <v>45698.6216782407</v>
      </c>
      <c r="P365" t="s">
        <v>57</v>
      </c>
      <c r="Q365" t="s">
        <v>1779</v>
      </c>
      <c r="R365" t="s">
        <v>3435</v>
      </c>
      <c r="S365" t="s">
        <v>3180</v>
      </c>
      <c r="T365" t="s">
        <v>57</v>
      </c>
    </row>
    <row r="366" ht="25.5" customHeight="1" spans="1:20">
      <c r="A366" t="s">
        <v>2743</v>
      </c>
      <c r="B366" t="s">
        <v>56</v>
      </c>
      <c r="C366" t="s">
        <v>3426</v>
      </c>
      <c r="D366" s="3"/>
      <c r="E366" s="2">
        <v>45695</v>
      </c>
      <c r="F366">
        <v>38100</v>
      </c>
      <c r="G366">
        <v>16400</v>
      </c>
      <c r="H366">
        <v>495</v>
      </c>
      <c r="I366">
        <v>5</v>
      </c>
      <c r="J366">
        <v>114</v>
      </c>
      <c r="K366">
        <v>9</v>
      </c>
      <c r="L366" t="s">
        <v>3284</v>
      </c>
      <c r="M366" t="s">
        <v>3427</v>
      </c>
      <c r="N366" t="s">
        <v>1630</v>
      </c>
      <c r="O366" s="4">
        <v>45695.6940625</v>
      </c>
      <c r="P366" t="s">
        <v>57</v>
      </c>
      <c r="Q366" t="s">
        <v>1779</v>
      </c>
      <c r="R366" t="s">
        <v>3436</v>
      </c>
      <c r="T366" t="s">
        <v>57</v>
      </c>
    </row>
    <row r="367" ht="25.5" customHeight="1" spans="1:20">
      <c r="A367" t="s">
        <v>2743</v>
      </c>
      <c r="B367" t="s">
        <v>56</v>
      </c>
      <c r="C367" t="s">
        <v>3426</v>
      </c>
      <c r="D367" s="3"/>
      <c r="E367" s="2">
        <v>45696</v>
      </c>
      <c r="F367">
        <v>38100</v>
      </c>
      <c r="G367">
        <v>16400</v>
      </c>
      <c r="H367">
        <v>495</v>
      </c>
      <c r="I367">
        <v>5</v>
      </c>
      <c r="J367">
        <v>115</v>
      </c>
      <c r="K367">
        <v>10</v>
      </c>
      <c r="L367" t="s">
        <v>3284</v>
      </c>
      <c r="M367" t="s">
        <v>3427</v>
      </c>
      <c r="N367" t="s">
        <v>1630</v>
      </c>
      <c r="O367" s="4">
        <v>45696.42875</v>
      </c>
      <c r="P367" t="s">
        <v>57</v>
      </c>
      <c r="Q367" t="s">
        <v>1779</v>
      </c>
      <c r="R367" t="s">
        <v>3437</v>
      </c>
      <c r="T367" t="s">
        <v>57</v>
      </c>
    </row>
    <row r="368" ht="25.5" customHeight="1" spans="1:20">
      <c r="A368" t="s">
        <v>1679</v>
      </c>
      <c r="B368" t="s">
        <v>65</v>
      </c>
      <c r="C368" t="s">
        <v>3438</v>
      </c>
      <c r="D368" s="3" t="str">
        <f>HYPERLINK("https://www.instagram.com/chatgptricks/","https://www.instagram.com/chatgptricks/")</f>
        <v>https://www.instagram.com/chatgptricks/</v>
      </c>
      <c r="E368" s="2">
        <v>45670</v>
      </c>
      <c r="F368">
        <v>1500000</v>
      </c>
      <c r="H368">
        <v>13685</v>
      </c>
      <c r="I368">
        <v>4441</v>
      </c>
      <c r="L368" t="s">
        <v>3331</v>
      </c>
      <c r="M368" t="s">
        <v>3439</v>
      </c>
      <c r="N368" t="s">
        <v>1630</v>
      </c>
      <c r="O368" s="4">
        <v>45670.7664814815</v>
      </c>
      <c r="P368" t="s">
        <v>66</v>
      </c>
      <c r="Q368" t="s">
        <v>1631</v>
      </c>
      <c r="R368" t="s">
        <v>3440</v>
      </c>
      <c r="T368" t="s">
        <v>66</v>
      </c>
    </row>
    <row r="369" ht="25.5" customHeight="1" spans="1:20">
      <c r="A369" t="s">
        <v>1679</v>
      </c>
      <c r="B369" t="s">
        <v>65</v>
      </c>
      <c r="C369" t="s">
        <v>3438</v>
      </c>
      <c r="D369" s="3"/>
      <c r="E369" s="2">
        <v>45671</v>
      </c>
      <c r="F369">
        <v>1500000</v>
      </c>
      <c r="H369">
        <v>15500</v>
      </c>
      <c r="I369">
        <v>4934</v>
      </c>
      <c r="L369" t="s">
        <v>3331</v>
      </c>
      <c r="M369" t="s">
        <v>3439</v>
      </c>
      <c r="N369" t="s">
        <v>1630</v>
      </c>
      <c r="O369" s="4">
        <v>45672.5030092593</v>
      </c>
      <c r="P369" t="s">
        <v>66</v>
      </c>
      <c r="Q369" t="s">
        <v>1631</v>
      </c>
      <c r="R369" t="s">
        <v>3441</v>
      </c>
      <c r="T369" t="s">
        <v>66</v>
      </c>
    </row>
    <row r="370" ht="25.5" customHeight="1" spans="1:20">
      <c r="A370" t="s">
        <v>1679</v>
      </c>
      <c r="B370" t="s">
        <v>65</v>
      </c>
      <c r="C370" t="s">
        <v>3438</v>
      </c>
      <c r="D370" s="3"/>
      <c r="E370" s="2">
        <v>45672</v>
      </c>
      <c r="F370">
        <v>1500000</v>
      </c>
      <c r="G370">
        <v>949348</v>
      </c>
      <c r="H370">
        <v>16000</v>
      </c>
      <c r="I370">
        <v>5159</v>
      </c>
      <c r="J370">
        <v>25000</v>
      </c>
      <c r="K370">
        <v>19000</v>
      </c>
      <c r="L370" t="s">
        <v>3284</v>
      </c>
      <c r="M370" t="s">
        <v>3439</v>
      </c>
      <c r="N370" t="s">
        <v>1630</v>
      </c>
      <c r="O370" s="4">
        <v>45698.3970833333</v>
      </c>
      <c r="P370" t="s">
        <v>66</v>
      </c>
      <c r="Q370" t="s">
        <v>1631</v>
      </c>
      <c r="R370" t="s">
        <v>3442</v>
      </c>
      <c r="T370" t="s">
        <v>66</v>
      </c>
    </row>
    <row r="371" ht="25.5" customHeight="1" spans="1:20">
      <c r="A371" t="s">
        <v>1679</v>
      </c>
      <c r="B371" t="s">
        <v>65</v>
      </c>
      <c r="C371" t="s">
        <v>3438</v>
      </c>
      <c r="D371" s="3"/>
      <c r="E371" s="2">
        <v>45673</v>
      </c>
      <c r="F371">
        <v>1500000</v>
      </c>
      <c r="G371">
        <v>949348</v>
      </c>
      <c r="H371">
        <v>16200</v>
      </c>
      <c r="I371">
        <v>5299</v>
      </c>
      <c r="J371">
        <v>25000</v>
      </c>
      <c r="K371">
        <v>19000</v>
      </c>
      <c r="L371" t="s">
        <v>3284</v>
      </c>
      <c r="M371" t="s">
        <v>3439</v>
      </c>
      <c r="N371" t="s">
        <v>1630</v>
      </c>
      <c r="O371" s="4">
        <v>45698.3971296296</v>
      </c>
      <c r="P371" t="s">
        <v>66</v>
      </c>
      <c r="Q371" t="s">
        <v>1631</v>
      </c>
      <c r="R371" t="s">
        <v>3443</v>
      </c>
      <c r="T371" t="s">
        <v>66</v>
      </c>
    </row>
    <row r="372" ht="25.5" customHeight="1" spans="1:20">
      <c r="A372" t="s">
        <v>1679</v>
      </c>
      <c r="B372" t="s">
        <v>65</v>
      </c>
      <c r="C372" t="s">
        <v>3438</v>
      </c>
      <c r="D372" s="3"/>
      <c r="E372" s="2">
        <v>45674</v>
      </c>
      <c r="F372">
        <v>1500000</v>
      </c>
      <c r="G372">
        <v>949348</v>
      </c>
      <c r="H372">
        <v>16504</v>
      </c>
      <c r="I372">
        <v>5420</v>
      </c>
      <c r="J372">
        <v>25000</v>
      </c>
      <c r="K372">
        <v>19000</v>
      </c>
      <c r="L372" t="s">
        <v>3284</v>
      </c>
      <c r="M372" t="s">
        <v>3439</v>
      </c>
      <c r="N372" t="s">
        <v>1630</v>
      </c>
      <c r="O372" s="4">
        <v>45698.3971296296</v>
      </c>
      <c r="P372" t="s">
        <v>66</v>
      </c>
      <c r="Q372" t="s">
        <v>1631</v>
      </c>
      <c r="R372" t="s">
        <v>3444</v>
      </c>
      <c r="T372" t="s">
        <v>66</v>
      </c>
    </row>
    <row r="373" ht="25.5" customHeight="1" spans="1:20">
      <c r="A373" t="s">
        <v>1679</v>
      </c>
      <c r="B373" t="s">
        <v>65</v>
      </c>
      <c r="C373" t="s">
        <v>3438</v>
      </c>
      <c r="D373" s="3"/>
      <c r="E373" s="2">
        <v>45677</v>
      </c>
      <c r="F373">
        <v>1500000</v>
      </c>
      <c r="G373">
        <v>949348</v>
      </c>
      <c r="H373">
        <v>16784</v>
      </c>
      <c r="I373">
        <v>5547</v>
      </c>
      <c r="J373">
        <v>25000</v>
      </c>
      <c r="K373">
        <v>19000</v>
      </c>
      <c r="L373" t="s">
        <v>3284</v>
      </c>
      <c r="M373" t="s">
        <v>3439</v>
      </c>
      <c r="N373" t="s">
        <v>1630</v>
      </c>
      <c r="O373" s="4">
        <v>45698.3971412037</v>
      </c>
      <c r="P373" t="s">
        <v>66</v>
      </c>
      <c r="Q373" t="s">
        <v>1631</v>
      </c>
      <c r="R373" t="s">
        <v>3445</v>
      </c>
      <c r="T373" t="s">
        <v>66</v>
      </c>
    </row>
    <row r="374" ht="25.5" customHeight="1" spans="1:20">
      <c r="A374" t="s">
        <v>1679</v>
      </c>
      <c r="B374" t="s">
        <v>65</v>
      </c>
      <c r="C374" t="s">
        <v>3438</v>
      </c>
      <c r="D374" s="3"/>
      <c r="E374" s="2">
        <v>45678</v>
      </c>
      <c r="F374">
        <v>1500000</v>
      </c>
      <c r="G374">
        <v>949348</v>
      </c>
      <c r="H374">
        <v>16800</v>
      </c>
      <c r="I374">
        <v>5596</v>
      </c>
      <c r="J374">
        <v>25000</v>
      </c>
      <c r="K374">
        <v>19000</v>
      </c>
      <c r="L374" t="s">
        <v>3284</v>
      </c>
      <c r="M374" t="s">
        <v>3439</v>
      </c>
      <c r="N374" t="s">
        <v>1630</v>
      </c>
      <c r="O374" s="4">
        <v>45698.3971643519</v>
      </c>
      <c r="P374" t="s">
        <v>66</v>
      </c>
      <c r="Q374" t="s">
        <v>1631</v>
      </c>
      <c r="R374" t="s">
        <v>3446</v>
      </c>
      <c r="T374" t="s">
        <v>66</v>
      </c>
    </row>
    <row r="375" ht="25.5" customHeight="1" spans="1:20">
      <c r="A375" t="s">
        <v>1679</v>
      </c>
      <c r="B375" t="s">
        <v>65</v>
      </c>
      <c r="C375" t="s">
        <v>3438</v>
      </c>
      <c r="D375" s="3"/>
      <c r="E375" s="2">
        <v>45679</v>
      </c>
      <c r="F375">
        <v>1500000</v>
      </c>
      <c r="G375">
        <v>949348</v>
      </c>
      <c r="H375">
        <v>17100</v>
      </c>
      <c r="I375">
        <v>5672</v>
      </c>
      <c r="J375">
        <v>25000</v>
      </c>
      <c r="K375">
        <v>19000</v>
      </c>
      <c r="L375" t="s">
        <v>3284</v>
      </c>
      <c r="M375" t="s">
        <v>3439</v>
      </c>
      <c r="N375" t="s">
        <v>1630</v>
      </c>
      <c r="O375" s="4">
        <v>45698.3971643519</v>
      </c>
      <c r="P375" t="s">
        <v>66</v>
      </c>
      <c r="Q375" t="s">
        <v>1631</v>
      </c>
      <c r="R375" t="s">
        <v>3447</v>
      </c>
      <c r="T375" t="s">
        <v>66</v>
      </c>
    </row>
    <row r="376" ht="25.5" customHeight="1" spans="1:20">
      <c r="A376" t="s">
        <v>1679</v>
      </c>
      <c r="B376" t="s">
        <v>65</v>
      </c>
      <c r="C376" t="s">
        <v>3438</v>
      </c>
      <c r="D376" s="3"/>
      <c r="E376" s="2">
        <v>45680</v>
      </c>
      <c r="F376">
        <v>1500000</v>
      </c>
      <c r="G376">
        <v>949348</v>
      </c>
      <c r="H376">
        <v>17329</v>
      </c>
      <c r="I376">
        <v>5735</v>
      </c>
      <c r="J376">
        <v>25000</v>
      </c>
      <c r="K376">
        <v>19000</v>
      </c>
      <c r="L376" t="s">
        <v>3284</v>
      </c>
      <c r="M376" t="s">
        <v>3439</v>
      </c>
      <c r="N376" t="s">
        <v>1630</v>
      </c>
      <c r="O376" s="4">
        <v>45698.3971759259</v>
      </c>
      <c r="P376" t="s">
        <v>66</v>
      </c>
      <c r="Q376" t="s">
        <v>1631</v>
      </c>
      <c r="R376" t="s">
        <v>3448</v>
      </c>
      <c r="T376" t="s">
        <v>66</v>
      </c>
    </row>
    <row r="377" ht="25.5" customHeight="1" spans="1:20">
      <c r="A377" t="s">
        <v>1679</v>
      </c>
      <c r="B377" t="s">
        <v>65</v>
      </c>
      <c r="C377" t="s">
        <v>3438</v>
      </c>
      <c r="D377" s="3"/>
      <c r="E377" s="2">
        <v>45681</v>
      </c>
      <c r="F377">
        <v>1500000</v>
      </c>
      <c r="G377">
        <v>949348</v>
      </c>
      <c r="H377">
        <v>17500</v>
      </c>
      <c r="I377">
        <v>5822</v>
      </c>
      <c r="J377">
        <v>25000</v>
      </c>
      <c r="K377">
        <v>19000</v>
      </c>
      <c r="L377" t="s">
        <v>3284</v>
      </c>
      <c r="M377" t="s">
        <v>3439</v>
      </c>
      <c r="N377" t="s">
        <v>1630</v>
      </c>
      <c r="O377" s="4">
        <v>45698.3971759259</v>
      </c>
      <c r="P377" t="s">
        <v>66</v>
      </c>
      <c r="Q377" t="s">
        <v>1631</v>
      </c>
      <c r="R377" t="s">
        <v>3449</v>
      </c>
      <c r="T377" t="s">
        <v>66</v>
      </c>
    </row>
    <row r="378" ht="25.5" customHeight="1" spans="1:20">
      <c r="A378" t="s">
        <v>1679</v>
      </c>
      <c r="B378" t="s">
        <v>65</v>
      </c>
      <c r="C378" t="s">
        <v>3438</v>
      </c>
      <c r="D378" s="3"/>
      <c r="E378" s="2">
        <v>45683</v>
      </c>
      <c r="F378">
        <v>1500000</v>
      </c>
      <c r="G378">
        <v>949348</v>
      </c>
      <c r="H378">
        <v>19435</v>
      </c>
      <c r="I378">
        <v>6376</v>
      </c>
      <c r="J378">
        <v>25000</v>
      </c>
      <c r="K378">
        <v>19000</v>
      </c>
      <c r="L378" t="s">
        <v>3284</v>
      </c>
      <c r="M378" t="s">
        <v>3439</v>
      </c>
      <c r="N378" t="s">
        <v>1630</v>
      </c>
      <c r="O378" s="4">
        <v>45698.3971759259</v>
      </c>
      <c r="P378" t="s">
        <v>66</v>
      </c>
      <c r="Q378" t="s">
        <v>1631</v>
      </c>
      <c r="R378" t="s">
        <v>3450</v>
      </c>
      <c r="T378" t="s">
        <v>66</v>
      </c>
    </row>
    <row r="379" ht="25.5" customHeight="1" spans="1:20">
      <c r="A379" t="s">
        <v>1679</v>
      </c>
      <c r="B379" t="s">
        <v>65</v>
      </c>
      <c r="C379" t="s">
        <v>3438</v>
      </c>
      <c r="D379" s="3"/>
      <c r="E379" s="2">
        <v>45684</v>
      </c>
      <c r="F379">
        <v>1600000</v>
      </c>
      <c r="G379">
        <v>949348</v>
      </c>
      <c r="H379">
        <v>19500</v>
      </c>
      <c r="I379">
        <v>6425</v>
      </c>
      <c r="J379">
        <v>25000</v>
      </c>
      <c r="K379">
        <v>19000</v>
      </c>
      <c r="L379" t="s">
        <v>3284</v>
      </c>
      <c r="M379" t="s">
        <v>3439</v>
      </c>
      <c r="N379" t="s">
        <v>1630</v>
      </c>
      <c r="O379" s="4">
        <v>45698.3971875</v>
      </c>
      <c r="P379" t="s">
        <v>66</v>
      </c>
      <c r="Q379" t="s">
        <v>1631</v>
      </c>
      <c r="R379" t="s">
        <v>3451</v>
      </c>
      <c r="T379" t="s">
        <v>66</v>
      </c>
    </row>
    <row r="380" ht="25.5" customHeight="1" spans="1:20">
      <c r="A380" t="s">
        <v>1679</v>
      </c>
      <c r="B380" t="s">
        <v>65</v>
      </c>
      <c r="C380" t="s">
        <v>3438</v>
      </c>
      <c r="D380" s="3"/>
      <c r="E380" s="2">
        <v>45693</v>
      </c>
      <c r="F380">
        <v>1600000</v>
      </c>
      <c r="G380">
        <v>949348</v>
      </c>
      <c r="H380">
        <v>23000</v>
      </c>
      <c r="I380">
        <v>7537</v>
      </c>
      <c r="J380">
        <v>25000</v>
      </c>
      <c r="K380">
        <v>19000</v>
      </c>
      <c r="L380" t="s">
        <v>3284</v>
      </c>
      <c r="M380" t="s">
        <v>3439</v>
      </c>
      <c r="N380" t="s">
        <v>1630</v>
      </c>
      <c r="O380" s="4">
        <v>45698.3971990741</v>
      </c>
      <c r="P380" t="s">
        <v>66</v>
      </c>
      <c r="Q380" t="s">
        <v>1631</v>
      </c>
      <c r="R380" t="s">
        <v>3452</v>
      </c>
      <c r="T380" t="s">
        <v>66</v>
      </c>
    </row>
    <row r="381" ht="25.5" customHeight="1" spans="1:20">
      <c r="A381" t="s">
        <v>1679</v>
      </c>
      <c r="B381" t="s">
        <v>65</v>
      </c>
      <c r="C381" t="s">
        <v>3438</v>
      </c>
      <c r="D381" s="3"/>
      <c r="E381" s="2">
        <v>45694</v>
      </c>
      <c r="F381">
        <v>1600000</v>
      </c>
      <c r="G381">
        <v>949348</v>
      </c>
      <c r="H381">
        <v>23600</v>
      </c>
      <c r="I381">
        <v>7544</v>
      </c>
      <c r="J381">
        <v>25000</v>
      </c>
      <c r="K381">
        <v>19000</v>
      </c>
      <c r="L381" t="s">
        <v>3284</v>
      </c>
      <c r="M381" t="s">
        <v>3439</v>
      </c>
      <c r="N381" t="s">
        <v>1630</v>
      </c>
      <c r="O381" s="4">
        <v>45698.6216782407</v>
      </c>
      <c r="P381" t="s">
        <v>66</v>
      </c>
      <c r="Q381" t="s">
        <v>1631</v>
      </c>
      <c r="R381" t="s">
        <v>3453</v>
      </c>
      <c r="S381" t="s">
        <v>3152</v>
      </c>
      <c r="T381" t="s">
        <v>66</v>
      </c>
    </row>
    <row r="382" ht="25.5" customHeight="1" spans="1:20">
      <c r="A382" t="s">
        <v>1679</v>
      </c>
      <c r="B382" t="s">
        <v>65</v>
      </c>
      <c r="C382" t="s">
        <v>3438</v>
      </c>
      <c r="D382" s="3"/>
      <c r="E382" s="2">
        <v>45695</v>
      </c>
      <c r="F382">
        <v>1600000</v>
      </c>
      <c r="G382">
        <v>949348</v>
      </c>
      <c r="H382">
        <v>23700</v>
      </c>
      <c r="I382">
        <v>7547</v>
      </c>
      <c r="J382">
        <v>25000</v>
      </c>
      <c r="K382">
        <v>19000</v>
      </c>
      <c r="L382" t="s">
        <v>3284</v>
      </c>
      <c r="M382" t="s">
        <v>3439</v>
      </c>
      <c r="N382" t="s">
        <v>1630</v>
      </c>
      <c r="O382" s="4">
        <v>45698.3972106481</v>
      </c>
      <c r="P382" t="s">
        <v>66</v>
      </c>
      <c r="Q382" t="s">
        <v>1631</v>
      </c>
      <c r="R382" t="s">
        <v>3454</v>
      </c>
      <c r="T382" t="s">
        <v>66</v>
      </c>
    </row>
    <row r="383" ht="25.5" customHeight="1" spans="1:20">
      <c r="A383" t="s">
        <v>1358</v>
      </c>
      <c r="B383" t="s">
        <v>56</v>
      </c>
      <c r="C383" t="s">
        <v>3455</v>
      </c>
      <c r="D383" s="3" t="str">
        <f>HYPERLINK("https://www.tiktok.com/@rtxchicken","https://www.tiktok.com/@rtxchicken")</f>
        <v>https://www.tiktok.com/@rtxchicken</v>
      </c>
      <c r="E383" s="2">
        <v>45668</v>
      </c>
      <c r="F383">
        <v>54900</v>
      </c>
      <c r="G383">
        <v>1494</v>
      </c>
      <c r="H383">
        <v>130</v>
      </c>
      <c r="I383">
        <v>9</v>
      </c>
      <c r="J383">
        <v>27</v>
      </c>
      <c r="K383">
        <v>0</v>
      </c>
      <c r="L383" t="s">
        <v>3230</v>
      </c>
      <c r="M383" t="s">
        <v>3225</v>
      </c>
      <c r="N383" t="s">
        <v>1630</v>
      </c>
      <c r="O383" s="4">
        <v>45670.8571064815</v>
      </c>
      <c r="P383" t="s">
        <v>57</v>
      </c>
      <c r="Q383" t="s">
        <v>1789</v>
      </c>
      <c r="R383" t="s">
        <v>3456</v>
      </c>
      <c r="T383" t="s">
        <v>57</v>
      </c>
    </row>
    <row r="384" ht="25.5" customHeight="1" spans="1:20">
      <c r="A384" t="s">
        <v>1358</v>
      </c>
      <c r="B384" t="s">
        <v>56</v>
      </c>
      <c r="C384" t="s">
        <v>3455</v>
      </c>
      <c r="D384" s="3"/>
      <c r="E384" s="2">
        <v>45671</v>
      </c>
      <c r="F384">
        <v>54900</v>
      </c>
      <c r="G384">
        <v>1573</v>
      </c>
      <c r="H384">
        <v>135</v>
      </c>
      <c r="I384">
        <v>10</v>
      </c>
      <c r="J384">
        <v>28</v>
      </c>
      <c r="K384">
        <v>0</v>
      </c>
      <c r="L384" t="s">
        <v>3230</v>
      </c>
      <c r="M384" t="s">
        <v>3225</v>
      </c>
      <c r="N384" t="s">
        <v>1630</v>
      </c>
      <c r="O384" s="4">
        <v>45672.5030092593</v>
      </c>
      <c r="P384" t="s">
        <v>57</v>
      </c>
      <c r="Q384" t="s">
        <v>1789</v>
      </c>
      <c r="R384" t="s">
        <v>3457</v>
      </c>
      <c r="T384" t="s">
        <v>57</v>
      </c>
    </row>
    <row r="385" ht="25.5" customHeight="1" spans="1:20">
      <c r="A385" t="s">
        <v>1358</v>
      </c>
      <c r="B385" t="s">
        <v>56</v>
      </c>
      <c r="C385" t="s">
        <v>3455</v>
      </c>
      <c r="D385" s="3"/>
      <c r="E385" s="2">
        <v>45672</v>
      </c>
      <c r="F385">
        <v>55000</v>
      </c>
      <c r="G385">
        <v>1708</v>
      </c>
      <c r="H385">
        <v>151</v>
      </c>
      <c r="I385">
        <v>19</v>
      </c>
      <c r="J385">
        <v>36</v>
      </c>
      <c r="K385">
        <v>1</v>
      </c>
      <c r="L385" t="s">
        <v>3260</v>
      </c>
      <c r="M385" t="s">
        <v>3225</v>
      </c>
      <c r="N385" t="s">
        <v>1630</v>
      </c>
      <c r="O385" s="4">
        <v>45672.5258217593</v>
      </c>
      <c r="P385" t="s">
        <v>57</v>
      </c>
      <c r="Q385" t="s">
        <v>1789</v>
      </c>
      <c r="R385" t="s">
        <v>3189</v>
      </c>
      <c r="T385" t="s">
        <v>57</v>
      </c>
    </row>
    <row r="386" ht="25.5" customHeight="1" spans="1:20">
      <c r="A386" t="s">
        <v>1358</v>
      </c>
      <c r="B386" t="s">
        <v>56</v>
      </c>
      <c r="C386" t="s">
        <v>3455</v>
      </c>
      <c r="D386" s="3"/>
      <c r="E386" s="2">
        <v>45673</v>
      </c>
      <c r="F386">
        <v>55100</v>
      </c>
      <c r="G386">
        <v>1827</v>
      </c>
      <c r="H386">
        <v>158</v>
      </c>
      <c r="I386">
        <v>19</v>
      </c>
      <c r="J386">
        <v>36</v>
      </c>
      <c r="K386">
        <v>1</v>
      </c>
      <c r="L386" t="s">
        <v>3260</v>
      </c>
      <c r="M386" t="s">
        <v>3225</v>
      </c>
      <c r="N386" t="s">
        <v>1630</v>
      </c>
      <c r="O386" s="4">
        <v>45673.588599537</v>
      </c>
      <c r="P386" t="s">
        <v>57</v>
      </c>
      <c r="Q386" t="s">
        <v>1789</v>
      </c>
      <c r="R386" t="s">
        <v>3458</v>
      </c>
      <c r="T386" t="s">
        <v>57</v>
      </c>
    </row>
    <row r="387" ht="25.5" customHeight="1" spans="1:20">
      <c r="A387" t="s">
        <v>1358</v>
      </c>
      <c r="B387" t="s">
        <v>56</v>
      </c>
      <c r="C387" t="s">
        <v>3455</v>
      </c>
      <c r="D387" s="3"/>
      <c r="E387" s="2">
        <v>45674</v>
      </c>
      <c r="F387">
        <v>55200</v>
      </c>
      <c r="G387">
        <v>1889</v>
      </c>
      <c r="H387">
        <v>162</v>
      </c>
      <c r="I387">
        <v>19</v>
      </c>
      <c r="J387">
        <v>37</v>
      </c>
      <c r="K387">
        <v>1</v>
      </c>
      <c r="L387" t="s">
        <v>3260</v>
      </c>
      <c r="M387" t="s">
        <v>3225</v>
      </c>
      <c r="N387" t="s">
        <v>1630</v>
      </c>
      <c r="O387" s="4">
        <v>45674.6654976852</v>
      </c>
      <c r="P387" t="s">
        <v>57</v>
      </c>
      <c r="Q387" t="s">
        <v>1789</v>
      </c>
      <c r="R387" t="s">
        <v>3410</v>
      </c>
      <c r="T387" t="s">
        <v>57</v>
      </c>
    </row>
    <row r="388" ht="25.5" customHeight="1" spans="1:20">
      <c r="A388" t="s">
        <v>1358</v>
      </c>
      <c r="B388" t="s">
        <v>56</v>
      </c>
      <c r="C388" t="s">
        <v>3455</v>
      </c>
      <c r="D388" s="3"/>
      <c r="E388" s="2">
        <v>45677</v>
      </c>
      <c r="F388">
        <v>55400</v>
      </c>
      <c r="G388">
        <v>2054</v>
      </c>
      <c r="H388">
        <v>174</v>
      </c>
      <c r="I388">
        <v>19</v>
      </c>
      <c r="J388">
        <v>39</v>
      </c>
      <c r="K388">
        <v>1</v>
      </c>
      <c r="L388" t="s">
        <v>3230</v>
      </c>
      <c r="M388" t="s">
        <v>3225</v>
      </c>
      <c r="N388" t="s">
        <v>1630</v>
      </c>
      <c r="O388" s="4">
        <v>45677.4219791667</v>
      </c>
      <c r="P388" t="s">
        <v>57</v>
      </c>
      <c r="Q388" t="s">
        <v>1789</v>
      </c>
      <c r="R388" t="s">
        <v>3405</v>
      </c>
      <c r="T388" t="s">
        <v>57</v>
      </c>
    </row>
    <row r="389" ht="25.5" customHeight="1" spans="1:20">
      <c r="A389" t="s">
        <v>1358</v>
      </c>
      <c r="B389" t="s">
        <v>56</v>
      </c>
      <c r="C389" t="s">
        <v>3455</v>
      </c>
      <c r="D389" s="3"/>
      <c r="E389" s="2">
        <v>45678</v>
      </c>
      <c r="F389">
        <v>55400</v>
      </c>
      <c r="G389">
        <v>2111</v>
      </c>
      <c r="H389">
        <v>178</v>
      </c>
      <c r="I389">
        <v>19</v>
      </c>
      <c r="J389">
        <v>42</v>
      </c>
      <c r="K389">
        <v>1</v>
      </c>
      <c r="L389" t="s">
        <v>3230</v>
      </c>
      <c r="M389" t="s">
        <v>3225</v>
      </c>
      <c r="N389" t="s">
        <v>1630</v>
      </c>
      <c r="O389" s="4">
        <v>45678.6154513889</v>
      </c>
      <c r="P389" t="s">
        <v>57</v>
      </c>
      <c r="Q389" t="s">
        <v>1789</v>
      </c>
      <c r="R389" t="s">
        <v>3337</v>
      </c>
      <c r="T389" t="s">
        <v>57</v>
      </c>
    </row>
    <row r="390" ht="25.5" customHeight="1" spans="1:20">
      <c r="A390" t="s">
        <v>1358</v>
      </c>
      <c r="B390" t="s">
        <v>56</v>
      </c>
      <c r="C390" t="s">
        <v>3455</v>
      </c>
      <c r="D390" s="3"/>
      <c r="E390" s="2">
        <v>45679</v>
      </c>
      <c r="F390">
        <v>55500</v>
      </c>
      <c r="G390">
        <v>2171</v>
      </c>
      <c r="H390">
        <v>180</v>
      </c>
      <c r="I390">
        <v>19</v>
      </c>
      <c r="J390">
        <v>43</v>
      </c>
      <c r="K390">
        <v>1</v>
      </c>
      <c r="L390" t="s">
        <v>3230</v>
      </c>
      <c r="M390" t="s">
        <v>3225</v>
      </c>
      <c r="N390" t="s">
        <v>1630</v>
      </c>
      <c r="O390" s="4">
        <v>45679.6865625</v>
      </c>
      <c r="P390" t="s">
        <v>57</v>
      </c>
      <c r="Q390" t="s">
        <v>1789</v>
      </c>
      <c r="R390" t="s">
        <v>3459</v>
      </c>
      <c r="T390" t="s">
        <v>57</v>
      </c>
    </row>
    <row r="391" ht="25.5" customHeight="1" spans="1:20">
      <c r="A391" t="s">
        <v>1358</v>
      </c>
      <c r="B391" t="s">
        <v>56</v>
      </c>
      <c r="C391" t="s">
        <v>3455</v>
      </c>
      <c r="D391" s="3"/>
      <c r="E391" s="2">
        <v>45680</v>
      </c>
      <c r="F391">
        <v>55500</v>
      </c>
      <c r="G391">
        <v>2202</v>
      </c>
      <c r="H391">
        <v>182</v>
      </c>
      <c r="I391">
        <v>19</v>
      </c>
      <c r="J391">
        <v>43</v>
      </c>
      <c r="K391">
        <v>1</v>
      </c>
      <c r="L391" t="s">
        <v>3230</v>
      </c>
      <c r="M391" t="s">
        <v>3225</v>
      </c>
      <c r="N391" t="s">
        <v>1630</v>
      </c>
      <c r="O391" s="4">
        <v>45680.6392476852</v>
      </c>
      <c r="P391" t="s">
        <v>57</v>
      </c>
      <c r="Q391" t="s">
        <v>1789</v>
      </c>
      <c r="R391" t="s">
        <v>3460</v>
      </c>
      <c r="T391" t="s">
        <v>57</v>
      </c>
    </row>
    <row r="392" ht="25.5" customHeight="1" spans="1:20">
      <c r="A392" t="s">
        <v>1358</v>
      </c>
      <c r="B392" t="s">
        <v>56</v>
      </c>
      <c r="C392" t="s">
        <v>3455</v>
      </c>
      <c r="D392" s="3"/>
      <c r="E392" s="2">
        <v>45681</v>
      </c>
      <c r="F392">
        <v>55600</v>
      </c>
      <c r="G392">
        <v>2267</v>
      </c>
      <c r="H392">
        <v>185</v>
      </c>
      <c r="I392">
        <v>19</v>
      </c>
      <c r="J392">
        <v>44</v>
      </c>
      <c r="K392">
        <v>1</v>
      </c>
      <c r="L392" t="s">
        <v>3230</v>
      </c>
      <c r="M392" t="s">
        <v>3225</v>
      </c>
      <c r="N392" t="s">
        <v>1630</v>
      </c>
      <c r="O392" s="4">
        <v>45681.6000694444</v>
      </c>
      <c r="P392" t="s">
        <v>57</v>
      </c>
      <c r="Q392" t="s">
        <v>1789</v>
      </c>
      <c r="R392" t="s">
        <v>3461</v>
      </c>
      <c r="T392" t="s">
        <v>57</v>
      </c>
    </row>
    <row r="393" ht="25.5" customHeight="1" spans="1:20">
      <c r="A393" t="s">
        <v>1358</v>
      </c>
      <c r="B393" t="s">
        <v>56</v>
      </c>
      <c r="C393" t="s">
        <v>3455</v>
      </c>
      <c r="D393" s="3"/>
      <c r="E393" s="2">
        <v>45683</v>
      </c>
      <c r="F393">
        <v>55700</v>
      </c>
      <c r="G393">
        <v>2329</v>
      </c>
      <c r="H393">
        <v>187</v>
      </c>
      <c r="I393">
        <v>19</v>
      </c>
      <c r="J393">
        <v>44</v>
      </c>
      <c r="K393">
        <v>1</v>
      </c>
      <c r="L393" t="s">
        <v>3230</v>
      </c>
      <c r="M393" t="s">
        <v>3225</v>
      </c>
      <c r="N393" t="s">
        <v>1630</v>
      </c>
      <c r="O393" s="4">
        <v>45683.756875</v>
      </c>
      <c r="P393" t="s">
        <v>57</v>
      </c>
      <c r="Q393" t="s">
        <v>1789</v>
      </c>
      <c r="R393" t="s">
        <v>3430</v>
      </c>
      <c r="T393" t="s">
        <v>57</v>
      </c>
    </row>
    <row r="394" ht="25.5" customHeight="1" spans="1:20">
      <c r="A394" t="s">
        <v>1358</v>
      </c>
      <c r="B394" t="s">
        <v>56</v>
      </c>
      <c r="C394" t="s">
        <v>3455</v>
      </c>
      <c r="D394" s="3"/>
      <c r="E394" s="2">
        <v>45684</v>
      </c>
      <c r="F394">
        <v>55800</v>
      </c>
      <c r="G394">
        <v>2367</v>
      </c>
      <c r="H394">
        <v>188</v>
      </c>
      <c r="I394">
        <v>19</v>
      </c>
      <c r="J394">
        <v>46</v>
      </c>
      <c r="K394">
        <v>1</v>
      </c>
      <c r="L394" t="s">
        <v>3230</v>
      </c>
      <c r="M394" t="s">
        <v>3225</v>
      </c>
      <c r="N394" t="s">
        <v>1630</v>
      </c>
      <c r="O394" s="4">
        <v>45684.8249074074</v>
      </c>
      <c r="P394" t="s">
        <v>57</v>
      </c>
      <c r="Q394" t="s">
        <v>1789</v>
      </c>
      <c r="R394" t="s">
        <v>3462</v>
      </c>
      <c r="T394" t="s">
        <v>57</v>
      </c>
    </row>
    <row r="395" ht="25.5" customHeight="1" spans="1:20">
      <c r="A395" t="s">
        <v>1358</v>
      </c>
      <c r="B395" t="s">
        <v>56</v>
      </c>
      <c r="C395" t="s">
        <v>3455</v>
      </c>
      <c r="D395" s="3"/>
      <c r="E395" s="2">
        <v>45693</v>
      </c>
      <c r="F395">
        <v>56000</v>
      </c>
      <c r="G395">
        <v>2518</v>
      </c>
      <c r="H395">
        <v>195</v>
      </c>
      <c r="I395">
        <v>19</v>
      </c>
      <c r="J395">
        <v>49</v>
      </c>
      <c r="K395">
        <v>1</v>
      </c>
      <c r="L395" t="s">
        <v>3230</v>
      </c>
      <c r="M395" t="s">
        <v>3225</v>
      </c>
      <c r="N395" t="s">
        <v>1630</v>
      </c>
      <c r="O395" s="4">
        <v>45693.798275463</v>
      </c>
      <c r="P395" t="s">
        <v>57</v>
      </c>
      <c r="Q395" t="s">
        <v>1789</v>
      </c>
      <c r="R395" t="s">
        <v>3463</v>
      </c>
      <c r="T395" t="s">
        <v>57</v>
      </c>
    </row>
    <row r="396" ht="25.5" customHeight="1" spans="1:20">
      <c r="A396" t="s">
        <v>1358</v>
      </c>
      <c r="B396" t="s">
        <v>56</v>
      </c>
      <c r="C396" t="s">
        <v>3455</v>
      </c>
      <c r="D396" s="3"/>
      <c r="E396" s="2">
        <v>45694</v>
      </c>
      <c r="F396">
        <v>56000</v>
      </c>
      <c r="G396">
        <v>2527</v>
      </c>
      <c r="H396">
        <v>197</v>
      </c>
      <c r="I396">
        <v>19</v>
      </c>
      <c r="J396">
        <v>49</v>
      </c>
      <c r="K396">
        <v>1</v>
      </c>
      <c r="L396" t="s">
        <v>3230</v>
      </c>
      <c r="M396" t="s">
        <v>3225</v>
      </c>
      <c r="N396" t="s">
        <v>1630</v>
      </c>
      <c r="O396" s="4">
        <v>45698.6216782407</v>
      </c>
      <c r="P396" t="s">
        <v>57</v>
      </c>
      <c r="Q396" t="s">
        <v>1789</v>
      </c>
      <c r="R396" t="s">
        <v>3464</v>
      </c>
      <c r="S396" t="s">
        <v>3245</v>
      </c>
      <c r="T396" t="s">
        <v>57</v>
      </c>
    </row>
    <row r="397" ht="25.5" customHeight="1" spans="1:20">
      <c r="A397" t="s">
        <v>1358</v>
      </c>
      <c r="B397" t="s">
        <v>56</v>
      </c>
      <c r="C397" t="s">
        <v>3455</v>
      </c>
      <c r="D397" s="3"/>
      <c r="E397" s="2">
        <v>45695</v>
      </c>
      <c r="F397">
        <v>56000</v>
      </c>
      <c r="G397">
        <v>2537</v>
      </c>
      <c r="H397">
        <v>197</v>
      </c>
      <c r="I397">
        <v>19</v>
      </c>
      <c r="J397">
        <v>49</v>
      </c>
      <c r="K397">
        <v>1</v>
      </c>
      <c r="L397" t="s">
        <v>3230</v>
      </c>
      <c r="M397" t="s">
        <v>3225</v>
      </c>
      <c r="N397" t="s">
        <v>1630</v>
      </c>
      <c r="O397" s="4">
        <v>45695.6972222222</v>
      </c>
      <c r="P397" t="s">
        <v>57</v>
      </c>
      <c r="Q397" t="s">
        <v>1789</v>
      </c>
      <c r="R397" t="s">
        <v>3464</v>
      </c>
      <c r="T397" t="s">
        <v>57</v>
      </c>
    </row>
    <row r="398" ht="25.5" customHeight="1" spans="1:18">
      <c r="A398" t="s">
        <v>3465</v>
      </c>
      <c r="D398" s="3"/>
      <c r="E398" s="2"/>
      <c r="O398" s="4">
        <v>45670.743587963</v>
      </c>
      <c r="R398" t="s">
        <v>3133</v>
      </c>
    </row>
    <row r="399" ht="25.5" customHeight="1" spans="1:20">
      <c r="A399" t="s">
        <v>2055</v>
      </c>
      <c r="B399" t="s">
        <v>56</v>
      </c>
      <c r="C399" t="s">
        <v>3466</v>
      </c>
      <c r="D399" s="3"/>
      <c r="E399" s="2">
        <v>45674</v>
      </c>
      <c r="F399">
        <v>642400</v>
      </c>
      <c r="G399">
        <v>1563</v>
      </c>
      <c r="H399">
        <v>69</v>
      </c>
      <c r="I399">
        <v>5</v>
      </c>
      <c r="J399">
        <v>30</v>
      </c>
      <c r="K399">
        <v>3</v>
      </c>
      <c r="L399" t="s">
        <v>3195</v>
      </c>
      <c r="M399" t="s">
        <v>3139</v>
      </c>
      <c r="N399" t="s">
        <v>1630</v>
      </c>
      <c r="O399" s="4">
        <v>45674.6657175926</v>
      </c>
      <c r="P399" t="s">
        <v>57</v>
      </c>
      <c r="Q399" t="s">
        <v>1753</v>
      </c>
      <c r="R399" t="s">
        <v>3364</v>
      </c>
      <c r="T399" t="s">
        <v>57</v>
      </c>
    </row>
    <row r="400" ht="25.5" customHeight="1" spans="1:20">
      <c r="A400" t="s">
        <v>2055</v>
      </c>
      <c r="B400" t="s">
        <v>56</v>
      </c>
      <c r="C400" t="s">
        <v>3466</v>
      </c>
      <c r="D400" s="3"/>
      <c r="E400" s="2">
        <v>45677</v>
      </c>
      <c r="F400">
        <v>642500</v>
      </c>
      <c r="G400">
        <v>15100</v>
      </c>
      <c r="H400">
        <v>705</v>
      </c>
      <c r="I400">
        <v>14</v>
      </c>
      <c r="J400">
        <v>593</v>
      </c>
      <c r="K400">
        <v>156</v>
      </c>
      <c r="L400" t="s">
        <v>3258</v>
      </c>
      <c r="M400" t="s">
        <v>3139</v>
      </c>
      <c r="N400" t="s">
        <v>1630</v>
      </c>
      <c r="O400" s="4">
        <v>45677.4222569444</v>
      </c>
      <c r="P400" t="s">
        <v>57</v>
      </c>
      <c r="Q400" t="s">
        <v>1753</v>
      </c>
      <c r="R400" t="s">
        <v>3467</v>
      </c>
      <c r="T400" t="s">
        <v>57</v>
      </c>
    </row>
    <row r="401" ht="25.5" customHeight="1" spans="1:20">
      <c r="A401" t="s">
        <v>2055</v>
      </c>
      <c r="B401" t="s">
        <v>56</v>
      </c>
      <c r="C401" t="s">
        <v>3466</v>
      </c>
      <c r="D401" s="3"/>
      <c r="E401" s="2">
        <v>45678</v>
      </c>
      <c r="F401">
        <v>642700</v>
      </c>
      <c r="G401">
        <v>31800</v>
      </c>
      <c r="H401">
        <v>1633</v>
      </c>
      <c r="I401">
        <v>25</v>
      </c>
      <c r="J401">
        <v>1429</v>
      </c>
      <c r="K401">
        <v>374</v>
      </c>
      <c r="L401" t="s">
        <v>3258</v>
      </c>
      <c r="M401" t="s">
        <v>3139</v>
      </c>
      <c r="N401" t="s">
        <v>1630</v>
      </c>
      <c r="O401" s="4">
        <v>45678.6174189815</v>
      </c>
      <c r="P401" t="s">
        <v>57</v>
      </c>
      <c r="Q401" t="s">
        <v>1753</v>
      </c>
      <c r="R401" t="s">
        <v>3468</v>
      </c>
      <c r="T401" t="s">
        <v>57</v>
      </c>
    </row>
    <row r="402" ht="25.5" customHeight="1" spans="1:20">
      <c r="A402" t="s">
        <v>2055</v>
      </c>
      <c r="B402" t="s">
        <v>56</v>
      </c>
      <c r="C402" t="s">
        <v>3466</v>
      </c>
      <c r="D402" s="3"/>
      <c r="E402" s="2">
        <v>45679</v>
      </c>
      <c r="F402">
        <v>642900</v>
      </c>
      <c r="G402">
        <v>48800</v>
      </c>
      <c r="H402">
        <v>2645</v>
      </c>
      <c r="I402">
        <v>33</v>
      </c>
      <c r="J402">
        <v>2232</v>
      </c>
      <c r="K402">
        <v>660</v>
      </c>
      <c r="L402" t="s">
        <v>3248</v>
      </c>
      <c r="M402" t="s">
        <v>3139</v>
      </c>
      <c r="N402" t="s">
        <v>1630</v>
      </c>
      <c r="O402" s="4">
        <v>45679.686875</v>
      </c>
      <c r="P402" t="s">
        <v>57</v>
      </c>
      <c r="Q402" t="s">
        <v>1753</v>
      </c>
      <c r="R402" t="s">
        <v>3469</v>
      </c>
      <c r="T402" t="s">
        <v>57</v>
      </c>
    </row>
    <row r="403" ht="25.5" customHeight="1" spans="1:20">
      <c r="A403" t="s">
        <v>2055</v>
      </c>
      <c r="B403" t="s">
        <v>56</v>
      </c>
      <c r="C403" t="s">
        <v>3466</v>
      </c>
      <c r="D403" s="3"/>
      <c r="E403" s="2">
        <v>45680</v>
      </c>
      <c r="F403">
        <v>643000</v>
      </c>
      <c r="G403">
        <v>61400</v>
      </c>
      <c r="H403">
        <v>3385</v>
      </c>
      <c r="I403">
        <v>37</v>
      </c>
      <c r="J403">
        <v>2824</v>
      </c>
      <c r="K403">
        <v>939</v>
      </c>
      <c r="L403" t="s">
        <v>3248</v>
      </c>
      <c r="M403" t="s">
        <v>3139</v>
      </c>
      <c r="N403" t="s">
        <v>1630</v>
      </c>
      <c r="O403" s="4">
        <v>45680.6391203704</v>
      </c>
      <c r="P403" t="s">
        <v>57</v>
      </c>
      <c r="Q403" t="s">
        <v>1753</v>
      </c>
      <c r="R403" t="s">
        <v>3470</v>
      </c>
      <c r="T403" t="s">
        <v>57</v>
      </c>
    </row>
    <row r="404" ht="25.5" customHeight="1" spans="1:20">
      <c r="A404" t="s">
        <v>2055</v>
      </c>
      <c r="B404" t="s">
        <v>56</v>
      </c>
      <c r="C404" t="s">
        <v>3466</v>
      </c>
      <c r="D404" s="3"/>
      <c r="E404" s="2">
        <v>45681</v>
      </c>
      <c r="F404">
        <v>643100</v>
      </c>
      <c r="G404">
        <v>69300</v>
      </c>
      <c r="H404">
        <v>3847</v>
      </c>
      <c r="I404">
        <v>38</v>
      </c>
      <c r="J404">
        <v>3215</v>
      </c>
      <c r="K404">
        <v>1062</v>
      </c>
      <c r="L404" t="s">
        <v>3248</v>
      </c>
      <c r="M404" t="s">
        <v>3139</v>
      </c>
      <c r="N404" t="s">
        <v>1630</v>
      </c>
      <c r="O404" s="4">
        <v>45681.6003009259</v>
      </c>
      <c r="P404" t="s">
        <v>57</v>
      </c>
      <c r="Q404" t="s">
        <v>1753</v>
      </c>
      <c r="R404" t="s">
        <v>3471</v>
      </c>
      <c r="T404" t="s">
        <v>57</v>
      </c>
    </row>
    <row r="405" ht="25.5" customHeight="1" spans="1:20">
      <c r="A405" t="s">
        <v>2055</v>
      </c>
      <c r="B405" t="s">
        <v>56</v>
      </c>
      <c r="C405" t="s">
        <v>3466</v>
      </c>
      <c r="D405" s="3"/>
      <c r="E405" s="2">
        <v>45683</v>
      </c>
      <c r="F405">
        <v>643100</v>
      </c>
      <c r="G405">
        <v>76900</v>
      </c>
      <c r="H405">
        <v>4318</v>
      </c>
      <c r="I405">
        <v>41</v>
      </c>
      <c r="J405">
        <v>3576</v>
      </c>
      <c r="K405">
        <v>1152</v>
      </c>
      <c r="L405" t="s">
        <v>3248</v>
      </c>
      <c r="M405" t="s">
        <v>3139</v>
      </c>
      <c r="N405" t="s">
        <v>1630</v>
      </c>
      <c r="O405" s="4">
        <v>45683.7571990741</v>
      </c>
      <c r="P405" t="s">
        <v>57</v>
      </c>
      <c r="Q405" t="s">
        <v>1753</v>
      </c>
      <c r="R405" t="s">
        <v>3472</v>
      </c>
      <c r="T405" t="s">
        <v>57</v>
      </c>
    </row>
    <row r="406" ht="25.5" customHeight="1" spans="1:20">
      <c r="A406" t="s">
        <v>2055</v>
      </c>
      <c r="B406" t="s">
        <v>56</v>
      </c>
      <c r="C406" t="s">
        <v>3466</v>
      </c>
      <c r="D406" s="3"/>
      <c r="E406" s="2">
        <v>45684</v>
      </c>
      <c r="F406">
        <v>643100</v>
      </c>
      <c r="G406">
        <v>79600</v>
      </c>
      <c r="H406">
        <v>4474</v>
      </c>
      <c r="I406">
        <v>41</v>
      </c>
      <c r="J406">
        <v>3683</v>
      </c>
      <c r="K406">
        <v>1171</v>
      </c>
      <c r="L406" t="s">
        <v>3248</v>
      </c>
      <c r="M406" t="s">
        <v>3139</v>
      </c>
      <c r="N406" t="s">
        <v>1630</v>
      </c>
      <c r="O406" s="4">
        <v>45684.8258217593</v>
      </c>
      <c r="P406" t="s">
        <v>57</v>
      </c>
      <c r="Q406" t="s">
        <v>1753</v>
      </c>
      <c r="R406" t="s">
        <v>3473</v>
      </c>
      <c r="T406" t="s">
        <v>57</v>
      </c>
    </row>
    <row r="407" ht="25.5" customHeight="1" spans="1:20">
      <c r="A407" t="s">
        <v>2055</v>
      </c>
      <c r="B407" t="s">
        <v>56</v>
      </c>
      <c r="C407" t="s">
        <v>3466</v>
      </c>
      <c r="D407" s="3"/>
      <c r="E407" s="2">
        <v>45693</v>
      </c>
      <c r="F407">
        <v>646600</v>
      </c>
      <c r="G407">
        <v>104700</v>
      </c>
      <c r="H407">
        <v>5906</v>
      </c>
      <c r="I407">
        <v>62</v>
      </c>
      <c r="J407">
        <v>4804</v>
      </c>
      <c r="K407">
        <v>1433</v>
      </c>
      <c r="L407" t="s">
        <v>3248</v>
      </c>
      <c r="M407" t="s">
        <v>3139</v>
      </c>
      <c r="N407" t="s">
        <v>1630</v>
      </c>
      <c r="O407" s="4">
        <v>45693.7985532407</v>
      </c>
      <c r="P407" t="s">
        <v>57</v>
      </c>
      <c r="Q407" t="s">
        <v>1753</v>
      </c>
      <c r="R407" t="s">
        <v>3474</v>
      </c>
      <c r="T407" t="s">
        <v>57</v>
      </c>
    </row>
    <row r="408" ht="25.5" customHeight="1" spans="1:20">
      <c r="A408" t="s">
        <v>2055</v>
      </c>
      <c r="B408" t="s">
        <v>56</v>
      </c>
      <c r="C408" t="s">
        <v>3466</v>
      </c>
      <c r="D408" s="3"/>
      <c r="E408" s="2">
        <v>45694</v>
      </c>
      <c r="F408">
        <v>646700</v>
      </c>
      <c r="G408">
        <v>107100</v>
      </c>
      <c r="H408">
        <v>6033</v>
      </c>
      <c r="I408">
        <v>64</v>
      </c>
      <c r="J408">
        <v>4898</v>
      </c>
      <c r="K408">
        <v>1458</v>
      </c>
      <c r="L408" t="s">
        <v>3248</v>
      </c>
      <c r="M408" t="s">
        <v>3139</v>
      </c>
      <c r="N408" t="s">
        <v>1630</v>
      </c>
      <c r="O408" s="4">
        <v>45698.6216782407</v>
      </c>
      <c r="P408" t="s">
        <v>57</v>
      </c>
      <c r="Q408" t="s">
        <v>1753</v>
      </c>
      <c r="R408" t="s">
        <v>3475</v>
      </c>
      <c r="S408" t="s">
        <v>3169</v>
      </c>
      <c r="T408" t="s">
        <v>57</v>
      </c>
    </row>
    <row r="409" ht="25.5" customHeight="1" spans="1:20">
      <c r="A409" t="s">
        <v>2055</v>
      </c>
      <c r="B409" t="s">
        <v>56</v>
      </c>
      <c r="C409" t="s">
        <v>3466</v>
      </c>
      <c r="D409" s="3"/>
      <c r="E409" s="2">
        <v>45695</v>
      </c>
      <c r="F409">
        <v>646800</v>
      </c>
      <c r="G409">
        <v>111300</v>
      </c>
      <c r="H409">
        <v>6297</v>
      </c>
      <c r="I409">
        <v>66</v>
      </c>
      <c r="J409">
        <v>5071</v>
      </c>
      <c r="K409">
        <v>1501</v>
      </c>
      <c r="L409" t="s">
        <v>3248</v>
      </c>
      <c r="M409" t="s">
        <v>3139</v>
      </c>
      <c r="N409" t="s">
        <v>1630</v>
      </c>
      <c r="O409" s="4">
        <v>45695.6975</v>
      </c>
      <c r="P409" t="s">
        <v>57</v>
      </c>
      <c r="Q409" t="s">
        <v>1753</v>
      </c>
      <c r="R409" t="s">
        <v>3476</v>
      </c>
      <c r="T409" t="s">
        <v>57</v>
      </c>
    </row>
    <row r="410" ht="25.5" customHeight="1" spans="1:20">
      <c r="A410" t="s">
        <v>2055</v>
      </c>
      <c r="B410" t="s">
        <v>56</v>
      </c>
      <c r="C410" t="s">
        <v>3466</v>
      </c>
      <c r="D410" s="3"/>
      <c r="E410" s="2">
        <v>45696</v>
      </c>
      <c r="M410" t="s">
        <v>3139</v>
      </c>
      <c r="N410" t="s">
        <v>1630</v>
      </c>
      <c r="O410" s="4">
        <v>45696.3900925926</v>
      </c>
      <c r="P410" t="s">
        <v>57</v>
      </c>
      <c r="Q410" t="s">
        <v>1753</v>
      </c>
      <c r="R410" t="s">
        <v>3133</v>
      </c>
      <c r="T410" t="s">
        <v>57</v>
      </c>
    </row>
    <row r="411" ht="25.5" customHeight="1" spans="1:20">
      <c r="A411" t="s">
        <v>2378</v>
      </c>
      <c r="B411" t="s">
        <v>1816</v>
      </c>
      <c r="C411" t="s">
        <v>3477</v>
      </c>
      <c r="D411" s="3"/>
      <c r="E411" s="2">
        <v>45664</v>
      </c>
      <c r="F411">
        <v>211200</v>
      </c>
      <c r="G411">
        <v>44600</v>
      </c>
      <c r="H411">
        <v>121</v>
      </c>
      <c r="I411">
        <v>21</v>
      </c>
      <c r="J411">
        <v>187</v>
      </c>
      <c r="K411">
        <v>17</v>
      </c>
      <c r="L411" t="s">
        <v>3138</v>
      </c>
      <c r="M411" t="s">
        <v>3228</v>
      </c>
      <c r="N411" t="s">
        <v>1630</v>
      </c>
      <c r="O411" s="4">
        <v>45670.7564351852</v>
      </c>
      <c r="P411" t="s">
        <v>1817</v>
      </c>
      <c r="Q411" t="s">
        <v>1631</v>
      </c>
      <c r="R411" t="s">
        <v>3478</v>
      </c>
      <c r="T411" t="s">
        <v>1817</v>
      </c>
    </row>
    <row r="412" ht="25.5" customHeight="1" spans="1:20">
      <c r="A412" t="s">
        <v>2378</v>
      </c>
      <c r="B412" t="s">
        <v>1816</v>
      </c>
      <c r="C412" t="s">
        <v>3477</v>
      </c>
      <c r="D412" s="3"/>
      <c r="E412" s="2">
        <v>45665</v>
      </c>
      <c r="F412">
        <v>211200</v>
      </c>
      <c r="G412">
        <v>48200</v>
      </c>
      <c r="H412">
        <v>127</v>
      </c>
      <c r="I412">
        <v>21</v>
      </c>
      <c r="J412">
        <v>205</v>
      </c>
      <c r="K412">
        <v>17</v>
      </c>
      <c r="L412" t="s">
        <v>3138</v>
      </c>
      <c r="M412" t="s">
        <v>3228</v>
      </c>
      <c r="N412" t="s">
        <v>1630</v>
      </c>
      <c r="O412" s="4">
        <v>45672.5030092593</v>
      </c>
      <c r="P412" t="s">
        <v>1817</v>
      </c>
      <c r="Q412" t="s">
        <v>1631</v>
      </c>
      <c r="R412" t="s">
        <v>3479</v>
      </c>
      <c r="T412" t="s">
        <v>1817</v>
      </c>
    </row>
    <row r="413" ht="25.5" customHeight="1" spans="1:20">
      <c r="A413" t="s">
        <v>2378</v>
      </c>
      <c r="B413" t="s">
        <v>1816</v>
      </c>
      <c r="C413" t="s">
        <v>3477</v>
      </c>
      <c r="D413" s="3"/>
      <c r="E413" s="2">
        <v>45670</v>
      </c>
      <c r="F413">
        <v>211200</v>
      </c>
      <c r="G413">
        <v>49600</v>
      </c>
      <c r="H413">
        <v>131</v>
      </c>
      <c r="I413">
        <v>21</v>
      </c>
      <c r="J413">
        <v>208</v>
      </c>
      <c r="K413">
        <v>12</v>
      </c>
      <c r="L413" t="s">
        <v>3138</v>
      </c>
      <c r="M413" t="s">
        <v>3228</v>
      </c>
      <c r="N413" t="s">
        <v>1630</v>
      </c>
      <c r="O413" s="4">
        <v>45672.5030092593</v>
      </c>
      <c r="P413" t="s">
        <v>1817</v>
      </c>
      <c r="Q413" t="s">
        <v>1631</v>
      </c>
      <c r="R413" t="s">
        <v>3480</v>
      </c>
      <c r="T413" t="s">
        <v>1817</v>
      </c>
    </row>
    <row r="414" ht="25.5" customHeight="1" spans="1:20">
      <c r="A414" t="s">
        <v>2378</v>
      </c>
      <c r="B414" t="s">
        <v>1816</v>
      </c>
      <c r="C414" t="s">
        <v>3477</v>
      </c>
      <c r="D414" s="3"/>
      <c r="E414" s="2">
        <v>45671</v>
      </c>
      <c r="F414">
        <v>211200</v>
      </c>
      <c r="G414">
        <v>49600</v>
      </c>
      <c r="H414">
        <v>131</v>
      </c>
      <c r="I414">
        <v>21</v>
      </c>
      <c r="J414">
        <v>208</v>
      </c>
      <c r="K414">
        <v>12</v>
      </c>
      <c r="L414" t="s">
        <v>3138</v>
      </c>
      <c r="M414" t="s">
        <v>3228</v>
      </c>
      <c r="N414" t="s">
        <v>1630</v>
      </c>
      <c r="O414" s="4">
        <v>45672.5030092593</v>
      </c>
      <c r="P414" t="s">
        <v>1817</v>
      </c>
      <c r="Q414" t="s">
        <v>1631</v>
      </c>
      <c r="R414" t="s">
        <v>3480</v>
      </c>
      <c r="T414" t="s">
        <v>1817</v>
      </c>
    </row>
    <row r="415" ht="25.5" customHeight="1" spans="1:20">
      <c r="A415" t="s">
        <v>2378</v>
      </c>
      <c r="B415" t="s">
        <v>1816</v>
      </c>
      <c r="C415" t="s">
        <v>3477</v>
      </c>
      <c r="D415" s="3"/>
      <c r="E415" s="2">
        <v>45672</v>
      </c>
      <c r="F415">
        <v>211200</v>
      </c>
      <c r="G415">
        <v>49600</v>
      </c>
      <c r="H415">
        <v>131</v>
      </c>
      <c r="I415">
        <v>21</v>
      </c>
      <c r="J415">
        <v>208</v>
      </c>
      <c r="K415">
        <v>11</v>
      </c>
      <c r="L415" t="s">
        <v>3138</v>
      </c>
      <c r="M415" t="s">
        <v>3228</v>
      </c>
      <c r="N415" t="s">
        <v>1630</v>
      </c>
      <c r="O415" s="4">
        <v>45672.7121527778</v>
      </c>
      <c r="P415" t="s">
        <v>1817</v>
      </c>
      <c r="Q415" t="s">
        <v>1631</v>
      </c>
      <c r="R415" t="s">
        <v>3481</v>
      </c>
      <c r="T415" t="s">
        <v>1817</v>
      </c>
    </row>
    <row r="416" ht="25.5" customHeight="1" spans="1:20">
      <c r="A416" t="s">
        <v>2378</v>
      </c>
      <c r="B416" t="s">
        <v>1816</v>
      </c>
      <c r="C416" t="s">
        <v>3477</v>
      </c>
      <c r="D416" s="3"/>
      <c r="E416" s="2">
        <v>45673</v>
      </c>
      <c r="F416">
        <v>211400</v>
      </c>
      <c r="G416">
        <v>49800</v>
      </c>
      <c r="H416">
        <v>130</v>
      </c>
      <c r="I416">
        <v>21</v>
      </c>
      <c r="J416">
        <v>209</v>
      </c>
      <c r="K416">
        <v>11</v>
      </c>
      <c r="L416" t="s">
        <v>3138</v>
      </c>
      <c r="M416" t="s">
        <v>3228</v>
      </c>
      <c r="N416" t="s">
        <v>1630</v>
      </c>
      <c r="O416" s="4">
        <v>45673.626724537</v>
      </c>
      <c r="P416" t="s">
        <v>1817</v>
      </c>
      <c r="Q416" t="s">
        <v>1631</v>
      </c>
      <c r="R416" t="s">
        <v>3481</v>
      </c>
      <c r="T416" t="s">
        <v>1817</v>
      </c>
    </row>
    <row r="417" ht="25.5" customHeight="1" spans="1:20">
      <c r="A417" t="s">
        <v>2378</v>
      </c>
      <c r="B417" t="s">
        <v>1816</v>
      </c>
      <c r="C417" t="s">
        <v>3477</v>
      </c>
      <c r="D417" s="3"/>
      <c r="E417" s="2">
        <v>45674</v>
      </c>
      <c r="F417">
        <v>211500</v>
      </c>
      <c r="G417">
        <v>49800</v>
      </c>
      <c r="H417">
        <v>131</v>
      </c>
      <c r="I417">
        <v>21</v>
      </c>
      <c r="J417">
        <v>210</v>
      </c>
      <c r="K417">
        <v>11</v>
      </c>
      <c r="L417" t="s">
        <v>3138</v>
      </c>
      <c r="M417" t="s">
        <v>3228</v>
      </c>
      <c r="N417" t="s">
        <v>1630</v>
      </c>
      <c r="O417" s="4">
        <v>45674.6815856481</v>
      </c>
      <c r="P417" t="s">
        <v>1817</v>
      </c>
      <c r="Q417" t="s">
        <v>1631</v>
      </c>
      <c r="R417" t="s">
        <v>3482</v>
      </c>
      <c r="T417" t="s">
        <v>1817</v>
      </c>
    </row>
    <row r="418" ht="25.5" customHeight="1" spans="1:20">
      <c r="A418" t="s">
        <v>2378</v>
      </c>
      <c r="B418" t="s">
        <v>1816</v>
      </c>
      <c r="C418" t="s">
        <v>3477</v>
      </c>
      <c r="D418" s="3"/>
      <c r="E418" s="2">
        <v>45677</v>
      </c>
      <c r="F418">
        <v>211800</v>
      </c>
      <c r="G418">
        <v>49900</v>
      </c>
      <c r="H418">
        <v>130</v>
      </c>
      <c r="I418">
        <v>21</v>
      </c>
      <c r="J418">
        <v>209</v>
      </c>
      <c r="K418">
        <v>11</v>
      </c>
      <c r="L418" t="s">
        <v>3138</v>
      </c>
      <c r="M418" t="s">
        <v>3228</v>
      </c>
      <c r="N418" t="s">
        <v>1630</v>
      </c>
      <c r="O418" s="4">
        <v>45677.4405324074</v>
      </c>
      <c r="P418" t="s">
        <v>1817</v>
      </c>
      <c r="Q418" t="s">
        <v>1631</v>
      </c>
      <c r="R418" t="s">
        <v>3481</v>
      </c>
      <c r="T418" t="s">
        <v>1817</v>
      </c>
    </row>
    <row r="419" ht="25.5" customHeight="1" spans="1:20">
      <c r="A419" t="s">
        <v>2378</v>
      </c>
      <c r="B419" t="s">
        <v>1816</v>
      </c>
      <c r="C419" t="s">
        <v>3477</v>
      </c>
      <c r="D419" s="3"/>
      <c r="E419" s="2">
        <v>45678</v>
      </c>
      <c r="F419">
        <v>211700</v>
      </c>
      <c r="G419">
        <v>49900</v>
      </c>
      <c r="H419">
        <v>130</v>
      </c>
      <c r="I419">
        <v>21</v>
      </c>
      <c r="J419">
        <v>209</v>
      </c>
      <c r="K419">
        <v>11</v>
      </c>
      <c r="L419" t="s">
        <v>3138</v>
      </c>
      <c r="M419" t="s">
        <v>3228</v>
      </c>
      <c r="N419" t="s">
        <v>1630</v>
      </c>
      <c r="O419" s="4">
        <v>45678.6647800926</v>
      </c>
      <c r="P419" t="s">
        <v>1817</v>
      </c>
      <c r="Q419" t="s">
        <v>1631</v>
      </c>
      <c r="R419" t="s">
        <v>3481</v>
      </c>
      <c r="T419" t="s">
        <v>1817</v>
      </c>
    </row>
    <row r="420" ht="25.5" customHeight="1" spans="1:20">
      <c r="A420" t="s">
        <v>2378</v>
      </c>
      <c r="B420" t="s">
        <v>1816</v>
      </c>
      <c r="C420" t="s">
        <v>3477</v>
      </c>
      <c r="D420" s="3"/>
      <c r="E420" s="2">
        <v>45679</v>
      </c>
      <c r="F420">
        <v>211700</v>
      </c>
      <c r="G420">
        <v>49900</v>
      </c>
      <c r="H420">
        <v>129</v>
      </c>
      <c r="I420">
        <v>21</v>
      </c>
      <c r="J420">
        <v>209</v>
      </c>
      <c r="K420">
        <v>11</v>
      </c>
      <c r="L420" t="s">
        <v>3138</v>
      </c>
      <c r="M420" t="s">
        <v>3228</v>
      </c>
      <c r="N420" t="s">
        <v>1630</v>
      </c>
      <c r="O420" s="4">
        <v>45679.6509375</v>
      </c>
      <c r="P420" t="s">
        <v>1817</v>
      </c>
      <c r="Q420" t="s">
        <v>1631</v>
      </c>
      <c r="R420" t="s">
        <v>3479</v>
      </c>
      <c r="T420" t="s">
        <v>1817</v>
      </c>
    </row>
    <row r="421" ht="25.5" customHeight="1" spans="1:20">
      <c r="A421" t="s">
        <v>2378</v>
      </c>
      <c r="B421" t="s">
        <v>1816</v>
      </c>
      <c r="C421" t="s">
        <v>3477</v>
      </c>
      <c r="D421" s="3"/>
      <c r="E421" s="2">
        <v>45680</v>
      </c>
      <c r="F421">
        <v>212000</v>
      </c>
      <c r="G421">
        <v>49900</v>
      </c>
      <c r="H421">
        <v>130</v>
      </c>
      <c r="I421">
        <v>21</v>
      </c>
      <c r="J421">
        <v>209</v>
      </c>
      <c r="K421">
        <v>11</v>
      </c>
      <c r="L421" t="s">
        <v>3138</v>
      </c>
      <c r="M421" t="s">
        <v>3228</v>
      </c>
      <c r="N421" t="s">
        <v>1630</v>
      </c>
      <c r="O421" s="4">
        <v>45680.6664467593</v>
      </c>
      <c r="P421" t="s">
        <v>1817</v>
      </c>
      <c r="Q421" t="s">
        <v>1631</v>
      </c>
      <c r="R421" t="s">
        <v>3481</v>
      </c>
      <c r="T421" t="s">
        <v>1817</v>
      </c>
    </row>
    <row r="422" ht="25.5" customHeight="1" spans="1:20">
      <c r="A422" t="s">
        <v>2378</v>
      </c>
      <c r="B422" t="s">
        <v>1816</v>
      </c>
      <c r="C422" t="s">
        <v>3477</v>
      </c>
      <c r="D422" s="3"/>
      <c r="E422" s="2">
        <v>45681</v>
      </c>
      <c r="F422">
        <v>212000</v>
      </c>
      <c r="G422">
        <v>49900</v>
      </c>
      <c r="H422">
        <v>130</v>
      </c>
      <c r="I422">
        <v>21</v>
      </c>
      <c r="J422">
        <v>209</v>
      </c>
      <c r="K422">
        <v>11</v>
      </c>
      <c r="L422" t="s">
        <v>3138</v>
      </c>
      <c r="M422" t="s">
        <v>3228</v>
      </c>
      <c r="N422" t="s">
        <v>1630</v>
      </c>
      <c r="O422" s="4">
        <v>45681.6514351852</v>
      </c>
      <c r="P422" t="s">
        <v>1817</v>
      </c>
      <c r="Q422" t="s">
        <v>1631</v>
      </c>
      <c r="R422" t="s">
        <v>3481</v>
      </c>
      <c r="T422" t="s">
        <v>1817</v>
      </c>
    </row>
    <row r="423" ht="25.5" customHeight="1" spans="1:20">
      <c r="A423" t="s">
        <v>2378</v>
      </c>
      <c r="B423" t="s">
        <v>1816</v>
      </c>
      <c r="C423" t="s">
        <v>3477</v>
      </c>
      <c r="D423" s="3"/>
      <c r="E423" s="2">
        <v>45683</v>
      </c>
      <c r="F423">
        <v>212400</v>
      </c>
      <c r="G423">
        <v>50000</v>
      </c>
      <c r="H423">
        <v>128</v>
      </c>
      <c r="I423">
        <v>21</v>
      </c>
      <c r="J423">
        <v>207</v>
      </c>
      <c r="K423">
        <v>12</v>
      </c>
      <c r="L423" t="s">
        <v>3138</v>
      </c>
      <c r="M423" t="s">
        <v>3228</v>
      </c>
      <c r="N423" t="s">
        <v>1630</v>
      </c>
      <c r="O423" s="4">
        <v>45683.792650463</v>
      </c>
      <c r="P423" t="s">
        <v>1817</v>
      </c>
      <c r="Q423" t="s">
        <v>1631</v>
      </c>
      <c r="R423" t="s">
        <v>3483</v>
      </c>
      <c r="T423" t="s">
        <v>1817</v>
      </c>
    </row>
    <row r="424" ht="25.5" customHeight="1" spans="1:20">
      <c r="A424" t="s">
        <v>2378</v>
      </c>
      <c r="B424" t="s">
        <v>1816</v>
      </c>
      <c r="C424" t="s">
        <v>3477</v>
      </c>
      <c r="D424" s="3"/>
      <c r="E424" s="2">
        <v>45684</v>
      </c>
      <c r="F424">
        <v>212400</v>
      </c>
      <c r="G424">
        <v>50000</v>
      </c>
      <c r="H424">
        <v>128</v>
      </c>
      <c r="I424">
        <v>21</v>
      </c>
      <c r="J424">
        <v>207</v>
      </c>
      <c r="K424">
        <v>12</v>
      </c>
      <c r="L424" t="s">
        <v>3138</v>
      </c>
      <c r="M424" t="s">
        <v>3228</v>
      </c>
      <c r="N424" t="s">
        <v>1630</v>
      </c>
      <c r="O424" s="4">
        <v>45684.7524421296</v>
      </c>
      <c r="P424" t="s">
        <v>1817</v>
      </c>
      <c r="Q424" t="s">
        <v>1631</v>
      </c>
      <c r="R424" t="s">
        <v>3483</v>
      </c>
      <c r="T424" t="s">
        <v>1817</v>
      </c>
    </row>
    <row r="425" ht="25.5" customHeight="1" spans="1:20">
      <c r="A425" t="s">
        <v>2378</v>
      </c>
      <c r="B425" t="s">
        <v>1816</v>
      </c>
      <c r="C425" t="s">
        <v>3477</v>
      </c>
      <c r="D425" s="3"/>
      <c r="E425" s="2">
        <v>45693</v>
      </c>
      <c r="F425">
        <v>212400</v>
      </c>
      <c r="G425">
        <v>50000</v>
      </c>
      <c r="H425">
        <v>129</v>
      </c>
      <c r="I425">
        <v>21</v>
      </c>
      <c r="J425">
        <v>208</v>
      </c>
      <c r="K425">
        <v>12</v>
      </c>
      <c r="L425" t="s">
        <v>3138</v>
      </c>
      <c r="M425" t="s">
        <v>3228</v>
      </c>
      <c r="N425" t="s">
        <v>1630</v>
      </c>
      <c r="O425" s="4">
        <v>45693.8357523148</v>
      </c>
      <c r="P425" t="s">
        <v>1817</v>
      </c>
      <c r="Q425" t="s">
        <v>1631</v>
      </c>
      <c r="R425" t="s">
        <v>3479</v>
      </c>
      <c r="T425" t="s">
        <v>1817</v>
      </c>
    </row>
    <row r="426" ht="25.5" customHeight="1" spans="1:20">
      <c r="A426" t="s">
        <v>2378</v>
      </c>
      <c r="B426" t="s">
        <v>1816</v>
      </c>
      <c r="C426" t="s">
        <v>3477</v>
      </c>
      <c r="D426" s="3"/>
      <c r="E426" s="2">
        <v>45694</v>
      </c>
      <c r="F426">
        <v>212300</v>
      </c>
      <c r="G426">
        <v>50000</v>
      </c>
      <c r="H426">
        <v>129</v>
      </c>
      <c r="I426">
        <v>21</v>
      </c>
      <c r="J426">
        <v>208</v>
      </c>
      <c r="K426">
        <v>12</v>
      </c>
      <c r="L426" t="s">
        <v>3138</v>
      </c>
      <c r="M426" t="s">
        <v>3228</v>
      </c>
      <c r="N426" t="s">
        <v>1630</v>
      </c>
      <c r="O426" s="4">
        <v>45698.6216782407</v>
      </c>
      <c r="P426" t="s">
        <v>1817</v>
      </c>
      <c r="Q426" t="s">
        <v>1631</v>
      </c>
      <c r="R426" t="s">
        <v>3479</v>
      </c>
      <c r="S426" t="s">
        <v>3245</v>
      </c>
      <c r="T426" t="s">
        <v>1817</v>
      </c>
    </row>
    <row r="427" ht="25.5" customHeight="1" spans="1:20">
      <c r="A427" t="s">
        <v>2997</v>
      </c>
      <c r="B427" t="s">
        <v>56</v>
      </c>
      <c r="C427" t="s">
        <v>3484</v>
      </c>
      <c r="D427" s="3" t="str">
        <f>HYPERLINK("https://www.tiktok.com/@cristianguzmaan","https://www.tiktok.com/@cristianguzmaan")</f>
        <v>https://www.tiktok.com/@cristianguzmaan</v>
      </c>
      <c r="E427" s="2">
        <v>45666</v>
      </c>
      <c r="F427">
        <v>17500</v>
      </c>
      <c r="G427">
        <v>318</v>
      </c>
      <c r="H427">
        <v>8</v>
      </c>
      <c r="I427">
        <v>2</v>
      </c>
      <c r="J427">
        <v>4</v>
      </c>
      <c r="K427">
        <v>0</v>
      </c>
      <c r="L427" t="s">
        <v>3284</v>
      </c>
      <c r="M427" t="s">
        <v>3485</v>
      </c>
      <c r="N427" t="s">
        <v>1630</v>
      </c>
      <c r="O427" s="4">
        <v>45670.8574074074</v>
      </c>
      <c r="P427" t="s">
        <v>57</v>
      </c>
      <c r="Q427" t="s">
        <v>1652</v>
      </c>
      <c r="R427" t="s">
        <v>3486</v>
      </c>
      <c r="T427" t="s">
        <v>57</v>
      </c>
    </row>
    <row r="428" ht="25.5" customHeight="1" spans="1:20">
      <c r="A428" t="s">
        <v>2997</v>
      </c>
      <c r="B428" t="s">
        <v>56</v>
      </c>
      <c r="C428" t="s">
        <v>3484</v>
      </c>
      <c r="D428" s="3"/>
      <c r="E428" s="2">
        <v>45671</v>
      </c>
      <c r="F428">
        <v>17500</v>
      </c>
      <c r="G428">
        <v>321</v>
      </c>
      <c r="H428">
        <v>8</v>
      </c>
      <c r="I428">
        <v>2</v>
      </c>
      <c r="J428">
        <v>4</v>
      </c>
      <c r="K428">
        <v>0</v>
      </c>
      <c r="L428" t="s">
        <v>3284</v>
      </c>
      <c r="M428" t="s">
        <v>3485</v>
      </c>
      <c r="N428" t="s">
        <v>1630</v>
      </c>
      <c r="O428" s="4">
        <v>45672.5030092593</v>
      </c>
      <c r="P428" t="s">
        <v>57</v>
      </c>
      <c r="Q428" t="s">
        <v>1652</v>
      </c>
      <c r="R428" t="s">
        <v>3486</v>
      </c>
      <c r="T428" t="s">
        <v>57</v>
      </c>
    </row>
    <row r="429" ht="25.5" customHeight="1" spans="1:20">
      <c r="A429" t="s">
        <v>2997</v>
      </c>
      <c r="B429" t="s">
        <v>56</v>
      </c>
      <c r="C429" t="s">
        <v>3484</v>
      </c>
      <c r="D429" s="3"/>
      <c r="E429" s="2">
        <v>45672</v>
      </c>
      <c r="F429">
        <v>17500</v>
      </c>
      <c r="G429">
        <v>325</v>
      </c>
      <c r="H429">
        <v>8</v>
      </c>
      <c r="I429">
        <v>2</v>
      </c>
      <c r="J429">
        <v>4</v>
      </c>
      <c r="K429">
        <v>0</v>
      </c>
      <c r="L429" t="s">
        <v>3284</v>
      </c>
      <c r="M429" t="s">
        <v>3485</v>
      </c>
      <c r="N429" t="s">
        <v>1630</v>
      </c>
      <c r="O429" s="4">
        <v>45672.5269791667</v>
      </c>
      <c r="P429" t="s">
        <v>57</v>
      </c>
      <c r="Q429" t="s">
        <v>1652</v>
      </c>
      <c r="R429" t="s">
        <v>3486</v>
      </c>
      <c r="T429" t="s">
        <v>57</v>
      </c>
    </row>
    <row r="430" ht="25.5" customHeight="1" spans="1:20">
      <c r="A430" t="s">
        <v>2997</v>
      </c>
      <c r="B430" t="s">
        <v>56</v>
      </c>
      <c r="C430" t="s">
        <v>3484</v>
      </c>
      <c r="D430" s="3"/>
      <c r="E430" s="2">
        <v>45673</v>
      </c>
      <c r="F430">
        <v>17500</v>
      </c>
      <c r="G430">
        <v>327</v>
      </c>
      <c r="H430">
        <v>8</v>
      </c>
      <c r="I430">
        <v>2</v>
      </c>
      <c r="J430">
        <v>4</v>
      </c>
      <c r="K430">
        <v>0</v>
      </c>
      <c r="L430" t="s">
        <v>3284</v>
      </c>
      <c r="M430" t="s">
        <v>3485</v>
      </c>
      <c r="N430" t="s">
        <v>1630</v>
      </c>
      <c r="O430" s="4">
        <v>45673.5888078704</v>
      </c>
      <c r="P430" t="s">
        <v>57</v>
      </c>
      <c r="Q430" t="s">
        <v>1652</v>
      </c>
      <c r="R430" t="s">
        <v>3486</v>
      </c>
      <c r="T430" t="s">
        <v>57</v>
      </c>
    </row>
    <row r="431" ht="25.5" customHeight="1" spans="1:20">
      <c r="A431" t="s">
        <v>2997</v>
      </c>
      <c r="B431" t="s">
        <v>56</v>
      </c>
      <c r="C431" t="s">
        <v>3484</v>
      </c>
      <c r="D431" s="3"/>
      <c r="E431" s="2">
        <v>45674</v>
      </c>
      <c r="F431">
        <v>17500</v>
      </c>
      <c r="G431">
        <v>331</v>
      </c>
      <c r="H431">
        <v>8</v>
      </c>
      <c r="I431">
        <v>2</v>
      </c>
      <c r="J431">
        <v>4</v>
      </c>
      <c r="K431">
        <v>0</v>
      </c>
      <c r="L431" t="s">
        <v>3284</v>
      </c>
      <c r="M431" t="s">
        <v>3485</v>
      </c>
      <c r="N431" t="s">
        <v>1630</v>
      </c>
      <c r="O431" s="4">
        <v>45674.6658912037</v>
      </c>
      <c r="P431" t="s">
        <v>57</v>
      </c>
      <c r="Q431" t="s">
        <v>1652</v>
      </c>
      <c r="R431" t="s">
        <v>3486</v>
      </c>
      <c r="T431" t="s">
        <v>57</v>
      </c>
    </row>
    <row r="432" ht="25.5" customHeight="1" spans="1:20">
      <c r="A432" t="s">
        <v>2997</v>
      </c>
      <c r="B432" t="s">
        <v>56</v>
      </c>
      <c r="C432" t="s">
        <v>3484</v>
      </c>
      <c r="D432" s="3"/>
      <c r="E432" s="2">
        <v>45677</v>
      </c>
      <c r="F432">
        <v>17500</v>
      </c>
      <c r="G432">
        <v>336</v>
      </c>
      <c r="H432">
        <v>9</v>
      </c>
      <c r="I432">
        <v>2</v>
      </c>
      <c r="J432">
        <v>4</v>
      </c>
      <c r="K432">
        <v>0</v>
      </c>
      <c r="L432" t="s">
        <v>3284</v>
      </c>
      <c r="M432" t="s">
        <v>3485</v>
      </c>
      <c r="N432" t="s">
        <v>1630</v>
      </c>
      <c r="O432" s="4">
        <v>45677.4223958333</v>
      </c>
      <c r="P432" t="s">
        <v>57</v>
      </c>
      <c r="Q432" t="s">
        <v>1652</v>
      </c>
      <c r="R432" t="s">
        <v>3487</v>
      </c>
      <c r="T432" t="s">
        <v>57</v>
      </c>
    </row>
    <row r="433" ht="25.5" customHeight="1" spans="1:20">
      <c r="A433" t="s">
        <v>2997</v>
      </c>
      <c r="B433" t="s">
        <v>56</v>
      </c>
      <c r="C433" t="s">
        <v>3484</v>
      </c>
      <c r="D433" s="3"/>
      <c r="E433" s="2">
        <v>45678</v>
      </c>
      <c r="F433">
        <v>17500</v>
      </c>
      <c r="G433">
        <v>337</v>
      </c>
      <c r="H433">
        <v>9</v>
      </c>
      <c r="I433">
        <v>2</v>
      </c>
      <c r="J433">
        <v>4</v>
      </c>
      <c r="K433">
        <v>0</v>
      </c>
      <c r="L433" t="s">
        <v>3284</v>
      </c>
      <c r="M433" t="s">
        <v>3485</v>
      </c>
      <c r="N433" t="s">
        <v>1630</v>
      </c>
      <c r="O433" s="4">
        <v>45678.6175810185</v>
      </c>
      <c r="P433" t="s">
        <v>57</v>
      </c>
      <c r="Q433" t="s">
        <v>1652</v>
      </c>
      <c r="R433" t="s">
        <v>3487</v>
      </c>
      <c r="T433" t="s">
        <v>57</v>
      </c>
    </row>
    <row r="434" ht="25.5" customHeight="1" spans="1:20">
      <c r="A434" t="s">
        <v>2997</v>
      </c>
      <c r="B434" t="s">
        <v>56</v>
      </c>
      <c r="C434" t="s">
        <v>3484</v>
      </c>
      <c r="D434" s="3"/>
      <c r="E434" s="2">
        <v>45679</v>
      </c>
      <c r="F434">
        <v>17500</v>
      </c>
      <c r="G434">
        <v>338</v>
      </c>
      <c r="H434">
        <v>9</v>
      </c>
      <c r="I434">
        <v>2</v>
      </c>
      <c r="J434">
        <v>4</v>
      </c>
      <c r="K434">
        <v>0</v>
      </c>
      <c r="L434" t="s">
        <v>3284</v>
      </c>
      <c r="M434" t="s">
        <v>3485</v>
      </c>
      <c r="N434" t="s">
        <v>1630</v>
      </c>
      <c r="O434" s="4">
        <v>45679.6870138889</v>
      </c>
      <c r="P434" t="s">
        <v>57</v>
      </c>
      <c r="Q434" t="s">
        <v>1652</v>
      </c>
      <c r="R434" t="s">
        <v>3487</v>
      </c>
      <c r="T434" t="s">
        <v>57</v>
      </c>
    </row>
    <row r="435" ht="25.5" customHeight="1" spans="1:20">
      <c r="A435" t="s">
        <v>2997</v>
      </c>
      <c r="B435" t="s">
        <v>56</v>
      </c>
      <c r="C435" t="s">
        <v>3484</v>
      </c>
      <c r="D435" s="3"/>
      <c r="E435" s="2">
        <v>45680</v>
      </c>
      <c r="F435">
        <v>17500</v>
      </c>
      <c r="G435">
        <v>340</v>
      </c>
      <c r="H435">
        <v>9</v>
      </c>
      <c r="I435">
        <v>2</v>
      </c>
      <c r="J435">
        <v>4</v>
      </c>
      <c r="K435">
        <v>0</v>
      </c>
      <c r="L435" t="s">
        <v>3284</v>
      </c>
      <c r="M435" t="s">
        <v>3485</v>
      </c>
      <c r="N435" t="s">
        <v>1630</v>
      </c>
      <c r="O435" s="4">
        <v>45680.6394907407</v>
      </c>
      <c r="P435" t="s">
        <v>57</v>
      </c>
      <c r="Q435" t="s">
        <v>1652</v>
      </c>
      <c r="R435" t="s">
        <v>3487</v>
      </c>
      <c r="T435" t="s">
        <v>57</v>
      </c>
    </row>
    <row r="436" ht="25.5" customHeight="1" spans="1:20">
      <c r="A436" t="s">
        <v>2997</v>
      </c>
      <c r="B436" t="s">
        <v>56</v>
      </c>
      <c r="C436" t="s">
        <v>3484</v>
      </c>
      <c r="D436" s="3"/>
      <c r="E436" s="2">
        <v>45681</v>
      </c>
      <c r="F436">
        <v>17500</v>
      </c>
      <c r="G436">
        <v>343</v>
      </c>
      <c r="H436">
        <v>9</v>
      </c>
      <c r="I436">
        <v>2</v>
      </c>
      <c r="J436">
        <v>4</v>
      </c>
      <c r="K436">
        <v>0</v>
      </c>
      <c r="L436" t="s">
        <v>3284</v>
      </c>
      <c r="M436" t="s">
        <v>3485</v>
      </c>
      <c r="N436" t="s">
        <v>1630</v>
      </c>
      <c r="O436" s="4">
        <v>45681.6005439815</v>
      </c>
      <c r="P436" t="s">
        <v>57</v>
      </c>
      <c r="Q436" t="s">
        <v>1652</v>
      </c>
      <c r="R436" t="s">
        <v>3487</v>
      </c>
      <c r="T436" t="s">
        <v>57</v>
      </c>
    </row>
    <row r="437" ht="25.5" customHeight="1" spans="1:20">
      <c r="A437" t="s">
        <v>2997</v>
      </c>
      <c r="B437" t="s">
        <v>56</v>
      </c>
      <c r="C437" t="s">
        <v>3484</v>
      </c>
      <c r="D437" s="3"/>
      <c r="E437" s="2">
        <v>45683</v>
      </c>
      <c r="F437">
        <v>17500</v>
      </c>
      <c r="G437">
        <v>358</v>
      </c>
      <c r="H437">
        <v>9</v>
      </c>
      <c r="I437">
        <v>2</v>
      </c>
      <c r="J437">
        <v>4</v>
      </c>
      <c r="K437">
        <v>0</v>
      </c>
      <c r="L437" t="s">
        <v>3284</v>
      </c>
      <c r="M437" t="s">
        <v>3485</v>
      </c>
      <c r="N437" t="s">
        <v>1630</v>
      </c>
      <c r="O437" s="4">
        <v>45683.7573958333</v>
      </c>
      <c r="P437" t="s">
        <v>57</v>
      </c>
      <c r="Q437" t="s">
        <v>1652</v>
      </c>
      <c r="R437" t="s">
        <v>3487</v>
      </c>
      <c r="T437" t="s">
        <v>57</v>
      </c>
    </row>
    <row r="438" ht="25.5" customHeight="1" spans="1:20">
      <c r="A438" t="s">
        <v>2997</v>
      </c>
      <c r="B438" t="s">
        <v>56</v>
      </c>
      <c r="C438" t="s">
        <v>3484</v>
      </c>
      <c r="D438" s="3"/>
      <c r="E438" s="2">
        <v>45684</v>
      </c>
      <c r="F438">
        <v>17500</v>
      </c>
      <c r="G438">
        <v>372</v>
      </c>
      <c r="H438">
        <v>10</v>
      </c>
      <c r="I438">
        <v>2</v>
      </c>
      <c r="J438">
        <v>4</v>
      </c>
      <c r="K438">
        <v>0</v>
      </c>
      <c r="L438" t="s">
        <v>3284</v>
      </c>
      <c r="M438" t="s">
        <v>3485</v>
      </c>
      <c r="N438" t="s">
        <v>1630</v>
      </c>
      <c r="O438" s="4">
        <v>45684.8260185185</v>
      </c>
      <c r="P438" t="s">
        <v>57</v>
      </c>
      <c r="Q438" t="s">
        <v>1652</v>
      </c>
      <c r="R438" t="s">
        <v>3488</v>
      </c>
      <c r="T438" t="s">
        <v>57</v>
      </c>
    </row>
    <row r="439" ht="25.5" customHeight="1" spans="1:20">
      <c r="A439" t="s">
        <v>2997</v>
      </c>
      <c r="B439" t="s">
        <v>56</v>
      </c>
      <c r="C439" t="s">
        <v>3484</v>
      </c>
      <c r="D439" s="3"/>
      <c r="E439" s="2">
        <v>45693</v>
      </c>
      <c r="F439">
        <v>17500</v>
      </c>
      <c r="G439">
        <v>392</v>
      </c>
      <c r="H439">
        <v>10</v>
      </c>
      <c r="I439">
        <v>2</v>
      </c>
      <c r="J439">
        <v>4</v>
      </c>
      <c r="K439">
        <v>0</v>
      </c>
      <c r="L439" t="s">
        <v>3284</v>
      </c>
      <c r="M439" t="s">
        <v>3485</v>
      </c>
      <c r="N439" t="s">
        <v>1630</v>
      </c>
      <c r="O439" s="4">
        <v>45693.7991435185</v>
      </c>
      <c r="P439" t="s">
        <v>57</v>
      </c>
      <c r="Q439" t="s">
        <v>1652</v>
      </c>
      <c r="R439" t="s">
        <v>3488</v>
      </c>
      <c r="T439" t="s">
        <v>57</v>
      </c>
    </row>
    <row r="440" ht="25.5" customHeight="1" spans="1:20">
      <c r="A440" t="s">
        <v>2997</v>
      </c>
      <c r="B440" t="s">
        <v>56</v>
      </c>
      <c r="C440" t="s">
        <v>3484</v>
      </c>
      <c r="D440" s="3"/>
      <c r="E440" s="2">
        <v>45694</v>
      </c>
      <c r="F440">
        <v>17500</v>
      </c>
      <c r="G440">
        <v>392</v>
      </c>
      <c r="H440">
        <v>10</v>
      </c>
      <c r="I440">
        <v>2</v>
      </c>
      <c r="J440">
        <v>4</v>
      </c>
      <c r="K440">
        <v>0</v>
      </c>
      <c r="L440" t="s">
        <v>3284</v>
      </c>
      <c r="M440" t="s">
        <v>3485</v>
      </c>
      <c r="N440" t="s">
        <v>1630</v>
      </c>
      <c r="O440" s="4">
        <v>45698.6216782407</v>
      </c>
      <c r="P440" t="s">
        <v>57</v>
      </c>
      <c r="Q440" t="s">
        <v>1652</v>
      </c>
      <c r="R440" t="s">
        <v>3488</v>
      </c>
      <c r="S440" t="s">
        <v>3180</v>
      </c>
      <c r="T440" t="s">
        <v>57</v>
      </c>
    </row>
    <row r="441" ht="25.5" customHeight="1" spans="1:20">
      <c r="A441" t="s">
        <v>2997</v>
      </c>
      <c r="B441" t="s">
        <v>56</v>
      </c>
      <c r="C441" t="s">
        <v>3484</v>
      </c>
      <c r="D441" s="3"/>
      <c r="E441" s="2">
        <v>45695</v>
      </c>
      <c r="F441">
        <v>17500</v>
      </c>
      <c r="G441">
        <v>393</v>
      </c>
      <c r="H441">
        <v>10</v>
      </c>
      <c r="I441">
        <v>2</v>
      </c>
      <c r="J441">
        <v>4</v>
      </c>
      <c r="K441">
        <v>0</v>
      </c>
      <c r="L441" t="s">
        <v>3284</v>
      </c>
      <c r="M441" t="s">
        <v>3485</v>
      </c>
      <c r="N441" t="s">
        <v>1630</v>
      </c>
      <c r="O441" s="4">
        <v>45695.7081597222</v>
      </c>
      <c r="P441" t="s">
        <v>57</v>
      </c>
      <c r="Q441" t="s">
        <v>1652</v>
      </c>
      <c r="R441" t="s">
        <v>3488</v>
      </c>
      <c r="T441" t="s">
        <v>57</v>
      </c>
    </row>
    <row r="442" ht="25.5" customHeight="1" spans="1:20">
      <c r="A442" t="s">
        <v>2373</v>
      </c>
      <c r="B442" t="s">
        <v>3489</v>
      </c>
      <c r="D442" s="3"/>
      <c r="E442" s="2"/>
      <c r="M442" t="s">
        <v>3276</v>
      </c>
      <c r="N442" t="s">
        <v>3490</v>
      </c>
      <c r="O442" s="4">
        <v>45670.743587963</v>
      </c>
      <c r="P442" t="s">
        <v>3491</v>
      </c>
      <c r="R442" t="s">
        <v>3133</v>
      </c>
      <c r="T442" t="s">
        <v>3491</v>
      </c>
    </row>
    <row r="443" ht="25.5" customHeight="1" spans="1:20">
      <c r="A443" t="s">
        <v>2373</v>
      </c>
      <c r="B443" t="s">
        <v>3489</v>
      </c>
      <c r="D443" s="3"/>
      <c r="E443" s="2"/>
      <c r="M443" t="s">
        <v>3276</v>
      </c>
      <c r="N443" t="s">
        <v>3490</v>
      </c>
      <c r="O443" s="4">
        <v>45670.743587963</v>
      </c>
      <c r="P443" t="s">
        <v>3491</v>
      </c>
      <c r="R443" t="s">
        <v>3133</v>
      </c>
      <c r="T443" t="s">
        <v>3491</v>
      </c>
    </row>
    <row r="444" ht="25.5" customHeight="1" spans="1:20">
      <c r="A444" t="s">
        <v>1404</v>
      </c>
      <c r="B444" t="s">
        <v>65</v>
      </c>
      <c r="C444" t="s">
        <v>3492</v>
      </c>
      <c r="D444" s="3" t="str">
        <f>HYPERLINK("https://www.instagram.com/codingmermaid.ai/reels/","https://www.instagram.com/codingmermaid.ai/reels/")</f>
        <v>https://www.instagram.com/codingmermaid.ai/reels/</v>
      </c>
      <c r="E444" s="2">
        <v>45673</v>
      </c>
      <c r="F444">
        <v>166000</v>
      </c>
      <c r="G444">
        <v>8380</v>
      </c>
      <c r="H444">
        <v>145</v>
      </c>
      <c r="I444">
        <v>9</v>
      </c>
      <c r="L444" t="s">
        <v>3138</v>
      </c>
      <c r="M444" t="s">
        <v>3493</v>
      </c>
      <c r="N444" t="s">
        <v>1630</v>
      </c>
      <c r="O444" s="4">
        <v>45674.6216435185</v>
      </c>
      <c r="P444" t="s">
        <v>3494</v>
      </c>
      <c r="Q444" t="s">
        <v>1631</v>
      </c>
      <c r="R444" t="s">
        <v>3370</v>
      </c>
      <c r="T444" t="s">
        <v>3494</v>
      </c>
    </row>
    <row r="445" ht="25.5" customHeight="1" spans="1:20">
      <c r="A445" t="s">
        <v>1404</v>
      </c>
      <c r="B445" t="s">
        <v>65</v>
      </c>
      <c r="C445" t="s">
        <v>3492</v>
      </c>
      <c r="D445" s="3"/>
      <c r="E445" s="2">
        <v>45674</v>
      </c>
      <c r="F445">
        <v>166000</v>
      </c>
      <c r="G445">
        <v>15200</v>
      </c>
      <c r="H445">
        <v>231</v>
      </c>
      <c r="I445">
        <v>17</v>
      </c>
      <c r="L445" t="s">
        <v>3138</v>
      </c>
      <c r="M445" t="s">
        <v>3493</v>
      </c>
      <c r="N445" t="s">
        <v>1630</v>
      </c>
      <c r="O445" s="4">
        <v>45674.6225578704</v>
      </c>
      <c r="P445" t="s">
        <v>3494</v>
      </c>
      <c r="Q445" t="s">
        <v>1631</v>
      </c>
      <c r="R445" t="s">
        <v>3495</v>
      </c>
      <c r="T445" t="s">
        <v>3494</v>
      </c>
    </row>
    <row r="446" ht="25.5" customHeight="1" spans="1:20">
      <c r="A446" t="s">
        <v>1404</v>
      </c>
      <c r="B446" t="s">
        <v>65</v>
      </c>
      <c r="C446" t="s">
        <v>3492</v>
      </c>
      <c r="D446" s="3"/>
      <c r="E446" s="2">
        <v>45677</v>
      </c>
      <c r="F446">
        <v>167000</v>
      </c>
      <c r="G446">
        <v>17300</v>
      </c>
      <c r="H446">
        <v>262</v>
      </c>
      <c r="I446">
        <v>21</v>
      </c>
      <c r="L446" t="s">
        <v>3138</v>
      </c>
      <c r="M446" t="s">
        <v>3493</v>
      </c>
      <c r="N446" t="s">
        <v>1630</v>
      </c>
      <c r="O446" s="4">
        <v>45677.3897916667</v>
      </c>
      <c r="P446" t="s">
        <v>3494</v>
      </c>
      <c r="Q446" t="s">
        <v>1631</v>
      </c>
      <c r="R446" t="s">
        <v>3496</v>
      </c>
      <c r="T446" t="s">
        <v>3494</v>
      </c>
    </row>
    <row r="447" ht="25.5" customHeight="1" spans="1:20">
      <c r="A447" t="s">
        <v>1404</v>
      </c>
      <c r="B447" t="s">
        <v>65</v>
      </c>
      <c r="C447" t="s">
        <v>3492</v>
      </c>
      <c r="D447" s="3"/>
      <c r="E447" s="2">
        <v>45678</v>
      </c>
      <c r="F447">
        <v>167000</v>
      </c>
      <c r="G447">
        <v>17600</v>
      </c>
      <c r="H447">
        <v>265</v>
      </c>
      <c r="I447">
        <v>22</v>
      </c>
      <c r="L447" t="s">
        <v>3138</v>
      </c>
      <c r="M447" t="s">
        <v>3493</v>
      </c>
      <c r="N447" t="s">
        <v>1630</v>
      </c>
      <c r="O447" s="4">
        <v>45678.4969328704</v>
      </c>
      <c r="P447" t="s">
        <v>3494</v>
      </c>
      <c r="Q447" t="s">
        <v>1631</v>
      </c>
      <c r="R447" t="s">
        <v>3497</v>
      </c>
      <c r="T447" t="s">
        <v>3494</v>
      </c>
    </row>
    <row r="448" ht="25.5" customHeight="1" spans="1:20">
      <c r="A448" t="s">
        <v>1404</v>
      </c>
      <c r="B448" t="s">
        <v>65</v>
      </c>
      <c r="C448" t="s">
        <v>3492</v>
      </c>
      <c r="D448" s="3"/>
      <c r="E448" s="2">
        <v>45679</v>
      </c>
      <c r="F448">
        <v>167000</v>
      </c>
      <c r="G448">
        <v>18000</v>
      </c>
      <c r="H448">
        <v>271</v>
      </c>
      <c r="I448">
        <v>22</v>
      </c>
      <c r="L448" t="s">
        <v>3138</v>
      </c>
      <c r="M448" t="s">
        <v>3493</v>
      </c>
      <c r="N448" t="s">
        <v>1630</v>
      </c>
      <c r="O448" s="4">
        <v>45679.6583680556</v>
      </c>
      <c r="P448" t="s">
        <v>3494</v>
      </c>
      <c r="Q448" t="s">
        <v>1631</v>
      </c>
      <c r="R448" t="s">
        <v>3306</v>
      </c>
      <c r="T448" t="s">
        <v>3494</v>
      </c>
    </row>
    <row r="449" ht="25.5" customHeight="1" spans="1:20">
      <c r="A449" t="s">
        <v>1404</v>
      </c>
      <c r="B449" t="s">
        <v>65</v>
      </c>
      <c r="C449" t="s">
        <v>3492</v>
      </c>
      <c r="D449" s="3"/>
      <c r="E449" s="2">
        <v>45680</v>
      </c>
      <c r="F449">
        <v>167000</v>
      </c>
      <c r="G449">
        <v>18200</v>
      </c>
      <c r="H449">
        <v>275</v>
      </c>
      <c r="I449">
        <v>23</v>
      </c>
      <c r="L449" t="s">
        <v>3138</v>
      </c>
      <c r="M449" t="s">
        <v>3493</v>
      </c>
      <c r="N449" t="s">
        <v>1630</v>
      </c>
      <c r="O449" s="4">
        <v>45680.5075694444</v>
      </c>
      <c r="P449" t="s">
        <v>3494</v>
      </c>
      <c r="Q449" t="s">
        <v>1631</v>
      </c>
      <c r="R449" t="s">
        <v>3498</v>
      </c>
      <c r="T449" t="s">
        <v>3494</v>
      </c>
    </row>
    <row r="450" ht="25.5" customHeight="1" spans="1:20">
      <c r="A450" t="s">
        <v>1404</v>
      </c>
      <c r="B450" t="s">
        <v>65</v>
      </c>
      <c r="C450" t="s">
        <v>3492</v>
      </c>
      <c r="D450" s="3"/>
      <c r="E450" s="2">
        <v>45681</v>
      </c>
      <c r="F450">
        <v>167000</v>
      </c>
      <c r="G450">
        <v>18400</v>
      </c>
      <c r="H450">
        <v>278</v>
      </c>
      <c r="I450">
        <v>23</v>
      </c>
      <c r="L450" t="s">
        <v>3138</v>
      </c>
      <c r="M450" t="s">
        <v>3493</v>
      </c>
      <c r="N450" t="s">
        <v>1630</v>
      </c>
      <c r="O450" s="4">
        <v>45681.4814930556</v>
      </c>
      <c r="P450" t="s">
        <v>3494</v>
      </c>
      <c r="Q450" t="s">
        <v>1631</v>
      </c>
      <c r="R450" t="s">
        <v>3499</v>
      </c>
      <c r="T450" t="s">
        <v>3494</v>
      </c>
    </row>
    <row r="451" ht="25.5" customHeight="1" spans="1:20">
      <c r="A451" t="s">
        <v>1404</v>
      </c>
      <c r="B451" t="s">
        <v>65</v>
      </c>
      <c r="C451" t="s">
        <v>3492</v>
      </c>
      <c r="D451" s="3"/>
      <c r="E451" s="2">
        <v>45683</v>
      </c>
      <c r="F451">
        <v>167000</v>
      </c>
      <c r="G451">
        <v>18700</v>
      </c>
      <c r="H451">
        <v>286</v>
      </c>
      <c r="I451">
        <v>23</v>
      </c>
      <c r="L451" t="s">
        <v>3138</v>
      </c>
      <c r="M451" t="s">
        <v>3493</v>
      </c>
      <c r="N451" t="s">
        <v>1630</v>
      </c>
      <c r="O451" s="4">
        <v>45683.7092361111</v>
      </c>
      <c r="P451" t="s">
        <v>3494</v>
      </c>
      <c r="Q451" t="s">
        <v>1631</v>
      </c>
      <c r="R451" t="s">
        <v>3500</v>
      </c>
      <c r="T451" t="s">
        <v>3494</v>
      </c>
    </row>
    <row r="452" ht="25.5" customHeight="1" spans="1:20">
      <c r="A452" t="s">
        <v>1404</v>
      </c>
      <c r="B452" t="s">
        <v>65</v>
      </c>
      <c r="C452" t="s">
        <v>3492</v>
      </c>
      <c r="D452" s="3"/>
      <c r="E452" s="2">
        <v>45684</v>
      </c>
      <c r="F452">
        <v>167000</v>
      </c>
      <c r="G452">
        <v>18900</v>
      </c>
      <c r="H452">
        <v>289</v>
      </c>
      <c r="I452">
        <v>23</v>
      </c>
      <c r="L452" t="s">
        <v>3138</v>
      </c>
      <c r="M452" t="s">
        <v>3493</v>
      </c>
      <c r="N452" t="s">
        <v>1630</v>
      </c>
      <c r="O452" s="4">
        <v>45684.7645717593</v>
      </c>
      <c r="P452" t="s">
        <v>3494</v>
      </c>
      <c r="Q452" t="s">
        <v>1631</v>
      </c>
      <c r="R452" t="s">
        <v>3501</v>
      </c>
      <c r="T452" t="s">
        <v>3494</v>
      </c>
    </row>
    <row r="453" ht="25.5" customHeight="1" spans="1:20">
      <c r="A453" t="s">
        <v>1404</v>
      </c>
      <c r="B453" t="s">
        <v>65</v>
      </c>
      <c r="C453" t="s">
        <v>3492</v>
      </c>
      <c r="D453" s="3"/>
      <c r="E453" s="2">
        <v>45693</v>
      </c>
      <c r="F453">
        <v>168000</v>
      </c>
      <c r="G453">
        <v>19000</v>
      </c>
      <c r="H453">
        <v>295</v>
      </c>
      <c r="I453">
        <v>23</v>
      </c>
      <c r="L453" t="s">
        <v>3138</v>
      </c>
      <c r="M453" t="s">
        <v>3493</v>
      </c>
      <c r="N453" t="s">
        <v>1630</v>
      </c>
      <c r="O453" s="4">
        <v>45693.7702893519</v>
      </c>
      <c r="P453" t="s">
        <v>3494</v>
      </c>
      <c r="Q453" t="s">
        <v>1631</v>
      </c>
      <c r="R453" t="s">
        <v>3502</v>
      </c>
      <c r="T453" t="s">
        <v>3494</v>
      </c>
    </row>
    <row r="454" ht="25.5" customHeight="1" spans="1:20">
      <c r="A454" t="s">
        <v>1404</v>
      </c>
      <c r="B454" t="s">
        <v>65</v>
      </c>
      <c r="C454" t="s">
        <v>3492</v>
      </c>
      <c r="D454" s="3"/>
      <c r="E454" s="2">
        <v>45694</v>
      </c>
      <c r="F454">
        <v>168000</v>
      </c>
      <c r="G454">
        <v>19500</v>
      </c>
      <c r="H454">
        <v>295</v>
      </c>
      <c r="I454">
        <v>23</v>
      </c>
      <c r="L454" t="s">
        <v>3138</v>
      </c>
      <c r="M454" t="s">
        <v>3493</v>
      </c>
      <c r="N454" t="s">
        <v>1630</v>
      </c>
      <c r="O454" s="4">
        <v>45698.6216782407</v>
      </c>
      <c r="P454" t="s">
        <v>3494</v>
      </c>
      <c r="Q454" t="s">
        <v>1631</v>
      </c>
      <c r="R454" t="s">
        <v>3502</v>
      </c>
      <c r="S454" t="s">
        <v>3245</v>
      </c>
      <c r="T454" t="s">
        <v>3494</v>
      </c>
    </row>
    <row r="455" ht="25.5" customHeight="1" spans="1:20">
      <c r="A455" t="s">
        <v>1404</v>
      </c>
      <c r="B455" t="s">
        <v>65</v>
      </c>
      <c r="C455" t="s">
        <v>3492</v>
      </c>
      <c r="D455" s="3"/>
      <c r="E455" s="2">
        <v>45695</v>
      </c>
      <c r="F455">
        <v>169000</v>
      </c>
      <c r="G455">
        <v>19500</v>
      </c>
      <c r="H455">
        <v>295</v>
      </c>
      <c r="I455">
        <v>23</v>
      </c>
      <c r="L455" t="s">
        <v>3138</v>
      </c>
      <c r="M455" t="s">
        <v>3493</v>
      </c>
      <c r="N455" t="s">
        <v>1630</v>
      </c>
      <c r="O455" s="4">
        <v>45695.4797569444</v>
      </c>
      <c r="P455" t="s">
        <v>3494</v>
      </c>
      <c r="Q455" t="s">
        <v>1631</v>
      </c>
      <c r="R455" t="s">
        <v>3502</v>
      </c>
      <c r="T455" t="s">
        <v>3494</v>
      </c>
    </row>
    <row r="456" ht="25.5" customHeight="1" spans="1:20">
      <c r="A456" t="s">
        <v>1404</v>
      </c>
      <c r="B456" t="s">
        <v>65</v>
      </c>
      <c r="C456" t="s">
        <v>3492</v>
      </c>
      <c r="D456" s="3"/>
      <c r="E456" s="2">
        <v>45696</v>
      </c>
      <c r="F456">
        <v>169000</v>
      </c>
      <c r="G456">
        <v>19500</v>
      </c>
      <c r="H456">
        <v>295</v>
      </c>
      <c r="I456">
        <v>23</v>
      </c>
      <c r="L456" t="s">
        <v>3138</v>
      </c>
      <c r="M456" t="s">
        <v>3493</v>
      </c>
      <c r="N456" t="s">
        <v>1630</v>
      </c>
      <c r="O456" s="4">
        <v>45696.4461574074</v>
      </c>
      <c r="P456" t="s">
        <v>3494</v>
      </c>
      <c r="Q456" t="s">
        <v>1631</v>
      </c>
      <c r="R456" t="s">
        <v>3502</v>
      </c>
      <c r="T456" t="s">
        <v>3494</v>
      </c>
    </row>
    <row r="457" ht="25.5" customHeight="1" spans="1:20">
      <c r="A457" t="s">
        <v>2365</v>
      </c>
      <c r="B457" t="s">
        <v>269</v>
      </c>
      <c r="D457" s="3"/>
      <c r="E457" s="2"/>
      <c r="M457" t="s">
        <v>3228</v>
      </c>
      <c r="N457" t="s">
        <v>2081</v>
      </c>
      <c r="O457" s="4">
        <v>45670.743587963</v>
      </c>
      <c r="P457" t="s">
        <v>423</v>
      </c>
      <c r="R457" t="s">
        <v>3133</v>
      </c>
      <c r="T457" t="s">
        <v>423</v>
      </c>
    </row>
    <row r="458" ht="25.5" customHeight="1" spans="1:20">
      <c r="A458" t="s">
        <v>3017</v>
      </c>
      <c r="B458" t="s">
        <v>56</v>
      </c>
      <c r="C458" t="s">
        <v>3503</v>
      </c>
      <c r="D458" s="3" t="str">
        <f>HYPERLINK("https://www.tiktok.com/@dannstudyy","https://www.tiktok.com/@dannstudyy")</f>
        <v>https://www.tiktok.com/@dannstudyy</v>
      </c>
      <c r="E458" s="2">
        <v>45666</v>
      </c>
      <c r="F458">
        <v>37900</v>
      </c>
      <c r="G458">
        <v>421</v>
      </c>
      <c r="H458">
        <v>27</v>
      </c>
      <c r="I458">
        <v>3</v>
      </c>
      <c r="J458">
        <v>6</v>
      </c>
      <c r="K458">
        <v>0</v>
      </c>
      <c r="L458" t="s">
        <v>3248</v>
      </c>
      <c r="M458" t="s">
        <v>3485</v>
      </c>
      <c r="N458" t="s">
        <v>1630</v>
      </c>
      <c r="O458" s="4">
        <v>45670.857650463</v>
      </c>
      <c r="P458" t="s">
        <v>57</v>
      </c>
      <c r="Q458" t="s">
        <v>1753</v>
      </c>
      <c r="R458" t="s">
        <v>3504</v>
      </c>
      <c r="T458" t="s">
        <v>57</v>
      </c>
    </row>
    <row r="459" ht="25.5" customHeight="1" spans="1:20">
      <c r="A459" t="s">
        <v>3017</v>
      </c>
      <c r="B459" t="s">
        <v>56</v>
      </c>
      <c r="C459" t="s">
        <v>3503</v>
      </c>
      <c r="D459" s="3"/>
      <c r="E459" s="2">
        <v>45671</v>
      </c>
      <c r="F459">
        <v>37900</v>
      </c>
      <c r="G459">
        <v>455</v>
      </c>
      <c r="H459">
        <v>27</v>
      </c>
      <c r="I459">
        <v>3</v>
      </c>
      <c r="J459">
        <v>6</v>
      </c>
      <c r="K459">
        <v>0</v>
      </c>
      <c r="L459" t="s">
        <v>3248</v>
      </c>
      <c r="M459" t="s">
        <v>3485</v>
      </c>
      <c r="N459" t="s">
        <v>1630</v>
      </c>
      <c r="O459" s="4">
        <v>45672.5030092593</v>
      </c>
      <c r="P459" t="s">
        <v>57</v>
      </c>
      <c r="Q459" t="s">
        <v>1753</v>
      </c>
      <c r="R459" t="s">
        <v>3504</v>
      </c>
      <c r="T459" t="s">
        <v>57</v>
      </c>
    </row>
    <row r="460" ht="25.5" customHeight="1" spans="1:20">
      <c r="A460" t="s">
        <v>3017</v>
      </c>
      <c r="B460" t="s">
        <v>56</v>
      </c>
      <c r="C460" t="s">
        <v>3503</v>
      </c>
      <c r="D460" s="3"/>
      <c r="E460" s="2">
        <v>45672</v>
      </c>
      <c r="F460">
        <v>37900</v>
      </c>
      <c r="G460">
        <v>484</v>
      </c>
      <c r="H460">
        <v>28</v>
      </c>
      <c r="I460">
        <v>3</v>
      </c>
      <c r="J460">
        <v>6</v>
      </c>
      <c r="K460">
        <v>0</v>
      </c>
      <c r="L460" t="s">
        <v>3258</v>
      </c>
      <c r="M460" t="s">
        <v>3485</v>
      </c>
      <c r="N460" t="s">
        <v>1630</v>
      </c>
      <c r="O460" s="4">
        <v>45672.5271412037</v>
      </c>
      <c r="P460" t="s">
        <v>57</v>
      </c>
      <c r="Q460" t="s">
        <v>1753</v>
      </c>
      <c r="R460" t="s">
        <v>3505</v>
      </c>
      <c r="T460" t="s">
        <v>57</v>
      </c>
    </row>
    <row r="461" ht="25.5" customHeight="1" spans="1:20">
      <c r="A461" t="s">
        <v>3017</v>
      </c>
      <c r="B461" t="s">
        <v>56</v>
      </c>
      <c r="C461" t="s">
        <v>3503</v>
      </c>
      <c r="D461" s="3"/>
      <c r="E461" s="2">
        <v>45673</v>
      </c>
      <c r="F461">
        <v>37900</v>
      </c>
      <c r="G461">
        <v>507</v>
      </c>
      <c r="H461">
        <v>28</v>
      </c>
      <c r="I461">
        <v>3</v>
      </c>
      <c r="J461">
        <v>6</v>
      </c>
      <c r="K461">
        <v>0</v>
      </c>
      <c r="L461" t="s">
        <v>3258</v>
      </c>
      <c r="M461" t="s">
        <v>3485</v>
      </c>
      <c r="N461" t="s">
        <v>1630</v>
      </c>
      <c r="O461" s="4">
        <v>45673.6021990741</v>
      </c>
      <c r="P461" t="s">
        <v>57</v>
      </c>
      <c r="Q461" t="s">
        <v>1753</v>
      </c>
      <c r="R461" t="s">
        <v>3505</v>
      </c>
      <c r="T461" t="s">
        <v>57</v>
      </c>
    </row>
    <row r="462" ht="25.5" customHeight="1" spans="1:20">
      <c r="A462" t="s">
        <v>3017</v>
      </c>
      <c r="B462" t="s">
        <v>56</v>
      </c>
      <c r="C462" t="s">
        <v>3503</v>
      </c>
      <c r="D462" s="3"/>
      <c r="E462" s="2">
        <v>45674</v>
      </c>
      <c r="F462">
        <v>37900</v>
      </c>
      <c r="G462">
        <v>527</v>
      </c>
      <c r="H462">
        <v>29</v>
      </c>
      <c r="I462">
        <v>3</v>
      </c>
      <c r="J462">
        <v>6</v>
      </c>
      <c r="K462">
        <v>0</v>
      </c>
      <c r="L462" t="s">
        <v>3258</v>
      </c>
      <c r="M462" t="s">
        <v>3485</v>
      </c>
      <c r="N462" t="s">
        <v>1630</v>
      </c>
      <c r="O462" s="4">
        <v>45674.6660532407</v>
      </c>
      <c r="P462" t="s">
        <v>57</v>
      </c>
      <c r="Q462" t="s">
        <v>1753</v>
      </c>
      <c r="R462" t="s">
        <v>3506</v>
      </c>
      <c r="T462" t="s">
        <v>57</v>
      </c>
    </row>
    <row r="463" ht="25.5" customHeight="1" spans="1:20">
      <c r="A463" t="s">
        <v>3017</v>
      </c>
      <c r="B463" t="s">
        <v>56</v>
      </c>
      <c r="C463" t="s">
        <v>3503</v>
      </c>
      <c r="D463" s="3"/>
      <c r="E463" s="2">
        <v>45677</v>
      </c>
      <c r="F463">
        <v>37900</v>
      </c>
      <c r="G463">
        <v>597</v>
      </c>
      <c r="H463">
        <v>35</v>
      </c>
      <c r="I463">
        <v>3</v>
      </c>
      <c r="J463">
        <v>6</v>
      </c>
      <c r="K463">
        <v>0</v>
      </c>
      <c r="L463" t="s">
        <v>3258</v>
      </c>
      <c r="M463" t="s">
        <v>3485</v>
      </c>
      <c r="N463" t="s">
        <v>1630</v>
      </c>
      <c r="O463" s="4">
        <v>45677.4227314815</v>
      </c>
      <c r="P463" t="s">
        <v>57</v>
      </c>
      <c r="Q463" t="s">
        <v>1753</v>
      </c>
      <c r="R463" t="s">
        <v>3507</v>
      </c>
      <c r="T463" t="s">
        <v>57</v>
      </c>
    </row>
    <row r="464" ht="25.5" customHeight="1" spans="1:20">
      <c r="A464" t="s">
        <v>3017</v>
      </c>
      <c r="B464" t="s">
        <v>56</v>
      </c>
      <c r="C464" t="s">
        <v>3503</v>
      </c>
      <c r="D464" s="3"/>
      <c r="E464" s="2">
        <v>45678</v>
      </c>
      <c r="F464">
        <v>37900</v>
      </c>
      <c r="G464">
        <v>624</v>
      </c>
      <c r="H464">
        <v>35</v>
      </c>
      <c r="I464">
        <v>3</v>
      </c>
      <c r="J464">
        <v>6</v>
      </c>
      <c r="K464">
        <v>0</v>
      </c>
      <c r="L464" t="s">
        <v>3258</v>
      </c>
      <c r="M464" t="s">
        <v>3485</v>
      </c>
      <c r="N464" t="s">
        <v>1630</v>
      </c>
      <c r="O464" s="4">
        <v>45678.6186574074</v>
      </c>
      <c r="P464" t="s">
        <v>57</v>
      </c>
      <c r="Q464" t="s">
        <v>1753</v>
      </c>
      <c r="R464" t="s">
        <v>3507</v>
      </c>
      <c r="T464" t="s">
        <v>57</v>
      </c>
    </row>
    <row r="465" ht="25.5" customHeight="1" spans="1:20">
      <c r="A465" t="s">
        <v>3017</v>
      </c>
      <c r="B465" t="s">
        <v>56</v>
      </c>
      <c r="C465" t="s">
        <v>3503</v>
      </c>
      <c r="D465" s="3"/>
      <c r="E465" s="2">
        <v>45679</v>
      </c>
      <c r="F465">
        <v>37900</v>
      </c>
      <c r="G465">
        <v>640</v>
      </c>
      <c r="H465">
        <v>35</v>
      </c>
      <c r="I465">
        <v>3</v>
      </c>
      <c r="J465">
        <v>6</v>
      </c>
      <c r="K465">
        <v>0</v>
      </c>
      <c r="L465" t="s">
        <v>3258</v>
      </c>
      <c r="M465" t="s">
        <v>3485</v>
      </c>
      <c r="N465" t="s">
        <v>1630</v>
      </c>
      <c r="O465" s="4">
        <v>45679.6872106481</v>
      </c>
      <c r="P465" t="s">
        <v>57</v>
      </c>
      <c r="Q465" t="s">
        <v>1753</v>
      </c>
      <c r="R465" t="s">
        <v>3507</v>
      </c>
      <c r="T465" t="s">
        <v>57</v>
      </c>
    </row>
    <row r="466" ht="25.5" customHeight="1" spans="1:20">
      <c r="A466" t="s">
        <v>3017</v>
      </c>
      <c r="B466" t="s">
        <v>56</v>
      </c>
      <c r="C466" t="s">
        <v>3503</v>
      </c>
      <c r="D466" s="3"/>
      <c r="E466" s="2">
        <v>45680</v>
      </c>
      <c r="F466">
        <v>37900</v>
      </c>
      <c r="G466">
        <v>658</v>
      </c>
      <c r="H466">
        <v>36</v>
      </c>
      <c r="I466">
        <v>3</v>
      </c>
      <c r="J466">
        <v>6</v>
      </c>
      <c r="K466">
        <v>0</v>
      </c>
      <c r="L466" t="s">
        <v>3258</v>
      </c>
      <c r="M466" t="s">
        <v>3485</v>
      </c>
      <c r="N466" t="s">
        <v>1630</v>
      </c>
      <c r="O466" s="4">
        <v>45680.6397685185</v>
      </c>
      <c r="P466" t="s">
        <v>57</v>
      </c>
      <c r="Q466" t="s">
        <v>1753</v>
      </c>
      <c r="R466" t="s">
        <v>3508</v>
      </c>
      <c r="T466" t="s">
        <v>57</v>
      </c>
    </row>
    <row r="467" ht="25.5" customHeight="1" spans="1:20">
      <c r="A467" t="s">
        <v>3017</v>
      </c>
      <c r="B467" t="s">
        <v>56</v>
      </c>
      <c r="C467" t="s">
        <v>3503</v>
      </c>
      <c r="D467" s="3"/>
      <c r="E467" s="2">
        <v>45681</v>
      </c>
      <c r="F467">
        <v>37900</v>
      </c>
      <c r="G467">
        <v>668</v>
      </c>
      <c r="H467">
        <v>37</v>
      </c>
      <c r="I467">
        <v>3</v>
      </c>
      <c r="J467">
        <v>6</v>
      </c>
      <c r="K467">
        <v>0</v>
      </c>
      <c r="L467" t="s">
        <v>3258</v>
      </c>
      <c r="M467" t="s">
        <v>3485</v>
      </c>
      <c r="N467" t="s">
        <v>1630</v>
      </c>
      <c r="O467" s="4">
        <v>45681.600787037</v>
      </c>
      <c r="P467" t="s">
        <v>57</v>
      </c>
      <c r="Q467" t="s">
        <v>1753</v>
      </c>
      <c r="R467" t="s">
        <v>3175</v>
      </c>
      <c r="T467" t="s">
        <v>57</v>
      </c>
    </row>
    <row r="468" ht="25.5" customHeight="1" spans="1:20">
      <c r="A468" t="s">
        <v>3017</v>
      </c>
      <c r="B468" t="s">
        <v>56</v>
      </c>
      <c r="C468" t="s">
        <v>3503</v>
      </c>
      <c r="D468" s="3"/>
      <c r="E468" s="2">
        <v>45683</v>
      </c>
      <c r="F468">
        <v>37900</v>
      </c>
      <c r="G468">
        <v>706</v>
      </c>
      <c r="H468">
        <v>39</v>
      </c>
      <c r="I468">
        <v>3</v>
      </c>
      <c r="J468">
        <v>6</v>
      </c>
      <c r="K468">
        <v>0</v>
      </c>
      <c r="L468" t="s">
        <v>3258</v>
      </c>
      <c r="M468" t="s">
        <v>3485</v>
      </c>
      <c r="N468" t="s">
        <v>1630</v>
      </c>
      <c r="O468" s="4">
        <v>45683.7576157407</v>
      </c>
      <c r="P468" t="s">
        <v>57</v>
      </c>
      <c r="Q468" t="s">
        <v>1753</v>
      </c>
      <c r="R468" t="s">
        <v>3174</v>
      </c>
      <c r="T468" t="s">
        <v>57</v>
      </c>
    </row>
    <row r="469" ht="25.5" customHeight="1" spans="1:20">
      <c r="A469" t="s">
        <v>3017</v>
      </c>
      <c r="B469" t="s">
        <v>56</v>
      </c>
      <c r="C469" t="s">
        <v>3503</v>
      </c>
      <c r="D469" s="3"/>
      <c r="E469" s="2">
        <v>45684</v>
      </c>
      <c r="F469">
        <v>37900</v>
      </c>
      <c r="G469">
        <v>760</v>
      </c>
      <c r="H469">
        <v>40</v>
      </c>
      <c r="I469">
        <v>3</v>
      </c>
      <c r="J469">
        <v>6</v>
      </c>
      <c r="K469">
        <v>0</v>
      </c>
      <c r="L469" t="s">
        <v>3258</v>
      </c>
      <c r="M469" t="s">
        <v>3485</v>
      </c>
      <c r="N469" t="s">
        <v>1630</v>
      </c>
      <c r="O469" s="4">
        <v>45684.8261805556</v>
      </c>
      <c r="P469" t="s">
        <v>57</v>
      </c>
      <c r="Q469" t="s">
        <v>1753</v>
      </c>
      <c r="R469" t="s">
        <v>3177</v>
      </c>
      <c r="T469" t="s">
        <v>57</v>
      </c>
    </row>
    <row r="470" ht="25.5" customHeight="1" spans="1:20">
      <c r="A470" t="s">
        <v>3017</v>
      </c>
      <c r="B470" t="s">
        <v>56</v>
      </c>
      <c r="C470" t="s">
        <v>3503</v>
      </c>
      <c r="D470" s="3"/>
      <c r="E470" s="2">
        <v>45693</v>
      </c>
      <c r="F470">
        <v>37900</v>
      </c>
      <c r="G470">
        <v>1044</v>
      </c>
      <c r="H470">
        <v>46</v>
      </c>
      <c r="I470">
        <v>3</v>
      </c>
      <c r="J470">
        <v>6</v>
      </c>
      <c r="K470">
        <v>0</v>
      </c>
      <c r="L470" t="s">
        <v>3195</v>
      </c>
      <c r="M470" t="s">
        <v>3485</v>
      </c>
      <c r="N470" t="s">
        <v>1630</v>
      </c>
      <c r="O470" s="4">
        <v>45693.7994675926</v>
      </c>
      <c r="P470" t="s">
        <v>57</v>
      </c>
      <c r="Q470" t="s">
        <v>1753</v>
      </c>
      <c r="R470" t="s">
        <v>3394</v>
      </c>
      <c r="T470" t="s">
        <v>57</v>
      </c>
    </row>
    <row r="471" ht="25.5" customHeight="1" spans="1:20">
      <c r="A471" t="s">
        <v>3017</v>
      </c>
      <c r="B471" t="s">
        <v>56</v>
      </c>
      <c r="C471" t="s">
        <v>3503</v>
      </c>
      <c r="D471" s="3"/>
      <c r="E471" s="2">
        <v>45694</v>
      </c>
      <c r="F471">
        <v>37900</v>
      </c>
      <c r="G471">
        <v>1062</v>
      </c>
      <c r="H471">
        <v>47</v>
      </c>
      <c r="I471">
        <v>3</v>
      </c>
      <c r="J471">
        <v>6</v>
      </c>
      <c r="K471">
        <v>0</v>
      </c>
      <c r="L471" t="s">
        <v>3195</v>
      </c>
      <c r="M471" t="s">
        <v>3485</v>
      </c>
      <c r="N471" t="s">
        <v>1630</v>
      </c>
      <c r="O471" s="4">
        <v>45698.6216782407</v>
      </c>
      <c r="P471" t="s">
        <v>57</v>
      </c>
      <c r="Q471" t="s">
        <v>1753</v>
      </c>
      <c r="R471" t="s">
        <v>3273</v>
      </c>
      <c r="S471" t="s">
        <v>3180</v>
      </c>
      <c r="T471" t="s">
        <v>57</v>
      </c>
    </row>
    <row r="472" ht="25.5" customHeight="1" spans="1:20">
      <c r="A472" t="s">
        <v>2981</v>
      </c>
      <c r="B472" t="s">
        <v>56</v>
      </c>
      <c r="C472" t="s">
        <v>3509</v>
      </c>
      <c r="D472" s="3"/>
      <c r="E472" s="2">
        <v>45683</v>
      </c>
      <c r="F472">
        <v>78800</v>
      </c>
      <c r="G472">
        <v>448</v>
      </c>
      <c r="H472">
        <v>87</v>
      </c>
      <c r="I472">
        <v>1</v>
      </c>
      <c r="J472">
        <v>14</v>
      </c>
      <c r="K472">
        <v>6</v>
      </c>
      <c r="L472" t="s">
        <v>3510</v>
      </c>
      <c r="M472" t="s">
        <v>3511</v>
      </c>
      <c r="N472" t="s">
        <v>1630</v>
      </c>
      <c r="O472" s="4">
        <v>45683.7577893519</v>
      </c>
      <c r="P472" t="s">
        <v>57</v>
      </c>
      <c r="Q472" t="s">
        <v>1753</v>
      </c>
      <c r="R472" t="s">
        <v>3512</v>
      </c>
      <c r="T472" t="s">
        <v>57</v>
      </c>
    </row>
    <row r="473" ht="25.5" customHeight="1" spans="1:20">
      <c r="A473" t="s">
        <v>2981</v>
      </c>
      <c r="B473" t="s">
        <v>56</v>
      </c>
      <c r="C473" t="s">
        <v>3509</v>
      </c>
      <c r="D473" s="3"/>
      <c r="E473" s="2">
        <v>45684</v>
      </c>
      <c r="F473">
        <v>78800</v>
      </c>
      <c r="G473">
        <v>750</v>
      </c>
      <c r="H473">
        <v>122</v>
      </c>
      <c r="I473">
        <v>2</v>
      </c>
      <c r="J473">
        <v>22</v>
      </c>
      <c r="K473">
        <v>9</v>
      </c>
      <c r="L473" t="s">
        <v>3513</v>
      </c>
      <c r="M473" t="s">
        <v>3511</v>
      </c>
      <c r="N473" t="s">
        <v>1630</v>
      </c>
      <c r="O473" s="4">
        <v>45684.826412037</v>
      </c>
      <c r="P473" t="s">
        <v>57</v>
      </c>
      <c r="Q473" t="s">
        <v>1753</v>
      </c>
      <c r="R473" t="s">
        <v>3371</v>
      </c>
      <c r="T473" t="s">
        <v>57</v>
      </c>
    </row>
    <row r="474" ht="25.5" customHeight="1" spans="1:20">
      <c r="A474" t="s">
        <v>2981</v>
      </c>
      <c r="B474" t="s">
        <v>56</v>
      </c>
      <c r="C474" t="s">
        <v>3509</v>
      </c>
      <c r="D474" s="3"/>
      <c r="E474" s="2">
        <v>45693</v>
      </c>
      <c r="F474">
        <v>79400</v>
      </c>
      <c r="G474">
        <v>2016</v>
      </c>
      <c r="H474">
        <v>160</v>
      </c>
      <c r="I474">
        <v>2</v>
      </c>
      <c r="J474">
        <v>33</v>
      </c>
      <c r="K474">
        <v>10</v>
      </c>
      <c r="L474" t="s">
        <v>3230</v>
      </c>
      <c r="M474" t="s">
        <v>3511</v>
      </c>
      <c r="N474" t="s">
        <v>1630</v>
      </c>
      <c r="O474" s="4">
        <v>45693.7998611111</v>
      </c>
      <c r="P474" t="s">
        <v>57</v>
      </c>
      <c r="Q474" t="s">
        <v>1753</v>
      </c>
      <c r="R474" t="s">
        <v>3330</v>
      </c>
      <c r="T474" t="s">
        <v>57</v>
      </c>
    </row>
    <row r="475" ht="25.5" customHeight="1" spans="1:20">
      <c r="A475" t="s">
        <v>2981</v>
      </c>
      <c r="B475" t="s">
        <v>56</v>
      </c>
      <c r="C475" t="s">
        <v>3509</v>
      </c>
      <c r="D475" s="3"/>
      <c r="E475" s="2">
        <v>45694</v>
      </c>
      <c r="F475">
        <v>79400</v>
      </c>
      <c r="G475">
        <v>2050</v>
      </c>
      <c r="H475">
        <v>160</v>
      </c>
      <c r="I475">
        <v>2</v>
      </c>
      <c r="J475">
        <v>33</v>
      </c>
      <c r="K475">
        <v>10</v>
      </c>
      <c r="L475" t="s">
        <v>3317</v>
      </c>
      <c r="M475" t="s">
        <v>3511</v>
      </c>
      <c r="N475" t="s">
        <v>1630</v>
      </c>
      <c r="O475" s="4">
        <v>45698.6216782407</v>
      </c>
      <c r="P475" t="s">
        <v>57</v>
      </c>
      <c r="Q475" t="s">
        <v>1753</v>
      </c>
      <c r="R475" t="s">
        <v>3330</v>
      </c>
      <c r="S475" t="s">
        <v>3245</v>
      </c>
      <c r="T475" t="s">
        <v>57</v>
      </c>
    </row>
    <row r="476" ht="25.5" customHeight="1" spans="1:20">
      <c r="A476" t="s">
        <v>2981</v>
      </c>
      <c r="B476" t="s">
        <v>56</v>
      </c>
      <c r="C476" t="s">
        <v>3509</v>
      </c>
      <c r="D476" s="3"/>
      <c r="E476" s="2">
        <v>45695</v>
      </c>
      <c r="F476">
        <v>79500</v>
      </c>
      <c r="G476">
        <v>2154</v>
      </c>
      <c r="H476">
        <v>163</v>
      </c>
      <c r="I476">
        <v>2</v>
      </c>
      <c r="J476">
        <v>34</v>
      </c>
      <c r="K476">
        <v>10</v>
      </c>
      <c r="L476" t="s">
        <v>3317</v>
      </c>
      <c r="M476" t="s">
        <v>3511</v>
      </c>
      <c r="N476" t="s">
        <v>1630</v>
      </c>
      <c r="O476" s="4">
        <v>45695.7086689815</v>
      </c>
      <c r="P476" t="s">
        <v>57</v>
      </c>
      <c r="Q476" t="s">
        <v>1753</v>
      </c>
      <c r="R476" t="s">
        <v>3223</v>
      </c>
      <c r="T476" t="s">
        <v>57</v>
      </c>
    </row>
    <row r="477" ht="25.5" customHeight="1" spans="1:20">
      <c r="A477" t="s">
        <v>2981</v>
      </c>
      <c r="B477" t="s">
        <v>56</v>
      </c>
      <c r="C477" t="s">
        <v>3509</v>
      </c>
      <c r="D477" s="3"/>
      <c r="E477" s="2">
        <v>45696</v>
      </c>
      <c r="F477">
        <v>79600</v>
      </c>
      <c r="G477">
        <v>2259</v>
      </c>
      <c r="H477">
        <v>165</v>
      </c>
      <c r="I477">
        <v>2</v>
      </c>
      <c r="J477">
        <v>34</v>
      </c>
      <c r="K477">
        <v>10</v>
      </c>
      <c r="L477" t="s">
        <v>3317</v>
      </c>
      <c r="M477" t="s">
        <v>3511</v>
      </c>
      <c r="N477" t="s">
        <v>1630</v>
      </c>
      <c r="O477" s="4">
        <v>45696.4292361111</v>
      </c>
      <c r="P477" t="s">
        <v>57</v>
      </c>
      <c r="Q477" t="s">
        <v>1753</v>
      </c>
      <c r="R477" t="s">
        <v>3514</v>
      </c>
      <c r="T477" t="s">
        <v>57</v>
      </c>
    </row>
    <row r="478" ht="25.5" customHeight="1" spans="1:20">
      <c r="A478" t="s">
        <v>2523</v>
      </c>
      <c r="B478" t="s">
        <v>1816</v>
      </c>
      <c r="C478" t="s">
        <v>3515</v>
      </c>
      <c r="D478" s="3"/>
      <c r="E478" s="2">
        <v>45664</v>
      </c>
      <c r="F478">
        <v>21900</v>
      </c>
      <c r="G478">
        <v>3613</v>
      </c>
      <c r="H478">
        <v>13</v>
      </c>
      <c r="I478">
        <v>3</v>
      </c>
      <c r="J478">
        <v>13</v>
      </c>
      <c r="K478">
        <v>7</v>
      </c>
      <c r="L478" t="s">
        <v>3138</v>
      </c>
      <c r="M478" t="s">
        <v>3378</v>
      </c>
      <c r="N478" t="s">
        <v>1630</v>
      </c>
      <c r="O478" s="4">
        <v>45670.7564814815</v>
      </c>
      <c r="P478" t="s">
        <v>1817</v>
      </c>
      <c r="Q478" t="s">
        <v>1652</v>
      </c>
      <c r="R478" t="s">
        <v>3504</v>
      </c>
      <c r="T478" t="s">
        <v>1817</v>
      </c>
    </row>
    <row r="479" ht="25.5" customHeight="1" spans="1:20">
      <c r="A479" t="s">
        <v>2523</v>
      </c>
      <c r="B479" t="s">
        <v>1816</v>
      </c>
      <c r="C479" t="s">
        <v>3515</v>
      </c>
      <c r="D479" s="3"/>
      <c r="E479" s="2">
        <v>45665</v>
      </c>
      <c r="F479">
        <v>21900</v>
      </c>
      <c r="G479">
        <v>4661</v>
      </c>
      <c r="H479">
        <v>15</v>
      </c>
      <c r="I479">
        <v>4</v>
      </c>
      <c r="J479">
        <v>16</v>
      </c>
      <c r="K479">
        <v>8</v>
      </c>
      <c r="L479" t="s">
        <v>3138</v>
      </c>
      <c r="M479" t="s">
        <v>3378</v>
      </c>
      <c r="N479" t="s">
        <v>1630</v>
      </c>
      <c r="O479" s="4">
        <v>45672.5030092593</v>
      </c>
      <c r="P479" t="s">
        <v>1817</v>
      </c>
      <c r="Q479" t="s">
        <v>1652</v>
      </c>
      <c r="R479" t="s">
        <v>3516</v>
      </c>
      <c r="T479" t="s">
        <v>1817</v>
      </c>
    </row>
    <row r="480" ht="25.5" customHeight="1" spans="1:20">
      <c r="A480" t="s">
        <v>2523</v>
      </c>
      <c r="B480" t="s">
        <v>1816</v>
      </c>
      <c r="C480" t="s">
        <v>3515</v>
      </c>
      <c r="D480" s="3"/>
      <c r="E480" s="2">
        <v>45670</v>
      </c>
      <c r="F480">
        <v>22300</v>
      </c>
      <c r="G480">
        <v>177800</v>
      </c>
      <c r="H480">
        <v>31</v>
      </c>
      <c r="I480">
        <v>4</v>
      </c>
      <c r="J480">
        <v>51</v>
      </c>
      <c r="K480">
        <v>9</v>
      </c>
      <c r="L480" t="s">
        <v>3138</v>
      </c>
      <c r="M480" t="s">
        <v>3378</v>
      </c>
      <c r="N480" t="s">
        <v>1630</v>
      </c>
      <c r="O480" s="4">
        <v>45672.5030092593</v>
      </c>
      <c r="P480" t="s">
        <v>1817</v>
      </c>
      <c r="Q480" t="s">
        <v>1652</v>
      </c>
      <c r="R480" t="s">
        <v>3517</v>
      </c>
      <c r="T480" t="s">
        <v>1817</v>
      </c>
    </row>
    <row r="481" ht="25.5" customHeight="1" spans="1:20">
      <c r="A481" t="s">
        <v>2523</v>
      </c>
      <c r="B481" t="s">
        <v>1816</v>
      </c>
      <c r="C481" t="s">
        <v>3515</v>
      </c>
      <c r="D481" s="3"/>
      <c r="E481" s="2">
        <v>45671</v>
      </c>
      <c r="F481">
        <v>22600</v>
      </c>
      <c r="G481">
        <v>177900</v>
      </c>
      <c r="H481">
        <v>31</v>
      </c>
      <c r="I481">
        <v>4</v>
      </c>
      <c r="J481">
        <v>51</v>
      </c>
      <c r="K481">
        <v>9</v>
      </c>
      <c r="L481" t="s">
        <v>3138</v>
      </c>
      <c r="M481" t="s">
        <v>3378</v>
      </c>
      <c r="N481" t="s">
        <v>1630</v>
      </c>
      <c r="O481" s="4">
        <v>45672.5030092593</v>
      </c>
      <c r="P481" t="s">
        <v>1817</v>
      </c>
      <c r="Q481" t="s">
        <v>1652</v>
      </c>
      <c r="R481" t="s">
        <v>3517</v>
      </c>
      <c r="T481" t="s">
        <v>1817</v>
      </c>
    </row>
    <row r="482" ht="25.5" customHeight="1" spans="1:20">
      <c r="A482" t="s">
        <v>2523</v>
      </c>
      <c r="B482" t="s">
        <v>1816</v>
      </c>
      <c r="C482" t="s">
        <v>3515</v>
      </c>
      <c r="D482" s="3"/>
      <c r="E482" s="2">
        <v>45672</v>
      </c>
      <c r="F482">
        <v>23300</v>
      </c>
      <c r="G482">
        <v>177900</v>
      </c>
      <c r="H482">
        <v>32</v>
      </c>
      <c r="I482">
        <v>4</v>
      </c>
      <c r="J482">
        <v>51</v>
      </c>
      <c r="K482">
        <v>9</v>
      </c>
      <c r="L482" t="s">
        <v>3138</v>
      </c>
      <c r="M482" t="s">
        <v>3378</v>
      </c>
      <c r="N482" t="s">
        <v>1630</v>
      </c>
      <c r="O482" s="4">
        <v>45672.7123842593</v>
      </c>
      <c r="P482" t="s">
        <v>1817</v>
      </c>
      <c r="Q482" t="s">
        <v>1652</v>
      </c>
      <c r="R482" t="s">
        <v>3518</v>
      </c>
      <c r="T482" t="s">
        <v>1817</v>
      </c>
    </row>
    <row r="483" ht="25.5" customHeight="1" spans="1:20">
      <c r="A483" t="s">
        <v>2523</v>
      </c>
      <c r="B483" t="s">
        <v>1816</v>
      </c>
      <c r="C483" t="s">
        <v>3515</v>
      </c>
      <c r="D483" s="3"/>
      <c r="E483" s="2">
        <v>45673</v>
      </c>
      <c r="F483">
        <v>23500</v>
      </c>
      <c r="G483">
        <v>177900</v>
      </c>
      <c r="H483">
        <v>32</v>
      </c>
      <c r="I483">
        <v>4</v>
      </c>
      <c r="J483">
        <v>51</v>
      </c>
      <c r="K483">
        <v>8</v>
      </c>
      <c r="L483" t="s">
        <v>3138</v>
      </c>
      <c r="M483" t="s">
        <v>3378</v>
      </c>
      <c r="N483" t="s">
        <v>1630</v>
      </c>
      <c r="O483" s="4">
        <v>45673.6268981481</v>
      </c>
      <c r="P483" t="s">
        <v>1817</v>
      </c>
      <c r="Q483" t="s">
        <v>1652</v>
      </c>
      <c r="R483" t="s">
        <v>3517</v>
      </c>
      <c r="T483" t="s">
        <v>1817</v>
      </c>
    </row>
    <row r="484" ht="25.5" customHeight="1" spans="1:20">
      <c r="A484" t="s">
        <v>2523</v>
      </c>
      <c r="B484" t="s">
        <v>1816</v>
      </c>
      <c r="C484" t="s">
        <v>3515</v>
      </c>
      <c r="D484" s="3"/>
      <c r="E484" s="2">
        <v>45674</v>
      </c>
      <c r="F484">
        <v>23500</v>
      </c>
      <c r="G484">
        <v>177900</v>
      </c>
      <c r="H484">
        <v>32</v>
      </c>
      <c r="I484">
        <v>4</v>
      </c>
      <c r="J484">
        <v>51</v>
      </c>
      <c r="K484">
        <v>8</v>
      </c>
      <c r="L484" t="s">
        <v>3138</v>
      </c>
      <c r="M484" t="s">
        <v>3378</v>
      </c>
      <c r="N484" t="s">
        <v>1630</v>
      </c>
      <c r="O484" s="4">
        <v>45674.6817361111</v>
      </c>
      <c r="P484" t="s">
        <v>1817</v>
      </c>
      <c r="Q484" t="s">
        <v>1652</v>
      </c>
      <c r="R484" t="s">
        <v>3517</v>
      </c>
      <c r="T484" t="s">
        <v>1817</v>
      </c>
    </row>
    <row r="485" ht="25.5" customHeight="1" spans="1:20">
      <c r="A485" t="s">
        <v>2523</v>
      </c>
      <c r="B485" t="s">
        <v>1816</v>
      </c>
      <c r="C485" t="s">
        <v>3515</v>
      </c>
      <c r="D485" s="3"/>
      <c r="E485" s="2">
        <v>45677</v>
      </c>
      <c r="F485">
        <v>23600</v>
      </c>
      <c r="G485">
        <v>177900</v>
      </c>
      <c r="H485">
        <v>32</v>
      </c>
      <c r="I485">
        <v>4</v>
      </c>
      <c r="J485">
        <v>51</v>
      </c>
      <c r="K485">
        <v>7</v>
      </c>
      <c r="L485" t="s">
        <v>3138</v>
      </c>
      <c r="M485" t="s">
        <v>3378</v>
      </c>
      <c r="N485" t="s">
        <v>1630</v>
      </c>
      <c r="O485" s="4">
        <v>45677.4406828704</v>
      </c>
      <c r="P485" t="s">
        <v>1817</v>
      </c>
      <c r="Q485" t="s">
        <v>1652</v>
      </c>
      <c r="R485" t="s">
        <v>3519</v>
      </c>
      <c r="T485" t="s">
        <v>1817</v>
      </c>
    </row>
    <row r="486" ht="25.5" customHeight="1" spans="1:20">
      <c r="A486" t="s">
        <v>2523</v>
      </c>
      <c r="B486" t="s">
        <v>1816</v>
      </c>
      <c r="C486" t="s">
        <v>3515</v>
      </c>
      <c r="D486" s="3"/>
      <c r="E486" s="2">
        <v>45678</v>
      </c>
      <c r="F486">
        <v>23800</v>
      </c>
      <c r="G486">
        <v>177900</v>
      </c>
      <c r="H486">
        <v>32</v>
      </c>
      <c r="I486">
        <v>4</v>
      </c>
      <c r="J486">
        <v>51</v>
      </c>
      <c r="K486">
        <v>7</v>
      </c>
      <c r="L486" t="s">
        <v>3138</v>
      </c>
      <c r="M486" t="s">
        <v>3378</v>
      </c>
      <c r="N486" t="s">
        <v>1630</v>
      </c>
      <c r="O486" s="4">
        <v>45678.6651388889</v>
      </c>
      <c r="P486" t="s">
        <v>1817</v>
      </c>
      <c r="Q486" t="s">
        <v>1652</v>
      </c>
      <c r="R486" t="s">
        <v>3519</v>
      </c>
      <c r="T486" t="s">
        <v>1817</v>
      </c>
    </row>
    <row r="487" ht="25.5" customHeight="1" spans="1:20">
      <c r="A487" t="s">
        <v>2523</v>
      </c>
      <c r="B487" t="s">
        <v>1816</v>
      </c>
      <c r="C487" t="s">
        <v>3515</v>
      </c>
      <c r="D487" s="3"/>
      <c r="E487" s="2">
        <v>45679</v>
      </c>
      <c r="F487">
        <v>23900</v>
      </c>
      <c r="G487">
        <v>177900</v>
      </c>
      <c r="H487">
        <v>32</v>
      </c>
      <c r="I487">
        <v>4</v>
      </c>
      <c r="J487">
        <v>51</v>
      </c>
      <c r="K487">
        <v>7</v>
      </c>
      <c r="L487" t="s">
        <v>3138</v>
      </c>
      <c r="M487" t="s">
        <v>3378</v>
      </c>
      <c r="N487" t="s">
        <v>1630</v>
      </c>
      <c r="O487" s="4">
        <v>45679.6511458333</v>
      </c>
      <c r="P487" t="s">
        <v>1817</v>
      </c>
      <c r="Q487" t="s">
        <v>1652</v>
      </c>
      <c r="R487" t="s">
        <v>3519</v>
      </c>
      <c r="T487" t="s">
        <v>1817</v>
      </c>
    </row>
    <row r="488" ht="25.5" customHeight="1" spans="1:20">
      <c r="A488" t="s">
        <v>2523</v>
      </c>
      <c r="B488" t="s">
        <v>1816</v>
      </c>
      <c r="C488" t="s">
        <v>3515</v>
      </c>
      <c r="D488" s="3"/>
      <c r="E488" s="2">
        <v>45680</v>
      </c>
      <c r="F488">
        <v>24000</v>
      </c>
      <c r="G488">
        <v>177900</v>
      </c>
      <c r="H488">
        <v>32</v>
      </c>
      <c r="I488">
        <v>4</v>
      </c>
      <c r="J488">
        <v>51</v>
      </c>
      <c r="K488">
        <v>7</v>
      </c>
      <c r="L488" t="s">
        <v>3138</v>
      </c>
      <c r="M488" t="s">
        <v>3378</v>
      </c>
      <c r="N488" t="s">
        <v>1630</v>
      </c>
      <c r="O488" s="4">
        <v>45680.6666087963</v>
      </c>
      <c r="P488" t="s">
        <v>1817</v>
      </c>
      <c r="Q488" t="s">
        <v>1652</v>
      </c>
      <c r="R488" t="s">
        <v>3519</v>
      </c>
      <c r="T488" t="s">
        <v>1817</v>
      </c>
    </row>
    <row r="489" ht="25.5" customHeight="1" spans="1:20">
      <c r="A489" t="s">
        <v>2523</v>
      </c>
      <c r="B489" t="s">
        <v>1816</v>
      </c>
      <c r="C489" t="s">
        <v>3515</v>
      </c>
      <c r="D489" s="3"/>
      <c r="E489" s="2">
        <v>45681</v>
      </c>
      <c r="F489">
        <v>24100</v>
      </c>
      <c r="G489">
        <v>177900</v>
      </c>
      <c r="H489">
        <v>32</v>
      </c>
      <c r="I489">
        <v>4</v>
      </c>
      <c r="J489">
        <v>51</v>
      </c>
      <c r="K489">
        <v>7</v>
      </c>
      <c r="L489" t="s">
        <v>3138</v>
      </c>
      <c r="M489" t="s">
        <v>3378</v>
      </c>
      <c r="N489" t="s">
        <v>1630</v>
      </c>
      <c r="O489" s="4">
        <v>45681.6516435185</v>
      </c>
      <c r="P489" t="s">
        <v>1817</v>
      </c>
      <c r="Q489" t="s">
        <v>1652</v>
      </c>
      <c r="R489" t="s">
        <v>3519</v>
      </c>
      <c r="T489" t="s">
        <v>1817</v>
      </c>
    </row>
    <row r="490" ht="25.5" customHeight="1" spans="1:20">
      <c r="A490" t="s">
        <v>2523</v>
      </c>
      <c r="B490" t="s">
        <v>1816</v>
      </c>
      <c r="C490" t="s">
        <v>3515</v>
      </c>
      <c r="D490" s="3"/>
      <c r="E490" s="2">
        <v>45683</v>
      </c>
      <c r="F490">
        <v>24500</v>
      </c>
      <c r="G490">
        <v>178000</v>
      </c>
      <c r="H490">
        <v>32</v>
      </c>
      <c r="I490">
        <v>4</v>
      </c>
      <c r="J490">
        <v>51</v>
      </c>
      <c r="K490">
        <v>7</v>
      </c>
      <c r="L490" t="s">
        <v>3138</v>
      </c>
      <c r="M490" t="s">
        <v>3378</v>
      </c>
      <c r="N490" t="s">
        <v>1630</v>
      </c>
      <c r="O490" s="4">
        <v>45683.7928587963</v>
      </c>
      <c r="P490" t="s">
        <v>1817</v>
      </c>
      <c r="Q490" t="s">
        <v>1652</v>
      </c>
      <c r="R490" t="s">
        <v>3519</v>
      </c>
      <c r="T490" t="s">
        <v>1817</v>
      </c>
    </row>
    <row r="491" ht="25.5" customHeight="1" spans="1:20">
      <c r="A491" t="s">
        <v>2523</v>
      </c>
      <c r="B491" t="s">
        <v>1816</v>
      </c>
      <c r="C491" t="s">
        <v>3515</v>
      </c>
      <c r="D491" s="3"/>
      <c r="E491" s="2">
        <v>45684</v>
      </c>
      <c r="F491">
        <v>24700</v>
      </c>
      <c r="G491">
        <v>178000</v>
      </c>
      <c r="H491">
        <v>32</v>
      </c>
      <c r="I491">
        <v>4</v>
      </c>
      <c r="J491">
        <v>51</v>
      </c>
      <c r="K491">
        <v>7</v>
      </c>
      <c r="L491" t="s">
        <v>3138</v>
      </c>
      <c r="M491" t="s">
        <v>3378</v>
      </c>
      <c r="N491" t="s">
        <v>1630</v>
      </c>
      <c r="O491" s="4">
        <v>45684.7527893518</v>
      </c>
      <c r="P491" t="s">
        <v>1817</v>
      </c>
      <c r="Q491" t="s">
        <v>1652</v>
      </c>
      <c r="R491" t="s">
        <v>3519</v>
      </c>
      <c r="T491" t="s">
        <v>1817</v>
      </c>
    </row>
    <row r="492" ht="25.5" customHeight="1" spans="1:20">
      <c r="A492" t="s">
        <v>2523</v>
      </c>
      <c r="B492" t="s">
        <v>1816</v>
      </c>
      <c r="C492" t="s">
        <v>3515</v>
      </c>
      <c r="D492" s="3"/>
      <c r="E492" s="2">
        <v>45693</v>
      </c>
      <c r="F492">
        <v>25500</v>
      </c>
      <c r="G492">
        <v>178000</v>
      </c>
      <c r="H492">
        <v>32</v>
      </c>
      <c r="I492">
        <v>4</v>
      </c>
      <c r="J492">
        <v>51</v>
      </c>
      <c r="K492">
        <v>7</v>
      </c>
      <c r="L492" t="s">
        <v>3138</v>
      </c>
      <c r="M492" t="s">
        <v>3378</v>
      </c>
      <c r="N492" t="s">
        <v>1630</v>
      </c>
      <c r="O492" s="4">
        <v>45693.8358680556</v>
      </c>
      <c r="P492" t="s">
        <v>1817</v>
      </c>
      <c r="Q492" t="s">
        <v>1652</v>
      </c>
      <c r="R492" t="s">
        <v>3519</v>
      </c>
      <c r="T492" t="s">
        <v>1817</v>
      </c>
    </row>
    <row r="493" ht="25.5" customHeight="1" spans="1:20">
      <c r="A493" t="s">
        <v>2523</v>
      </c>
      <c r="B493" t="s">
        <v>1816</v>
      </c>
      <c r="C493" t="s">
        <v>3515</v>
      </c>
      <c r="D493" s="3"/>
      <c r="E493" s="2">
        <v>45694</v>
      </c>
      <c r="F493">
        <v>25500</v>
      </c>
      <c r="G493">
        <v>178000</v>
      </c>
      <c r="H493">
        <v>32</v>
      </c>
      <c r="I493">
        <v>4</v>
      </c>
      <c r="J493">
        <v>51</v>
      </c>
      <c r="K493">
        <v>7</v>
      </c>
      <c r="L493" t="s">
        <v>3138</v>
      </c>
      <c r="M493" t="s">
        <v>3378</v>
      </c>
      <c r="N493" t="s">
        <v>1630</v>
      </c>
      <c r="O493" s="4">
        <v>45698.6216782407</v>
      </c>
      <c r="P493" t="s">
        <v>1817</v>
      </c>
      <c r="Q493" t="s">
        <v>1652</v>
      </c>
      <c r="R493" t="s">
        <v>3519</v>
      </c>
      <c r="S493" t="s">
        <v>3180</v>
      </c>
      <c r="T493" t="s">
        <v>1817</v>
      </c>
    </row>
    <row r="494" ht="25.5" customHeight="1" spans="1:18">
      <c r="A494" t="s">
        <v>3520</v>
      </c>
      <c r="D494" s="3"/>
      <c r="E494" s="2"/>
      <c r="O494" s="4">
        <v>45670.743587963</v>
      </c>
      <c r="R494" t="s">
        <v>3133</v>
      </c>
    </row>
    <row r="495" ht="25.5" customHeight="1" spans="1:20">
      <c r="A495" t="s">
        <v>1878</v>
      </c>
      <c r="B495" t="s">
        <v>65</v>
      </c>
      <c r="C495" t="s">
        <v>3521</v>
      </c>
      <c r="D495" s="3" t="str">
        <f>HYPERLINK("https://www.instagram.com/estebandiba/reels/","https://www.instagram.com/estebandiba/reels/")</f>
        <v>https://www.instagram.com/estebandiba/reels/</v>
      </c>
      <c r="E495" s="2">
        <v>45680</v>
      </c>
      <c r="F495">
        <v>145000</v>
      </c>
      <c r="G495">
        <v>2924</v>
      </c>
      <c r="H495">
        <v>90</v>
      </c>
      <c r="I495">
        <v>3</v>
      </c>
      <c r="L495" t="s">
        <v>3138</v>
      </c>
      <c r="M495" t="s">
        <v>3522</v>
      </c>
      <c r="N495" t="s">
        <v>1630</v>
      </c>
      <c r="O495" s="4">
        <v>45681.4817592593</v>
      </c>
      <c r="P495" t="s">
        <v>116</v>
      </c>
      <c r="Q495" t="s">
        <v>1652</v>
      </c>
      <c r="R495" t="s">
        <v>3523</v>
      </c>
      <c r="T495" t="s">
        <v>116</v>
      </c>
    </row>
    <row r="496" ht="25.5" customHeight="1" spans="1:20">
      <c r="A496" t="s">
        <v>1878</v>
      </c>
      <c r="B496" t="s">
        <v>65</v>
      </c>
      <c r="C496" t="s">
        <v>3521</v>
      </c>
      <c r="D496" s="3"/>
      <c r="E496" s="2">
        <v>45681</v>
      </c>
      <c r="F496">
        <v>145000</v>
      </c>
      <c r="G496">
        <v>4602</v>
      </c>
      <c r="H496">
        <v>150</v>
      </c>
      <c r="I496">
        <v>3</v>
      </c>
      <c r="L496" t="s">
        <v>3138</v>
      </c>
      <c r="M496" t="s">
        <v>3522</v>
      </c>
      <c r="N496" t="s">
        <v>1630</v>
      </c>
      <c r="O496" s="4">
        <v>45681.481875</v>
      </c>
      <c r="P496" t="s">
        <v>116</v>
      </c>
      <c r="Q496" t="s">
        <v>1652</v>
      </c>
      <c r="R496" t="s">
        <v>3524</v>
      </c>
      <c r="T496" t="s">
        <v>116</v>
      </c>
    </row>
    <row r="497" ht="25.5" customHeight="1" spans="1:20">
      <c r="A497" t="s">
        <v>1878</v>
      </c>
      <c r="B497" t="s">
        <v>65</v>
      </c>
      <c r="C497" t="s">
        <v>3521</v>
      </c>
      <c r="D497" s="3"/>
      <c r="E497" s="2">
        <v>45683</v>
      </c>
      <c r="F497">
        <v>145000</v>
      </c>
      <c r="G497">
        <v>5628</v>
      </c>
      <c r="H497">
        <v>172</v>
      </c>
      <c r="I497">
        <v>3</v>
      </c>
      <c r="L497" t="s">
        <v>3138</v>
      </c>
      <c r="M497" t="s">
        <v>3522</v>
      </c>
      <c r="N497" t="s">
        <v>1630</v>
      </c>
      <c r="O497" s="4">
        <v>45683.7104976852</v>
      </c>
      <c r="P497" t="s">
        <v>116</v>
      </c>
      <c r="Q497" t="s">
        <v>1652</v>
      </c>
      <c r="R497" t="s">
        <v>3525</v>
      </c>
      <c r="T497" t="s">
        <v>116</v>
      </c>
    </row>
    <row r="498" ht="25.5" customHeight="1" spans="1:20">
      <c r="A498" t="s">
        <v>1878</v>
      </c>
      <c r="B498" t="s">
        <v>65</v>
      </c>
      <c r="C498" t="s">
        <v>3521</v>
      </c>
      <c r="D498" s="3"/>
      <c r="E498" s="2">
        <v>45684</v>
      </c>
      <c r="F498">
        <v>146000</v>
      </c>
      <c r="G498">
        <v>5823</v>
      </c>
      <c r="H498">
        <v>177</v>
      </c>
      <c r="I498">
        <v>3</v>
      </c>
      <c r="L498" t="s">
        <v>3138</v>
      </c>
      <c r="M498" t="s">
        <v>3522</v>
      </c>
      <c r="N498" t="s">
        <v>1630</v>
      </c>
      <c r="O498" s="4">
        <v>45684.7652430556</v>
      </c>
      <c r="P498" t="s">
        <v>116</v>
      </c>
      <c r="Q498" t="s">
        <v>1652</v>
      </c>
      <c r="R498" t="s">
        <v>3215</v>
      </c>
      <c r="T498" t="s">
        <v>116</v>
      </c>
    </row>
    <row r="499" ht="25.5" customHeight="1" spans="1:20">
      <c r="A499" t="s">
        <v>1878</v>
      </c>
      <c r="B499" t="s">
        <v>65</v>
      </c>
      <c r="C499" t="s">
        <v>3521</v>
      </c>
      <c r="D499" s="3"/>
      <c r="E499" s="2">
        <v>45693</v>
      </c>
      <c r="F499">
        <v>147000</v>
      </c>
      <c r="G499">
        <v>6692</v>
      </c>
      <c r="H499">
        <v>202</v>
      </c>
      <c r="I499">
        <v>3</v>
      </c>
      <c r="L499" t="s">
        <v>3138</v>
      </c>
      <c r="M499" t="s">
        <v>3522</v>
      </c>
      <c r="N499" t="s">
        <v>1630</v>
      </c>
      <c r="O499" s="4">
        <v>45693.7710416667</v>
      </c>
      <c r="P499" t="s">
        <v>116</v>
      </c>
      <c r="Q499" t="s">
        <v>1652</v>
      </c>
      <c r="R499" t="s">
        <v>3330</v>
      </c>
      <c r="T499" t="s">
        <v>116</v>
      </c>
    </row>
    <row r="500" ht="25.5" customHeight="1" spans="1:20">
      <c r="A500" t="s">
        <v>1878</v>
      </c>
      <c r="B500" t="s">
        <v>65</v>
      </c>
      <c r="C500" t="s">
        <v>3521</v>
      </c>
      <c r="D500" s="3"/>
      <c r="E500" s="2">
        <v>45694</v>
      </c>
      <c r="F500">
        <v>147000</v>
      </c>
      <c r="G500">
        <v>6737</v>
      </c>
      <c r="H500">
        <v>203</v>
      </c>
      <c r="I500">
        <v>3</v>
      </c>
      <c r="L500" t="s">
        <v>3138</v>
      </c>
      <c r="M500" t="s">
        <v>3522</v>
      </c>
      <c r="N500" t="s">
        <v>1630</v>
      </c>
      <c r="O500" s="4">
        <v>45698.6216782407</v>
      </c>
      <c r="P500" t="s">
        <v>116</v>
      </c>
      <c r="Q500" t="s">
        <v>1652</v>
      </c>
      <c r="R500" t="s">
        <v>3222</v>
      </c>
      <c r="S500" t="s">
        <v>3245</v>
      </c>
      <c r="T500" t="s">
        <v>116</v>
      </c>
    </row>
    <row r="501" ht="25.5" customHeight="1" spans="1:20">
      <c r="A501" t="s">
        <v>1878</v>
      </c>
      <c r="B501" t="s">
        <v>65</v>
      </c>
      <c r="C501" t="s">
        <v>3521</v>
      </c>
      <c r="D501" s="3"/>
      <c r="E501" s="2">
        <v>45695</v>
      </c>
      <c r="F501">
        <v>147000</v>
      </c>
      <c r="G501">
        <v>6781</v>
      </c>
      <c r="H501">
        <v>206</v>
      </c>
      <c r="I501">
        <v>3</v>
      </c>
      <c r="L501" t="s">
        <v>3138</v>
      </c>
      <c r="M501" t="s">
        <v>3522</v>
      </c>
      <c r="N501" t="s">
        <v>1630</v>
      </c>
      <c r="O501" s="4">
        <v>45695.4799305556</v>
      </c>
      <c r="P501" t="s">
        <v>116</v>
      </c>
      <c r="Q501" t="s">
        <v>1652</v>
      </c>
      <c r="R501" t="s">
        <v>3223</v>
      </c>
      <c r="T501" t="s">
        <v>116</v>
      </c>
    </row>
    <row r="502" ht="25.5" customHeight="1" spans="1:20">
      <c r="A502" t="s">
        <v>1878</v>
      </c>
      <c r="B502" t="s">
        <v>65</v>
      </c>
      <c r="C502" t="s">
        <v>3521</v>
      </c>
      <c r="D502" s="3"/>
      <c r="E502" s="2">
        <v>45696</v>
      </c>
      <c r="F502">
        <v>147000</v>
      </c>
      <c r="G502">
        <v>6800</v>
      </c>
      <c r="H502">
        <v>207</v>
      </c>
      <c r="I502">
        <v>3</v>
      </c>
      <c r="L502" t="s">
        <v>3138</v>
      </c>
      <c r="M502" t="s">
        <v>3522</v>
      </c>
      <c r="N502" t="s">
        <v>1630</v>
      </c>
      <c r="O502" s="4">
        <v>45696.4464467593</v>
      </c>
      <c r="P502" t="s">
        <v>116</v>
      </c>
      <c r="Q502" t="s">
        <v>1652</v>
      </c>
      <c r="R502" t="s">
        <v>3526</v>
      </c>
      <c r="T502" t="s">
        <v>116</v>
      </c>
    </row>
    <row r="503" ht="25.5" customHeight="1" spans="1:20">
      <c r="A503" t="s">
        <v>392</v>
      </c>
      <c r="B503" t="s">
        <v>65</v>
      </c>
      <c r="C503" t="s">
        <v>3527</v>
      </c>
      <c r="D503" s="3" t="str">
        <f>HYPERLINK("https://www.instagram.com/ux.edward/reels/","https://www.instagram.com/ux.edward/reels/")</f>
        <v>https://www.instagram.com/ux.edward/reels/</v>
      </c>
      <c r="E503" s="2">
        <v>45679</v>
      </c>
      <c r="F503">
        <v>117000</v>
      </c>
      <c r="G503">
        <v>7671</v>
      </c>
      <c r="H503">
        <v>175</v>
      </c>
      <c r="I503">
        <v>7</v>
      </c>
      <c r="L503" t="s">
        <v>3138</v>
      </c>
      <c r="M503" t="s">
        <v>3493</v>
      </c>
      <c r="N503" t="s">
        <v>1630</v>
      </c>
      <c r="O503" s="4">
        <v>45680.5080439815</v>
      </c>
      <c r="P503" t="s">
        <v>116</v>
      </c>
      <c r="Q503" t="s">
        <v>1631</v>
      </c>
      <c r="R503" t="s">
        <v>3184</v>
      </c>
      <c r="T503" t="s">
        <v>116</v>
      </c>
    </row>
    <row r="504" ht="25.5" customHeight="1" spans="1:20">
      <c r="A504" t="s">
        <v>392</v>
      </c>
      <c r="B504" t="s">
        <v>65</v>
      </c>
      <c r="C504" t="s">
        <v>3527</v>
      </c>
      <c r="D504" s="3"/>
      <c r="E504" s="2">
        <v>45680</v>
      </c>
      <c r="F504">
        <v>117000</v>
      </c>
      <c r="G504">
        <v>8793</v>
      </c>
      <c r="H504">
        <v>198</v>
      </c>
      <c r="I504">
        <v>7</v>
      </c>
      <c r="L504" t="s">
        <v>3138</v>
      </c>
      <c r="M504" t="s">
        <v>3493</v>
      </c>
      <c r="N504" t="s">
        <v>1630</v>
      </c>
      <c r="O504" s="4">
        <v>45680.5081712963</v>
      </c>
      <c r="P504" t="s">
        <v>116</v>
      </c>
      <c r="Q504" t="s">
        <v>1631</v>
      </c>
      <c r="R504" t="s">
        <v>3330</v>
      </c>
      <c r="T504" t="s">
        <v>116</v>
      </c>
    </row>
    <row r="505" ht="25.5" customHeight="1" spans="1:20">
      <c r="A505" t="s">
        <v>392</v>
      </c>
      <c r="B505" t="s">
        <v>65</v>
      </c>
      <c r="C505" t="s">
        <v>3527</v>
      </c>
      <c r="D505" s="3"/>
      <c r="E505" s="2">
        <v>45681</v>
      </c>
      <c r="F505">
        <v>117000</v>
      </c>
      <c r="G505">
        <v>9208</v>
      </c>
      <c r="H505">
        <v>207</v>
      </c>
      <c r="I505">
        <v>7</v>
      </c>
      <c r="L505" t="s">
        <v>3138</v>
      </c>
      <c r="M505" t="s">
        <v>3493</v>
      </c>
      <c r="N505" t="s">
        <v>1630</v>
      </c>
      <c r="O505" s="4">
        <v>45681.4820601852</v>
      </c>
      <c r="P505" t="s">
        <v>116</v>
      </c>
      <c r="Q505" t="s">
        <v>1631</v>
      </c>
      <c r="R505" t="s">
        <v>3458</v>
      </c>
      <c r="T505" t="s">
        <v>116</v>
      </c>
    </row>
    <row r="506" ht="25.5" customHeight="1" spans="1:20">
      <c r="A506" t="s">
        <v>392</v>
      </c>
      <c r="B506" t="s">
        <v>65</v>
      </c>
      <c r="C506" t="s">
        <v>3527</v>
      </c>
      <c r="D506" s="3"/>
      <c r="E506" s="2">
        <v>45683</v>
      </c>
      <c r="F506">
        <v>117000</v>
      </c>
      <c r="G506">
        <v>9651</v>
      </c>
      <c r="H506">
        <v>219</v>
      </c>
      <c r="I506">
        <v>7</v>
      </c>
      <c r="L506" t="s">
        <v>3138</v>
      </c>
      <c r="M506" t="s">
        <v>3493</v>
      </c>
      <c r="N506" t="s">
        <v>1630</v>
      </c>
      <c r="O506" s="4">
        <v>45683.7106365741</v>
      </c>
      <c r="P506" t="s">
        <v>116</v>
      </c>
      <c r="Q506" t="s">
        <v>1631</v>
      </c>
      <c r="R506" t="s">
        <v>3335</v>
      </c>
      <c r="T506" t="s">
        <v>116</v>
      </c>
    </row>
    <row r="507" ht="25.5" customHeight="1" spans="1:20">
      <c r="A507" t="s">
        <v>392</v>
      </c>
      <c r="B507" t="s">
        <v>65</v>
      </c>
      <c r="C507" t="s">
        <v>3527</v>
      </c>
      <c r="D507" s="3"/>
      <c r="E507" s="2">
        <v>45684</v>
      </c>
      <c r="F507">
        <v>117000</v>
      </c>
      <c r="G507">
        <v>9786</v>
      </c>
      <c r="H507">
        <v>221</v>
      </c>
      <c r="I507">
        <v>8</v>
      </c>
      <c r="L507" t="s">
        <v>3138</v>
      </c>
      <c r="M507" t="s">
        <v>3493</v>
      </c>
      <c r="N507" t="s">
        <v>1630</v>
      </c>
      <c r="O507" s="4">
        <v>45684.7653935185</v>
      </c>
      <c r="P507" t="s">
        <v>116</v>
      </c>
      <c r="Q507" t="s">
        <v>1631</v>
      </c>
      <c r="R507" t="s">
        <v>3304</v>
      </c>
      <c r="T507" t="s">
        <v>116</v>
      </c>
    </row>
    <row r="508" ht="25.5" customHeight="1" spans="1:20">
      <c r="A508" t="s">
        <v>392</v>
      </c>
      <c r="B508" t="s">
        <v>65</v>
      </c>
      <c r="C508" t="s">
        <v>3527</v>
      </c>
      <c r="D508" s="3"/>
      <c r="E508" s="2">
        <v>45693</v>
      </c>
      <c r="F508">
        <v>117000</v>
      </c>
      <c r="G508">
        <v>10000</v>
      </c>
      <c r="H508">
        <v>234</v>
      </c>
      <c r="I508">
        <v>8</v>
      </c>
      <c r="L508" t="s">
        <v>3138</v>
      </c>
      <c r="M508" t="s">
        <v>3493</v>
      </c>
      <c r="N508" t="s">
        <v>1630</v>
      </c>
      <c r="O508" s="4">
        <v>45693.7712847222</v>
      </c>
      <c r="P508" t="s">
        <v>116</v>
      </c>
      <c r="Q508" t="s">
        <v>1631</v>
      </c>
      <c r="R508" t="s">
        <v>3528</v>
      </c>
      <c r="T508" t="s">
        <v>116</v>
      </c>
    </row>
    <row r="509" ht="25.5" customHeight="1" spans="1:20">
      <c r="A509" t="s">
        <v>392</v>
      </c>
      <c r="B509" t="s">
        <v>65</v>
      </c>
      <c r="C509" t="s">
        <v>3527</v>
      </c>
      <c r="D509" s="3"/>
      <c r="E509" s="2">
        <v>45694</v>
      </c>
      <c r="F509">
        <v>117000</v>
      </c>
      <c r="G509">
        <v>10500</v>
      </c>
      <c r="H509">
        <v>234</v>
      </c>
      <c r="I509">
        <v>8</v>
      </c>
      <c r="L509" t="s">
        <v>3138</v>
      </c>
      <c r="M509" t="s">
        <v>3493</v>
      </c>
      <c r="N509" t="s">
        <v>1630</v>
      </c>
      <c r="O509" s="4">
        <v>45698.6216782407</v>
      </c>
      <c r="P509" t="s">
        <v>116</v>
      </c>
      <c r="Q509" t="s">
        <v>1631</v>
      </c>
      <c r="R509" t="s">
        <v>3528</v>
      </c>
      <c r="S509" t="s">
        <v>3245</v>
      </c>
      <c r="T509" t="s">
        <v>116</v>
      </c>
    </row>
    <row r="510" ht="25.5" customHeight="1" spans="1:20">
      <c r="A510" t="s">
        <v>392</v>
      </c>
      <c r="B510" t="s">
        <v>65</v>
      </c>
      <c r="C510" t="s">
        <v>3527</v>
      </c>
      <c r="D510" s="3"/>
      <c r="E510" s="2">
        <v>45695</v>
      </c>
      <c r="F510">
        <v>117000</v>
      </c>
      <c r="G510">
        <v>10500</v>
      </c>
      <c r="H510">
        <v>235</v>
      </c>
      <c r="I510">
        <v>8</v>
      </c>
      <c r="L510" t="s">
        <v>3138</v>
      </c>
      <c r="M510" t="s">
        <v>3493</v>
      </c>
      <c r="N510" t="s">
        <v>1630</v>
      </c>
      <c r="O510" s="4">
        <v>45695.4801851852</v>
      </c>
      <c r="P510" t="s">
        <v>116</v>
      </c>
      <c r="Q510" t="s">
        <v>1631</v>
      </c>
      <c r="R510" t="s">
        <v>3459</v>
      </c>
      <c r="T510" t="s">
        <v>116</v>
      </c>
    </row>
    <row r="511" ht="25.5" customHeight="1" spans="1:20">
      <c r="A511" t="s">
        <v>392</v>
      </c>
      <c r="B511" t="s">
        <v>65</v>
      </c>
      <c r="C511" t="s">
        <v>3527</v>
      </c>
      <c r="D511" s="3"/>
      <c r="E511" s="2">
        <v>45696</v>
      </c>
      <c r="F511">
        <v>117000</v>
      </c>
      <c r="G511">
        <v>10500</v>
      </c>
      <c r="H511">
        <v>236</v>
      </c>
      <c r="I511">
        <v>8</v>
      </c>
      <c r="L511" t="s">
        <v>3138</v>
      </c>
      <c r="M511" t="s">
        <v>3493</v>
      </c>
      <c r="N511" t="s">
        <v>1630</v>
      </c>
      <c r="O511" s="4">
        <v>45696.4465740741</v>
      </c>
      <c r="P511" t="s">
        <v>116</v>
      </c>
      <c r="Q511" t="s">
        <v>1631</v>
      </c>
      <c r="R511" t="s">
        <v>3529</v>
      </c>
      <c r="T511" t="s">
        <v>116</v>
      </c>
    </row>
    <row r="512" ht="25.5" customHeight="1" spans="1:20">
      <c r="A512" t="s">
        <v>2040</v>
      </c>
      <c r="B512" t="s">
        <v>3530</v>
      </c>
      <c r="C512" t="s">
        <v>3531</v>
      </c>
      <c r="D512" s="3"/>
      <c r="E512" s="2"/>
      <c r="M512" t="s">
        <v>3532</v>
      </c>
      <c r="N512" t="s">
        <v>3533</v>
      </c>
      <c r="O512" s="4">
        <v>45670.743587963</v>
      </c>
      <c r="P512" t="s">
        <v>3534</v>
      </c>
      <c r="Q512" t="s">
        <v>3535</v>
      </c>
      <c r="R512" t="s">
        <v>3133</v>
      </c>
      <c r="T512" t="s">
        <v>3534</v>
      </c>
    </row>
    <row r="513" ht="25.5" customHeight="1" spans="1:20">
      <c r="A513" t="s">
        <v>2040</v>
      </c>
      <c r="B513" t="s">
        <v>3530</v>
      </c>
      <c r="C513" t="s">
        <v>3531</v>
      </c>
      <c r="D513" s="3"/>
      <c r="E513" s="2"/>
      <c r="M513" t="s">
        <v>3532</v>
      </c>
      <c r="N513" t="s">
        <v>3533</v>
      </c>
      <c r="O513" s="4">
        <v>45670.743587963</v>
      </c>
      <c r="P513" t="s">
        <v>3534</v>
      </c>
      <c r="Q513" t="s">
        <v>3535</v>
      </c>
      <c r="R513" t="s">
        <v>3133</v>
      </c>
      <c r="T513" t="s">
        <v>3534</v>
      </c>
    </row>
    <row r="514" ht="25.5" customHeight="1" spans="1:20">
      <c r="A514" t="s">
        <v>2040</v>
      </c>
      <c r="B514" t="s">
        <v>3530</v>
      </c>
      <c r="C514" t="s">
        <v>3531</v>
      </c>
      <c r="D514" s="3"/>
      <c r="E514" s="2"/>
      <c r="M514" t="s">
        <v>3532</v>
      </c>
      <c r="N514" t="s">
        <v>3533</v>
      </c>
      <c r="O514" s="4">
        <v>45670.743587963</v>
      </c>
      <c r="P514" t="s">
        <v>3534</v>
      </c>
      <c r="Q514" t="s">
        <v>3535</v>
      </c>
      <c r="R514" t="s">
        <v>3133</v>
      </c>
      <c r="T514" t="s">
        <v>3534</v>
      </c>
    </row>
    <row r="515" ht="25.5" customHeight="1" spans="1:20">
      <c r="A515" t="s">
        <v>2730</v>
      </c>
      <c r="B515" t="s">
        <v>56</v>
      </c>
      <c r="C515" t="s">
        <v>3536</v>
      </c>
      <c r="D515" s="3"/>
      <c r="E515" s="2">
        <v>45677</v>
      </c>
      <c r="F515">
        <v>94700</v>
      </c>
      <c r="G515">
        <v>6859</v>
      </c>
      <c r="H515">
        <v>512</v>
      </c>
      <c r="I515">
        <v>6</v>
      </c>
      <c r="J515">
        <v>309</v>
      </c>
      <c r="K515">
        <v>54</v>
      </c>
      <c r="L515" t="s">
        <v>3317</v>
      </c>
      <c r="M515" t="s">
        <v>3249</v>
      </c>
      <c r="N515" t="s">
        <v>1630</v>
      </c>
      <c r="O515" s="4">
        <v>45677.7205208333</v>
      </c>
      <c r="P515" t="s">
        <v>57</v>
      </c>
      <c r="Q515" t="s">
        <v>97</v>
      </c>
      <c r="R515" t="s">
        <v>3537</v>
      </c>
      <c r="T515" t="s">
        <v>57</v>
      </c>
    </row>
    <row r="516" ht="25.5" customHeight="1" spans="1:20">
      <c r="A516" t="s">
        <v>2730</v>
      </c>
      <c r="B516" t="s">
        <v>56</v>
      </c>
      <c r="C516" t="s">
        <v>3536</v>
      </c>
      <c r="D516" s="3"/>
      <c r="E516" s="2">
        <v>45678</v>
      </c>
      <c r="F516">
        <v>94800</v>
      </c>
      <c r="G516">
        <v>8074</v>
      </c>
      <c r="H516">
        <v>577</v>
      </c>
      <c r="I516">
        <v>7</v>
      </c>
      <c r="J516">
        <v>353</v>
      </c>
      <c r="K516">
        <v>57</v>
      </c>
      <c r="L516" t="s">
        <v>3317</v>
      </c>
      <c r="M516" t="s">
        <v>3249</v>
      </c>
      <c r="N516" t="s">
        <v>1630</v>
      </c>
      <c r="O516" s="4">
        <v>45678.6188773148</v>
      </c>
      <c r="P516" t="s">
        <v>57</v>
      </c>
      <c r="Q516" t="s">
        <v>97</v>
      </c>
      <c r="R516" t="s">
        <v>3538</v>
      </c>
      <c r="T516" t="s">
        <v>57</v>
      </c>
    </row>
    <row r="517" ht="25.5" customHeight="1" spans="1:20">
      <c r="A517" t="s">
        <v>2730</v>
      </c>
      <c r="B517" t="s">
        <v>56</v>
      </c>
      <c r="C517" t="s">
        <v>3536</v>
      </c>
      <c r="D517" s="3"/>
      <c r="E517" s="2">
        <v>45679</v>
      </c>
      <c r="F517">
        <v>94900</v>
      </c>
      <c r="G517">
        <v>8772</v>
      </c>
      <c r="H517">
        <v>617</v>
      </c>
      <c r="I517">
        <v>7</v>
      </c>
      <c r="J517">
        <v>374</v>
      </c>
      <c r="K517">
        <v>65</v>
      </c>
      <c r="L517" t="s">
        <v>3317</v>
      </c>
      <c r="M517" t="s">
        <v>3249</v>
      </c>
      <c r="N517" t="s">
        <v>1630</v>
      </c>
      <c r="O517" s="4">
        <v>45679.6874074074</v>
      </c>
      <c r="P517" t="s">
        <v>57</v>
      </c>
      <c r="Q517" t="s">
        <v>97</v>
      </c>
      <c r="R517" t="s">
        <v>3539</v>
      </c>
      <c r="T517" t="s">
        <v>57</v>
      </c>
    </row>
    <row r="518" ht="25.5" customHeight="1" spans="1:20">
      <c r="A518" t="s">
        <v>2730</v>
      </c>
      <c r="B518" t="s">
        <v>56</v>
      </c>
      <c r="C518" t="s">
        <v>3536</v>
      </c>
      <c r="D518" s="3"/>
      <c r="E518" s="2">
        <v>45680</v>
      </c>
      <c r="F518">
        <v>95000</v>
      </c>
      <c r="G518">
        <v>9233</v>
      </c>
      <c r="H518">
        <v>637</v>
      </c>
      <c r="I518">
        <v>7</v>
      </c>
      <c r="J518">
        <v>391</v>
      </c>
      <c r="K518">
        <v>71</v>
      </c>
      <c r="L518" t="s">
        <v>3317</v>
      </c>
      <c r="M518" t="s">
        <v>3249</v>
      </c>
      <c r="N518" t="s">
        <v>1630</v>
      </c>
      <c r="O518" s="4">
        <v>45680.6400231481</v>
      </c>
      <c r="P518" t="s">
        <v>57</v>
      </c>
      <c r="Q518" t="s">
        <v>97</v>
      </c>
      <c r="R518" t="s">
        <v>3540</v>
      </c>
      <c r="T518" t="s">
        <v>57</v>
      </c>
    </row>
    <row r="519" ht="25.5" customHeight="1" spans="1:20">
      <c r="A519" t="s">
        <v>2730</v>
      </c>
      <c r="B519" t="s">
        <v>56</v>
      </c>
      <c r="C519" t="s">
        <v>3536</v>
      </c>
      <c r="D519" s="3"/>
      <c r="E519" s="2">
        <v>45681</v>
      </c>
      <c r="F519">
        <v>95100</v>
      </c>
      <c r="G519">
        <v>9792</v>
      </c>
      <c r="H519">
        <v>658</v>
      </c>
      <c r="I519">
        <v>7</v>
      </c>
      <c r="J519">
        <v>404</v>
      </c>
      <c r="K519">
        <v>81</v>
      </c>
      <c r="L519" t="s">
        <v>3317</v>
      </c>
      <c r="M519" t="s">
        <v>3249</v>
      </c>
      <c r="N519" t="s">
        <v>1630</v>
      </c>
      <c r="O519" s="4">
        <v>45681.6010532407</v>
      </c>
      <c r="P519" t="s">
        <v>57</v>
      </c>
      <c r="Q519" t="s">
        <v>97</v>
      </c>
      <c r="R519" t="s">
        <v>3541</v>
      </c>
      <c r="T519" t="s">
        <v>57</v>
      </c>
    </row>
    <row r="520" ht="25.5" customHeight="1" spans="1:20">
      <c r="A520" t="s">
        <v>2730</v>
      </c>
      <c r="B520" t="s">
        <v>56</v>
      </c>
      <c r="C520" t="s">
        <v>3536</v>
      </c>
      <c r="D520" s="3"/>
      <c r="E520" s="2">
        <v>45683</v>
      </c>
      <c r="F520">
        <v>95500</v>
      </c>
      <c r="G520">
        <v>10700</v>
      </c>
      <c r="H520">
        <v>707</v>
      </c>
      <c r="I520">
        <v>7</v>
      </c>
      <c r="J520">
        <v>439</v>
      </c>
      <c r="K520">
        <v>91</v>
      </c>
      <c r="L520" t="s">
        <v>3317</v>
      </c>
      <c r="M520" t="s">
        <v>3249</v>
      </c>
      <c r="N520" t="s">
        <v>1630</v>
      </c>
      <c r="O520" s="4">
        <v>45683.7582291667</v>
      </c>
      <c r="P520" t="s">
        <v>57</v>
      </c>
      <c r="Q520" t="s">
        <v>97</v>
      </c>
      <c r="R520" t="s">
        <v>3542</v>
      </c>
      <c r="T520" t="s">
        <v>57</v>
      </c>
    </row>
    <row r="521" ht="25.5" customHeight="1" spans="1:20">
      <c r="A521" t="s">
        <v>2730</v>
      </c>
      <c r="B521" t="s">
        <v>56</v>
      </c>
      <c r="C521" t="s">
        <v>3536</v>
      </c>
      <c r="D521" s="3"/>
      <c r="E521" s="2">
        <v>45684</v>
      </c>
      <c r="F521">
        <v>95700</v>
      </c>
      <c r="G521">
        <v>11400</v>
      </c>
      <c r="H521">
        <v>743</v>
      </c>
      <c r="I521">
        <v>8</v>
      </c>
      <c r="J521">
        <v>461</v>
      </c>
      <c r="K521">
        <v>98</v>
      </c>
      <c r="L521" t="s">
        <v>3248</v>
      </c>
      <c r="M521" t="s">
        <v>3249</v>
      </c>
      <c r="N521" t="s">
        <v>1630</v>
      </c>
      <c r="O521" s="4">
        <v>45684.8266203704</v>
      </c>
      <c r="P521" t="s">
        <v>57</v>
      </c>
      <c r="Q521" t="s">
        <v>97</v>
      </c>
      <c r="R521" t="s">
        <v>3543</v>
      </c>
      <c r="T521" t="s">
        <v>57</v>
      </c>
    </row>
    <row r="522" ht="25.5" customHeight="1" spans="1:20">
      <c r="A522" t="s">
        <v>2730</v>
      </c>
      <c r="B522" t="s">
        <v>56</v>
      </c>
      <c r="C522" t="s">
        <v>3536</v>
      </c>
      <c r="D522" s="3"/>
      <c r="E522" s="2">
        <v>45693</v>
      </c>
      <c r="F522">
        <v>96200</v>
      </c>
      <c r="G522">
        <v>15900</v>
      </c>
      <c r="H522">
        <v>989</v>
      </c>
      <c r="I522">
        <v>11</v>
      </c>
      <c r="J522">
        <v>646</v>
      </c>
      <c r="K522">
        <v>135</v>
      </c>
      <c r="L522" t="s">
        <v>3248</v>
      </c>
      <c r="M522" t="s">
        <v>3249</v>
      </c>
      <c r="N522" t="s">
        <v>1630</v>
      </c>
      <c r="O522" s="4">
        <v>45693.8000694444</v>
      </c>
      <c r="P522" t="s">
        <v>57</v>
      </c>
      <c r="Q522" t="s">
        <v>97</v>
      </c>
      <c r="R522" t="s">
        <v>3544</v>
      </c>
      <c r="T522" t="s">
        <v>57</v>
      </c>
    </row>
    <row r="523" ht="25.5" customHeight="1" spans="1:20">
      <c r="A523" t="s">
        <v>2730</v>
      </c>
      <c r="B523" t="s">
        <v>56</v>
      </c>
      <c r="C523" t="s">
        <v>3536</v>
      </c>
      <c r="D523" s="3"/>
      <c r="E523" s="2">
        <v>45694</v>
      </c>
      <c r="F523">
        <v>96200</v>
      </c>
      <c r="G523">
        <v>16200</v>
      </c>
      <c r="H523">
        <v>1007</v>
      </c>
      <c r="I523">
        <v>11</v>
      </c>
      <c r="J523">
        <v>658</v>
      </c>
      <c r="K523">
        <v>139</v>
      </c>
      <c r="L523" t="s">
        <v>3248</v>
      </c>
      <c r="M523" t="s">
        <v>3249</v>
      </c>
      <c r="N523" t="s">
        <v>1630</v>
      </c>
      <c r="O523" s="4">
        <v>45698.6216782407</v>
      </c>
      <c r="P523" t="s">
        <v>57</v>
      </c>
      <c r="Q523" t="s">
        <v>97</v>
      </c>
      <c r="R523" t="s">
        <v>3545</v>
      </c>
      <c r="S523" t="s">
        <v>3245</v>
      </c>
      <c r="T523" t="s">
        <v>57</v>
      </c>
    </row>
    <row r="524" ht="25.5" customHeight="1" spans="1:20">
      <c r="A524" t="s">
        <v>2730</v>
      </c>
      <c r="B524" t="s">
        <v>56</v>
      </c>
      <c r="C524" t="s">
        <v>3536</v>
      </c>
      <c r="D524" s="3"/>
      <c r="E524" s="2">
        <v>45695</v>
      </c>
      <c r="F524">
        <v>96300</v>
      </c>
      <c r="G524">
        <v>16800</v>
      </c>
      <c r="H524">
        <v>1035</v>
      </c>
      <c r="I524">
        <v>11</v>
      </c>
      <c r="J524">
        <v>680</v>
      </c>
      <c r="K524">
        <v>146</v>
      </c>
      <c r="L524" t="s">
        <v>3248</v>
      </c>
      <c r="M524" t="s">
        <v>3249</v>
      </c>
      <c r="N524" t="s">
        <v>1630</v>
      </c>
      <c r="O524" s="4">
        <v>45695.7089467593</v>
      </c>
      <c r="P524" t="s">
        <v>57</v>
      </c>
      <c r="Q524" t="s">
        <v>97</v>
      </c>
      <c r="R524" t="s">
        <v>3546</v>
      </c>
      <c r="T524" t="s">
        <v>57</v>
      </c>
    </row>
    <row r="525" ht="25.5" customHeight="1" spans="1:20">
      <c r="A525" t="s">
        <v>2730</v>
      </c>
      <c r="B525" t="s">
        <v>56</v>
      </c>
      <c r="C525" t="s">
        <v>3536</v>
      </c>
      <c r="D525" s="3"/>
      <c r="E525" s="2">
        <v>45696</v>
      </c>
      <c r="F525">
        <v>96300</v>
      </c>
      <c r="G525">
        <v>17000</v>
      </c>
      <c r="H525">
        <v>1045</v>
      </c>
      <c r="I525">
        <v>11</v>
      </c>
      <c r="J525">
        <v>688</v>
      </c>
      <c r="K525">
        <v>149</v>
      </c>
      <c r="L525" t="s">
        <v>3248</v>
      </c>
      <c r="M525" t="s">
        <v>3249</v>
      </c>
      <c r="N525" t="s">
        <v>1630</v>
      </c>
      <c r="O525" s="4">
        <v>45696.4330439815</v>
      </c>
      <c r="P525" t="s">
        <v>57</v>
      </c>
      <c r="Q525" t="s">
        <v>97</v>
      </c>
      <c r="R525" t="s">
        <v>3547</v>
      </c>
      <c r="T525" t="s">
        <v>57</v>
      </c>
    </row>
    <row r="526" ht="25.5" customHeight="1" spans="1:20">
      <c r="A526" t="s">
        <v>2499</v>
      </c>
      <c r="B526" t="s">
        <v>56</v>
      </c>
      <c r="C526" t="s">
        <v>3548</v>
      </c>
      <c r="D526" s="3"/>
      <c r="E526" s="2">
        <v>45674</v>
      </c>
      <c r="F526">
        <v>736500</v>
      </c>
      <c r="G526">
        <v>834</v>
      </c>
      <c r="H526">
        <v>69</v>
      </c>
      <c r="I526">
        <v>0</v>
      </c>
      <c r="J526">
        <v>15</v>
      </c>
      <c r="K526">
        <v>6</v>
      </c>
      <c r="L526" t="s">
        <v>3230</v>
      </c>
      <c r="M526" t="s">
        <v>3378</v>
      </c>
      <c r="N526" t="s">
        <v>1630</v>
      </c>
      <c r="O526" s="4">
        <v>45679.6883217593</v>
      </c>
      <c r="P526" t="s">
        <v>57</v>
      </c>
      <c r="Q526" t="s">
        <v>1652</v>
      </c>
      <c r="R526" t="s">
        <v>3549</v>
      </c>
      <c r="T526" t="s">
        <v>57</v>
      </c>
    </row>
    <row r="527" ht="25.5" customHeight="1" spans="1:20">
      <c r="A527" t="s">
        <v>2499</v>
      </c>
      <c r="B527" t="s">
        <v>56</v>
      </c>
      <c r="C527" t="s">
        <v>3548</v>
      </c>
      <c r="D527" s="3"/>
      <c r="E527" s="2">
        <v>45677</v>
      </c>
      <c r="F527">
        <v>736200</v>
      </c>
      <c r="G527">
        <v>2217</v>
      </c>
      <c r="H527">
        <v>149</v>
      </c>
      <c r="I527">
        <v>1</v>
      </c>
      <c r="J527">
        <v>32</v>
      </c>
      <c r="K527">
        <v>34</v>
      </c>
      <c r="L527" t="s">
        <v>3317</v>
      </c>
      <c r="M527" t="s">
        <v>3378</v>
      </c>
      <c r="N527" t="s">
        <v>1630</v>
      </c>
      <c r="O527" s="4">
        <v>45677.4229166667</v>
      </c>
      <c r="P527" t="s">
        <v>57</v>
      </c>
      <c r="Q527" t="s">
        <v>1652</v>
      </c>
      <c r="R527" t="s">
        <v>3320</v>
      </c>
      <c r="T527" t="s">
        <v>57</v>
      </c>
    </row>
    <row r="528" ht="25.5" customHeight="1" spans="1:20">
      <c r="A528" t="s">
        <v>2499</v>
      </c>
      <c r="B528" t="s">
        <v>56</v>
      </c>
      <c r="C528" t="s">
        <v>3548</v>
      </c>
      <c r="D528" s="3"/>
      <c r="E528" s="2">
        <v>45678</v>
      </c>
      <c r="F528">
        <v>736100</v>
      </c>
      <c r="G528">
        <v>2463</v>
      </c>
      <c r="H528">
        <v>157</v>
      </c>
      <c r="I528">
        <v>1</v>
      </c>
      <c r="J528">
        <v>34</v>
      </c>
      <c r="K528">
        <v>35</v>
      </c>
      <c r="L528" t="s">
        <v>3317</v>
      </c>
      <c r="M528" t="s">
        <v>3378</v>
      </c>
      <c r="N528" t="s">
        <v>1630</v>
      </c>
      <c r="O528" s="4">
        <v>45678.6191203704</v>
      </c>
      <c r="P528" t="s">
        <v>57</v>
      </c>
      <c r="Q528" t="s">
        <v>1652</v>
      </c>
      <c r="R528" t="s">
        <v>3401</v>
      </c>
      <c r="T528" t="s">
        <v>57</v>
      </c>
    </row>
    <row r="529" ht="25.5" customHeight="1" spans="1:20">
      <c r="A529" t="s">
        <v>2499</v>
      </c>
      <c r="B529" t="s">
        <v>56</v>
      </c>
      <c r="C529" t="s">
        <v>3548</v>
      </c>
      <c r="D529" s="3"/>
      <c r="E529" s="2">
        <v>45679</v>
      </c>
      <c r="F529">
        <v>736000</v>
      </c>
      <c r="G529">
        <v>2559</v>
      </c>
      <c r="H529">
        <v>163</v>
      </c>
      <c r="I529">
        <v>1</v>
      </c>
      <c r="J529">
        <v>36</v>
      </c>
      <c r="K529">
        <v>35</v>
      </c>
      <c r="L529" t="s">
        <v>3317</v>
      </c>
      <c r="M529" t="s">
        <v>3378</v>
      </c>
      <c r="N529" t="s">
        <v>1630</v>
      </c>
      <c r="O529" s="4">
        <v>45679.6876388889</v>
      </c>
      <c r="P529" t="s">
        <v>57</v>
      </c>
      <c r="Q529" t="s">
        <v>1652</v>
      </c>
      <c r="R529" t="s">
        <v>3403</v>
      </c>
      <c r="T529" t="s">
        <v>57</v>
      </c>
    </row>
    <row r="530" ht="25.5" customHeight="1" spans="1:20">
      <c r="A530" t="s">
        <v>2499</v>
      </c>
      <c r="B530" t="s">
        <v>56</v>
      </c>
      <c r="C530" t="s">
        <v>3548</v>
      </c>
      <c r="D530" s="3"/>
      <c r="E530" s="2">
        <v>45680</v>
      </c>
      <c r="F530">
        <v>735900</v>
      </c>
      <c r="G530">
        <v>2641</v>
      </c>
      <c r="H530">
        <v>165</v>
      </c>
      <c r="I530">
        <v>1</v>
      </c>
      <c r="J530">
        <v>36</v>
      </c>
      <c r="K530">
        <v>35</v>
      </c>
      <c r="L530" t="s">
        <v>3317</v>
      </c>
      <c r="M530" t="s">
        <v>3378</v>
      </c>
      <c r="N530" t="s">
        <v>1630</v>
      </c>
      <c r="O530" s="4">
        <v>45680.6402430556</v>
      </c>
      <c r="P530" t="s">
        <v>57</v>
      </c>
      <c r="Q530" t="s">
        <v>1652</v>
      </c>
      <c r="R530" t="s">
        <v>3402</v>
      </c>
      <c r="T530" t="s">
        <v>57</v>
      </c>
    </row>
    <row r="531" ht="25.5" customHeight="1" spans="1:20">
      <c r="A531" t="s">
        <v>2499</v>
      </c>
      <c r="B531" t="s">
        <v>56</v>
      </c>
      <c r="C531" t="s">
        <v>3548</v>
      </c>
      <c r="D531" s="3"/>
      <c r="E531" s="2">
        <v>45681</v>
      </c>
      <c r="F531">
        <v>735800</v>
      </c>
      <c r="G531">
        <v>2781</v>
      </c>
      <c r="H531">
        <v>173</v>
      </c>
      <c r="I531">
        <v>1</v>
      </c>
      <c r="J531">
        <v>39</v>
      </c>
      <c r="K531">
        <v>37</v>
      </c>
      <c r="L531" t="s">
        <v>3317</v>
      </c>
      <c r="M531" t="s">
        <v>3378</v>
      </c>
      <c r="N531" t="s">
        <v>1630</v>
      </c>
      <c r="O531" s="4">
        <v>45681.6012615741</v>
      </c>
      <c r="P531" t="s">
        <v>57</v>
      </c>
      <c r="Q531" t="s">
        <v>1652</v>
      </c>
      <c r="R531" t="s">
        <v>3550</v>
      </c>
      <c r="T531" t="s">
        <v>57</v>
      </c>
    </row>
    <row r="532" ht="25.5" customHeight="1" spans="1:20">
      <c r="A532" t="s">
        <v>2499</v>
      </c>
      <c r="B532" t="s">
        <v>56</v>
      </c>
      <c r="C532" t="s">
        <v>3548</v>
      </c>
      <c r="D532" s="3"/>
      <c r="E532" s="2">
        <v>45683</v>
      </c>
      <c r="F532">
        <v>735600</v>
      </c>
      <c r="G532">
        <v>2956</v>
      </c>
      <c r="H532">
        <v>179</v>
      </c>
      <c r="I532">
        <v>1</v>
      </c>
      <c r="J532">
        <v>40</v>
      </c>
      <c r="K532">
        <v>37</v>
      </c>
      <c r="L532" t="s">
        <v>3248</v>
      </c>
      <c r="M532" t="s">
        <v>3378</v>
      </c>
      <c r="N532" t="s">
        <v>1630</v>
      </c>
      <c r="O532" s="4">
        <v>45683.7584722222</v>
      </c>
      <c r="P532" t="s">
        <v>57</v>
      </c>
      <c r="Q532" t="s">
        <v>1652</v>
      </c>
      <c r="R532" t="s">
        <v>3551</v>
      </c>
      <c r="T532" t="s">
        <v>57</v>
      </c>
    </row>
    <row r="533" ht="25.5" customHeight="1" spans="1:20">
      <c r="A533" t="s">
        <v>2499</v>
      </c>
      <c r="B533" t="s">
        <v>56</v>
      </c>
      <c r="C533" t="s">
        <v>3548</v>
      </c>
      <c r="D533" s="3"/>
      <c r="E533" s="2">
        <v>45684</v>
      </c>
      <c r="F533">
        <v>735500</v>
      </c>
      <c r="G533">
        <v>3025</v>
      </c>
      <c r="H533">
        <v>182</v>
      </c>
      <c r="I533">
        <v>1</v>
      </c>
      <c r="J533">
        <v>40</v>
      </c>
      <c r="K533">
        <v>39</v>
      </c>
      <c r="L533" t="s">
        <v>3248</v>
      </c>
      <c r="M533" t="s">
        <v>3378</v>
      </c>
      <c r="N533" t="s">
        <v>1630</v>
      </c>
      <c r="O533" s="4">
        <v>45684.8268402778</v>
      </c>
      <c r="P533" t="s">
        <v>57</v>
      </c>
      <c r="Q533" t="s">
        <v>1652</v>
      </c>
      <c r="R533" t="s">
        <v>3552</v>
      </c>
      <c r="T533" t="s">
        <v>57</v>
      </c>
    </row>
    <row r="534" ht="25.5" customHeight="1" spans="1:20">
      <c r="A534" t="s">
        <v>2499</v>
      </c>
      <c r="B534" t="s">
        <v>56</v>
      </c>
      <c r="C534" t="s">
        <v>3548</v>
      </c>
      <c r="D534" s="3"/>
      <c r="E534" s="2">
        <v>45693</v>
      </c>
      <c r="F534">
        <v>734700</v>
      </c>
      <c r="G534">
        <v>3503</v>
      </c>
      <c r="H534">
        <v>195</v>
      </c>
      <c r="I534">
        <v>1</v>
      </c>
      <c r="J534">
        <v>43</v>
      </c>
      <c r="K534">
        <v>39</v>
      </c>
      <c r="L534" t="s">
        <v>3248</v>
      </c>
      <c r="M534" t="s">
        <v>3378</v>
      </c>
      <c r="N534" t="s">
        <v>1630</v>
      </c>
      <c r="O534" s="4">
        <v>45693.8002546296</v>
      </c>
      <c r="P534" t="s">
        <v>57</v>
      </c>
      <c r="Q534" t="s">
        <v>1652</v>
      </c>
      <c r="R534" t="s">
        <v>3553</v>
      </c>
      <c r="T534" t="s">
        <v>57</v>
      </c>
    </row>
    <row r="535" ht="25.5" customHeight="1" spans="1:20">
      <c r="A535" t="s">
        <v>2499</v>
      </c>
      <c r="B535" t="s">
        <v>56</v>
      </c>
      <c r="C535" t="s">
        <v>3548</v>
      </c>
      <c r="D535" s="3"/>
      <c r="E535" s="2">
        <v>45694</v>
      </c>
      <c r="F535">
        <v>734700</v>
      </c>
      <c r="G535">
        <v>3524</v>
      </c>
      <c r="H535">
        <v>195</v>
      </c>
      <c r="I535">
        <v>1</v>
      </c>
      <c r="J535">
        <v>43</v>
      </c>
      <c r="K535">
        <v>39</v>
      </c>
      <c r="L535" t="s">
        <v>3248</v>
      </c>
      <c r="M535" t="s">
        <v>3378</v>
      </c>
      <c r="N535" t="s">
        <v>1630</v>
      </c>
      <c r="O535" s="4">
        <v>45698.6216782407</v>
      </c>
      <c r="P535" t="s">
        <v>57</v>
      </c>
      <c r="Q535" t="s">
        <v>1652</v>
      </c>
      <c r="R535" t="s">
        <v>3553</v>
      </c>
      <c r="S535" t="s">
        <v>3169</v>
      </c>
      <c r="T535" t="s">
        <v>57</v>
      </c>
    </row>
    <row r="536" ht="25.5" customHeight="1" spans="1:20">
      <c r="A536" t="s">
        <v>2499</v>
      </c>
      <c r="B536" t="s">
        <v>56</v>
      </c>
      <c r="C536" t="s">
        <v>3548</v>
      </c>
      <c r="D536" s="3"/>
      <c r="E536" s="2">
        <v>45695</v>
      </c>
      <c r="F536">
        <v>734600</v>
      </c>
      <c r="G536">
        <v>3572</v>
      </c>
      <c r="H536">
        <v>196</v>
      </c>
      <c r="I536">
        <v>1</v>
      </c>
      <c r="J536">
        <v>44</v>
      </c>
      <c r="K536">
        <v>39</v>
      </c>
      <c r="L536" t="s">
        <v>3248</v>
      </c>
      <c r="M536" t="s">
        <v>3378</v>
      </c>
      <c r="N536" t="s">
        <v>1630</v>
      </c>
      <c r="O536" s="4">
        <v>45695.7092013889</v>
      </c>
      <c r="P536" t="s">
        <v>57</v>
      </c>
      <c r="Q536" t="s">
        <v>1652</v>
      </c>
      <c r="R536" t="s">
        <v>3554</v>
      </c>
      <c r="T536" t="s">
        <v>57</v>
      </c>
    </row>
    <row r="537" ht="25.5" customHeight="1" spans="1:20">
      <c r="A537" t="s">
        <v>2499</v>
      </c>
      <c r="B537" t="s">
        <v>56</v>
      </c>
      <c r="C537" t="s">
        <v>3548</v>
      </c>
      <c r="D537" s="3"/>
      <c r="E537" s="2">
        <v>45696</v>
      </c>
      <c r="F537">
        <v>734500</v>
      </c>
      <c r="G537">
        <v>3589</v>
      </c>
      <c r="H537">
        <v>198</v>
      </c>
      <c r="I537">
        <v>1</v>
      </c>
      <c r="J537">
        <v>44</v>
      </c>
      <c r="K537">
        <v>39</v>
      </c>
      <c r="L537" t="s">
        <v>3248</v>
      </c>
      <c r="M537" t="s">
        <v>3378</v>
      </c>
      <c r="N537" t="s">
        <v>1630</v>
      </c>
      <c r="O537" s="4">
        <v>45696.4332407407</v>
      </c>
      <c r="P537" t="s">
        <v>57</v>
      </c>
      <c r="Q537" t="s">
        <v>1652</v>
      </c>
      <c r="R537" t="s">
        <v>3555</v>
      </c>
      <c r="T537" t="s">
        <v>57</v>
      </c>
    </row>
    <row r="538" ht="25.5" customHeight="1" spans="1:20">
      <c r="A538" t="s">
        <v>3003</v>
      </c>
      <c r="B538" t="s">
        <v>56</v>
      </c>
      <c r="D538" s="3"/>
      <c r="E538" s="2"/>
      <c r="M538" t="s">
        <v>3485</v>
      </c>
      <c r="N538" t="s">
        <v>1645</v>
      </c>
      <c r="O538" s="4">
        <v>45670.743587963</v>
      </c>
      <c r="P538" t="s">
        <v>57</v>
      </c>
      <c r="R538" t="s">
        <v>3133</v>
      </c>
      <c r="T538" t="s">
        <v>57</v>
      </c>
    </row>
    <row r="539" ht="25.5" customHeight="1" spans="1:20">
      <c r="A539" t="s">
        <v>3025</v>
      </c>
      <c r="B539" t="s">
        <v>56</v>
      </c>
      <c r="D539" s="3"/>
      <c r="E539" s="2"/>
      <c r="M539" t="s">
        <v>3485</v>
      </c>
      <c r="N539" t="s">
        <v>1645</v>
      </c>
      <c r="O539" s="4">
        <v>45670.743587963</v>
      </c>
      <c r="P539" t="s">
        <v>57</v>
      </c>
      <c r="R539" t="s">
        <v>3133</v>
      </c>
      <c r="T539" t="s">
        <v>57</v>
      </c>
    </row>
    <row r="540" ht="25.5" customHeight="1" spans="1:20">
      <c r="A540" t="s">
        <v>3090</v>
      </c>
      <c r="B540" t="s">
        <v>56</v>
      </c>
      <c r="C540" t="s">
        <v>3556</v>
      </c>
      <c r="D540" s="3" t="str">
        <f>HYPERLINK("https://www.tiktok.com/@ell.nikola/video/7460710957422087429?is_from_webapp=1&amp;sender_device=pc&amp;web_id=7446609952652690990","https://www.tiktok.com/@ell.nikola/video/7460710957422087429?is_from_webapp=1&amp;sender_device=pc&amp;web_id=7446609952652690990")</f>
        <v>https://www.tiktok.com/@ell.nikola/video/7460710957422087429?is_from_webapp=1&amp;sender_device=pc&amp;web_id=7446609952652690990</v>
      </c>
      <c r="E540" s="2">
        <v>45674</v>
      </c>
      <c r="F540">
        <v>921900</v>
      </c>
      <c r="G540">
        <v>638</v>
      </c>
      <c r="H540">
        <v>20</v>
      </c>
      <c r="I540">
        <v>0</v>
      </c>
      <c r="J540">
        <v>5</v>
      </c>
      <c r="K540">
        <v>0</v>
      </c>
      <c r="L540" t="s">
        <v>3284</v>
      </c>
      <c r="N540" t="s">
        <v>1630</v>
      </c>
      <c r="O540" s="4">
        <v>45677.4241782407</v>
      </c>
      <c r="P540" t="s">
        <v>57</v>
      </c>
      <c r="Q540" t="s">
        <v>1652</v>
      </c>
      <c r="R540" t="s">
        <v>3557</v>
      </c>
      <c r="T540" t="s">
        <v>57</v>
      </c>
    </row>
    <row r="541" ht="25.5" customHeight="1" spans="1:20">
      <c r="A541" t="s">
        <v>3090</v>
      </c>
      <c r="B541" t="s">
        <v>56</v>
      </c>
      <c r="C541" t="s">
        <v>3556</v>
      </c>
      <c r="D541" s="3"/>
      <c r="E541" s="2">
        <v>45677</v>
      </c>
      <c r="F541">
        <v>921600</v>
      </c>
      <c r="G541">
        <v>1364</v>
      </c>
      <c r="H541">
        <v>53</v>
      </c>
      <c r="I541">
        <v>1</v>
      </c>
      <c r="J541">
        <v>12</v>
      </c>
      <c r="K541">
        <v>2</v>
      </c>
      <c r="L541" t="s">
        <v>3208</v>
      </c>
      <c r="N541" t="s">
        <v>1630</v>
      </c>
      <c r="O541" s="4">
        <v>45677.4238657407</v>
      </c>
      <c r="P541" t="s">
        <v>57</v>
      </c>
      <c r="Q541" t="s">
        <v>1652</v>
      </c>
      <c r="R541" t="s">
        <v>3558</v>
      </c>
      <c r="T541" t="s">
        <v>57</v>
      </c>
    </row>
    <row r="542" ht="25.5" customHeight="1" spans="1:20">
      <c r="A542" t="s">
        <v>3090</v>
      </c>
      <c r="B542" t="s">
        <v>56</v>
      </c>
      <c r="C542" t="s">
        <v>3556</v>
      </c>
      <c r="D542" s="3"/>
      <c r="E542" s="2">
        <v>45678</v>
      </c>
      <c r="F542">
        <v>921500</v>
      </c>
      <c r="G542">
        <v>1700</v>
      </c>
      <c r="H542">
        <v>65</v>
      </c>
      <c r="I542">
        <v>1</v>
      </c>
      <c r="J542">
        <v>13</v>
      </c>
      <c r="K542">
        <v>2</v>
      </c>
      <c r="L542" t="s">
        <v>3208</v>
      </c>
      <c r="N542" t="s">
        <v>1630</v>
      </c>
      <c r="O542" s="4">
        <v>45678.6195717593</v>
      </c>
      <c r="P542" t="s">
        <v>57</v>
      </c>
      <c r="Q542" t="s">
        <v>1652</v>
      </c>
      <c r="R542" t="s">
        <v>3559</v>
      </c>
      <c r="T542" t="s">
        <v>57</v>
      </c>
    </row>
    <row r="543" ht="25.5" customHeight="1" spans="1:20">
      <c r="A543" t="s">
        <v>3090</v>
      </c>
      <c r="B543" t="s">
        <v>56</v>
      </c>
      <c r="C543" t="s">
        <v>3556</v>
      </c>
      <c r="D543" s="3"/>
      <c r="E543" s="2">
        <v>45679</v>
      </c>
      <c r="F543">
        <v>921300</v>
      </c>
      <c r="G543">
        <v>1840</v>
      </c>
      <c r="H543">
        <v>71</v>
      </c>
      <c r="I543">
        <v>1</v>
      </c>
      <c r="J543">
        <v>15</v>
      </c>
      <c r="K543">
        <v>5</v>
      </c>
      <c r="L543" t="s">
        <v>3208</v>
      </c>
      <c r="N543" t="s">
        <v>1630</v>
      </c>
      <c r="O543" s="4">
        <v>45679.6883680556</v>
      </c>
      <c r="P543" t="s">
        <v>57</v>
      </c>
      <c r="Q543" t="s">
        <v>1652</v>
      </c>
      <c r="R543" t="s">
        <v>3340</v>
      </c>
      <c r="T543" t="s">
        <v>57</v>
      </c>
    </row>
    <row r="544" ht="25.5" customHeight="1" spans="1:20">
      <c r="A544" t="s">
        <v>3090</v>
      </c>
      <c r="B544" t="s">
        <v>56</v>
      </c>
      <c r="C544" t="s">
        <v>3556</v>
      </c>
      <c r="D544" s="3"/>
      <c r="E544" s="2">
        <v>45680</v>
      </c>
      <c r="F544">
        <v>921200</v>
      </c>
      <c r="G544">
        <v>1947</v>
      </c>
      <c r="H544">
        <v>72</v>
      </c>
      <c r="I544">
        <v>1</v>
      </c>
      <c r="J544">
        <v>15</v>
      </c>
      <c r="K544">
        <v>5</v>
      </c>
      <c r="L544" t="s">
        <v>3208</v>
      </c>
      <c r="N544" t="s">
        <v>1630</v>
      </c>
      <c r="O544" s="4">
        <v>45680.6409606481</v>
      </c>
      <c r="P544" t="s">
        <v>57</v>
      </c>
      <c r="Q544" t="s">
        <v>1652</v>
      </c>
      <c r="R544" t="s">
        <v>3523</v>
      </c>
      <c r="T544" t="s">
        <v>57</v>
      </c>
    </row>
    <row r="545" ht="25.5" customHeight="1" spans="1:20">
      <c r="A545" t="s">
        <v>3090</v>
      </c>
      <c r="B545" t="s">
        <v>56</v>
      </c>
      <c r="C545" t="s">
        <v>3556</v>
      </c>
      <c r="D545" s="3"/>
      <c r="E545" s="2">
        <v>45681</v>
      </c>
      <c r="F545">
        <v>921100</v>
      </c>
      <c r="G545">
        <v>2068</v>
      </c>
      <c r="H545">
        <v>78</v>
      </c>
      <c r="I545">
        <v>1</v>
      </c>
      <c r="J545">
        <v>15</v>
      </c>
      <c r="K545">
        <v>5</v>
      </c>
      <c r="L545" t="s">
        <v>3208</v>
      </c>
      <c r="N545" t="s">
        <v>1630</v>
      </c>
      <c r="O545" s="4">
        <v>45681.6021875</v>
      </c>
      <c r="P545" t="s">
        <v>57</v>
      </c>
      <c r="Q545" t="s">
        <v>1652</v>
      </c>
      <c r="R545" t="s">
        <v>3560</v>
      </c>
      <c r="T545" t="s">
        <v>57</v>
      </c>
    </row>
    <row r="546" ht="25.5" customHeight="1" spans="1:20">
      <c r="A546" t="s">
        <v>3090</v>
      </c>
      <c r="B546" t="s">
        <v>56</v>
      </c>
      <c r="C546" t="s">
        <v>3556</v>
      </c>
      <c r="D546" s="3"/>
      <c r="E546" s="2">
        <v>45683</v>
      </c>
      <c r="F546">
        <v>920900</v>
      </c>
      <c r="G546">
        <v>2240</v>
      </c>
      <c r="H546">
        <v>81</v>
      </c>
      <c r="I546">
        <v>1</v>
      </c>
      <c r="J546">
        <v>15</v>
      </c>
      <c r="K546">
        <v>6</v>
      </c>
      <c r="L546" t="s">
        <v>3208</v>
      </c>
      <c r="N546" t="s">
        <v>1630</v>
      </c>
      <c r="O546" s="4">
        <v>45683.758912037</v>
      </c>
      <c r="P546" t="s">
        <v>57</v>
      </c>
      <c r="Q546" t="s">
        <v>1652</v>
      </c>
      <c r="R546" t="s">
        <v>3561</v>
      </c>
      <c r="T546" t="s">
        <v>57</v>
      </c>
    </row>
    <row r="547" ht="25.5" customHeight="1" spans="1:20">
      <c r="A547" t="s">
        <v>3090</v>
      </c>
      <c r="B547" t="s">
        <v>56</v>
      </c>
      <c r="C547" t="s">
        <v>3556</v>
      </c>
      <c r="D547" s="3"/>
      <c r="E547" s="2">
        <v>45684</v>
      </c>
      <c r="F547">
        <v>920800</v>
      </c>
      <c r="G547">
        <v>2397</v>
      </c>
      <c r="H547">
        <v>88</v>
      </c>
      <c r="I547">
        <v>1</v>
      </c>
      <c r="J547">
        <v>20</v>
      </c>
      <c r="K547">
        <v>6</v>
      </c>
      <c r="L547" t="s">
        <v>3208</v>
      </c>
      <c r="N547" t="s">
        <v>1630</v>
      </c>
      <c r="O547" s="4">
        <v>45684.8275</v>
      </c>
      <c r="P547" t="s">
        <v>57</v>
      </c>
      <c r="Q547" t="s">
        <v>1652</v>
      </c>
      <c r="R547" t="s">
        <v>3250</v>
      </c>
      <c r="T547" t="s">
        <v>57</v>
      </c>
    </row>
    <row r="548" ht="25.5" customHeight="1" spans="1:20">
      <c r="A548" t="s">
        <v>3090</v>
      </c>
      <c r="B548" t="s">
        <v>56</v>
      </c>
      <c r="C548" t="s">
        <v>3556</v>
      </c>
      <c r="D548" s="3" t="str">
        <f>HYPERLINK("https://www.tiktok.com/@ell.nikola/video/7460710957422087429?is_from_webapp=1&amp;sender_device=pc&amp;web_id=7446609952652690990","https://www.tiktok.com/@ell.nikola/video/7460710957422087429?is_from_webapp=1&amp;sender_device=pc&amp;web_id=7446609952652690990")</f>
        <v>https://www.tiktok.com/@ell.nikola/video/7460710957422087429?is_from_webapp=1&amp;sender_device=pc&amp;web_id=7446609952652690990</v>
      </c>
      <c r="E548" s="2">
        <v>45693</v>
      </c>
      <c r="F548">
        <v>919800</v>
      </c>
      <c r="G548">
        <v>3722</v>
      </c>
      <c r="H548">
        <v>117</v>
      </c>
      <c r="I548">
        <v>2</v>
      </c>
      <c r="J548">
        <v>29</v>
      </c>
      <c r="K548">
        <v>11</v>
      </c>
      <c r="L548" t="s">
        <v>3284</v>
      </c>
      <c r="N548" t="s">
        <v>1630</v>
      </c>
      <c r="O548" s="4">
        <v>45694.4804513889</v>
      </c>
      <c r="P548" t="s">
        <v>57</v>
      </c>
      <c r="Q548" t="s">
        <v>1652</v>
      </c>
      <c r="R548" t="s">
        <v>3562</v>
      </c>
      <c r="T548" t="s">
        <v>57</v>
      </c>
    </row>
    <row r="549" ht="25.5" customHeight="1" spans="1:20">
      <c r="A549" t="s">
        <v>3090</v>
      </c>
      <c r="B549" t="s">
        <v>56</v>
      </c>
      <c r="C549" t="s">
        <v>3556</v>
      </c>
      <c r="D549" s="3"/>
      <c r="E549" s="2">
        <v>45694</v>
      </c>
      <c r="F549">
        <v>919700</v>
      </c>
      <c r="G549">
        <v>3833</v>
      </c>
      <c r="H549">
        <v>118</v>
      </c>
      <c r="I549">
        <v>2</v>
      </c>
      <c r="J549">
        <v>30</v>
      </c>
      <c r="K549">
        <v>13</v>
      </c>
      <c r="L549" t="s">
        <v>3284</v>
      </c>
      <c r="N549" t="s">
        <v>1630</v>
      </c>
      <c r="O549" s="4">
        <v>45698.6216782407</v>
      </c>
      <c r="P549" t="s">
        <v>57</v>
      </c>
      <c r="Q549" t="s">
        <v>1652</v>
      </c>
      <c r="R549" t="s">
        <v>3563</v>
      </c>
      <c r="S549" t="s">
        <v>3169</v>
      </c>
      <c r="T549" t="s">
        <v>57</v>
      </c>
    </row>
    <row r="550" ht="25.5" customHeight="1" spans="1:20">
      <c r="A550" t="s">
        <v>3090</v>
      </c>
      <c r="B550" t="s">
        <v>56</v>
      </c>
      <c r="C550" t="s">
        <v>3556</v>
      </c>
      <c r="D550" s="3"/>
      <c r="E550" s="2">
        <v>45695</v>
      </c>
      <c r="F550">
        <v>919700</v>
      </c>
      <c r="G550">
        <v>3833</v>
      </c>
      <c r="H550">
        <v>118</v>
      </c>
      <c r="I550">
        <v>2</v>
      </c>
      <c r="J550">
        <v>30</v>
      </c>
      <c r="K550">
        <v>13</v>
      </c>
      <c r="L550" t="s">
        <v>3284</v>
      </c>
      <c r="N550" t="s">
        <v>1630</v>
      </c>
      <c r="O550" s="4">
        <v>45695.7094097222</v>
      </c>
      <c r="P550" t="s">
        <v>57</v>
      </c>
      <c r="Q550" t="s">
        <v>1652</v>
      </c>
      <c r="R550" t="s">
        <v>3563</v>
      </c>
      <c r="T550" t="s">
        <v>57</v>
      </c>
    </row>
    <row r="551" ht="25.5" customHeight="1" spans="1:20">
      <c r="A551" t="s">
        <v>3090</v>
      </c>
      <c r="B551" t="s">
        <v>56</v>
      </c>
      <c r="C551" t="s">
        <v>3556</v>
      </c>
      <c r="D551" s="3"/>
      <c r="E551" s="2">
        <v>45696</v>
      </c>
      <c r="F551">
        <v>919600</v>
      </c>
      <c r="G551">
        <v>3971</v>
      </c>
      <c r="H551">
        <v>121</v>
      </c>
      <c r="I551">
        <v>2</v>
      </c>
      <c r="J551">
        <v>31</v>
      </c>
      <c r="K551">
        <v>14</v>
      </c>
      <c r="L551" t="s">
        <v>3284</v>
      </c>
      <c r="N551" t="s">
        <v>1630</v>
      </c>
      <c r="O551" s="4">
        <v>45696.3902893519</v>
      </c>
      <c r="P551" t="s">
        <v>57</v>
      </c>
      <c r="Q551" t="s">
        <v>1652</v>
      </c>
      <c r="R551" t="s">
        <v>3329</v>
      </c>
      <c r="T551" t="s">
        <v>57</v>
      </c>
    </row>
    <row r="552" ht="25.5" customHeight="1" spans="1:20">
      <c r="A552" t="s">
        <v>1751</v>
      </c>
      <c r="B552" t="s">
        <v>3564</v>
      </c>
      <c r="C552" t="s">
        <v>3565</v>
      </c>
      <c r="D552" s="3"/>
      <c r="E552" s="2">
        <v>45694</v>
      </c>
      <c r="G552">
        <v>55000</v>
      </c>
      <c r="H552">
        <v>5383</v>
      </c>
      <c r="I552">
        <v>15</v>
      </c>
      <c r="J552">
        <v>0</v>
      </c>
      <c r="K552">
        <v>0</v>
      </c>
      <c r="M552" t="s">
        <v>3566</v>
      </c>
      <c r="N552" t="s">
        <v>3277</v>
      </c>
      <c r="O552" s="4">
        <v>45699.403599537</v>
      </c>
      <c r="P552" t="s">
        <v>3567</v>
      </c>
      <c r="Q552" t="s">
        <v>3568</v>
      </c>
      <c r="R552" t="s">
        <v>3569</v>
      </c>
      <c r="T552" t="s">
        <v>3567</v>
      </c>
    </row>
    <row r="553" ht="25.5" customHeight="1" spans="1:20">
      <c r="A553" t="s">
        <v>1751</v>
      </c>
      <c r="B553" t="s">
        <v>3564</v>
      </c>
      <c r="C553" t="s">
        <v>3565</v>
      </c>
      <c r="D553" s="3"/>
      <c r="E553" s="2"/>
      <c r="H553">
        <v>5383</v>
      </c>
      <c r="I553">
        <v>15</v>
      </c>
      <c r="J553">
        <v>0</v>
      </c>
      <c r="K553">
        <v>0</v>
      </c>
      <c r="M553" t="s">
        <v>3566</v>
      </c>
      <c r="N553" t="s">
        <v>3277</v>
      </c>
      <c r="O553" s="4">
        <v>45699.4037268519</v>
      </c>
      <c r="P553" t="s">
        <v>3567</v>
      </c>
      <c r="Q553" t="s">
        <v>3568</v>
      </c>
      <c r="R553" t="s">
        <v>3569</v>
      </c>
      <c r="T553" t="s">
        <v>3567</v>
      </c>
    </row>
    <row r="554" ht="25.5" customHeight="1" spans="1:20">
      <c r="A554" t="s">
        <v>2694</v>
      </c>
      <c r="B554" t="s">
        <v>65</v>
      </c>
      <c r="C554" t="s">
        <v>3570</v>
      </c>
      <c r="D554" s="3" t="str">
        <f>HYPERLINK("https://www.instagram.com/eloiljf/reels/","https://www.instagram.com/eloiljf/reels/")</f>
        <v>https://www.instagram.com/eloiljf/reels/</v>
      </c>
      <c r="E554" s="2">
        <v>45664</v>
      </c>
      <c r="F554">
        <v>27800</v>
      </c>
      <c r="G554">
        <v>14300</v>
      </c>
      <c r="H554">
        <v>515</v>
      </c>
      <c r="I554">
        <v>24</v>
      </c>
      <c r="L554" t="s">
        <v>3281</v>
      </c>
      <c r="M554" t="s">
        <v>3249</v>
      </c>
      <c r="N554" t="s">
        <v>1630</v>
      </c>
      <c r="O554" s="4">
        <v>45671.6606712963</v>
      </c>
      <c r="P554" t="s">
        <v>116</v>
      </c>
      <c r="Q554" t="s">
        <v>1779</v>
      </c>
      <c r="R554" t="s">
        <v>3571</v>
      </c>
      <c r="T554" t="s">
        <v>116</v>
      </c>
    </row>
    <row r="555" ht="25.5" customHeight="1" spans="1:20">
      <c r="A555" t="s">
        <v>2694</v>
      </c>
      <c r="B555" t="s">
        <v>65</v>
      </c>
      <c r="C555" t="s">
        <v>3570</v>
      </c>
      <c r="D555" s="3"/>
      <c r="E555" s="2">
        <v>45670</v>
      </c>
      <c r="F555">
        <v>30600</v>
      </c>
      <c r="G555">
        <v>174000</v>
      </c>
      <c r="H555">
        <v>7917</v>
      </c>
      <c r="I555">
        <v>113</v>
      </c>
      <c r="L555" t="s">
        <v>3572</v>
      </c>
      <c r="M555" t="s">
        <v>3249</v>
      </c>
      <c r="N555" t="s">
        <v>1630</v>
      </c>
      <c r="O555" s="4">
        <v>45672.5030092593</v>
      </c>
      <c r="P555" t="s">
        <v>116</v>
      </c>
      <c r="Q555" t="s">
        <v>1779</v>
      </c>
      <c r="R555" t="s">
        <v>3573</v>
      </c>
      <c r="T555" t="s">
        <v>116</v>
      </c>
    </row>
    <row r="556" ht="25.5" customHeight="1" spans="1:20">
      <c r="A556" t="s">
        <v>2694</v>
      </c>
      <c r="B556" t="s">
        <v>65</v>
      </c>
      <c r="C556" t="s">
        <v>3570</v>
      </c>
      <c r="D556" s="3"/>
      <c r="E556" s="2">
        <v>45671</v>
      </c>
      <c r="F556">
        <v>30600</v>
      </c>
      <c r="G556">
        <v>188000</v>
      </c>
      <c r="H556">
        <v>7982</v>
      </c>
      <c r="I556">
        <v>115</v>
      </c>
      <c r="L556" t="s">
        <v>3572</v>
      </c>
      <c r="M556" t="s">
        <v>3249</v>
      </c>
      <c r="N556" t="s">
        <v>1630</v>
      </c>
      <c r="O556" s="4">
        <v>45672.5030092593</v>
      </c>
      <c r="P556" t="s">
        <v>116</v>
      </c>
      <c r="Q556" t="s">
        <v>1779</v>
      </c>
      <c r="R556" t="s">
        <v>3574</v>
      </c>
      <c r="T556" t="s">
        <v>116</v>
      </c>
    </row>
    <row r="557" ht="25.5" customHeight="1" spans="1:20">
      <c r="A557" t="s">
        <v>2694</v>
      </c>
      <c r="B557" t="s">
        <v>65</v>
      </c>
      <c r="C557" t="s">
        <v>3570</v>
      </c>
      <c r="D557" s="3"/>
      <c r="E557" s="2">
        <v>45672</v>
      </c>
      <c r="F557">
        <v>30800</v>
      </c>
      <c r="G557">
        <v>198000</v>
      </c>
      <c r="H557">
        <v>8398</v>
      </c>
      <c r="I557">
        <v>119</v>
      </c>
      <c r="L557" t="s">
        <v>3575</v>
      </c>
      <c r="M557" t="s">
        <v>3249</v>
      </c>
      <c r="N557" t="s">
        <v>1630</v>
      </c>
      <c r="O557" s="4">
        <v>45672.5050925926</v>
      </c>
      <c r="P557" t="s">
        <v>116</v>
      </c>
      <c r="Q557" t="s">
        <v>1779</v>
      </c>
      <c r="R557" t="s">
        <v>3576</v>
      </c>
      <c r="T557" t="s">
        <v>116</v>
      </c>
    </row>
    <row r="558" ht="25.5" customHeight="1" spans="1:20">
      <c r="A558" t="s">
        <v>2694</v>
      </c>
      <c r="B558" t="s">
        <v>65</v>
      </c>
      <c r="C558" t="s">
        <v>3570</v>
      </c>
      <c r="D558" s="3"/>
      <c r="E558" s="2">
        <v>45673</v>
      </c>
      <c r="F558">
        <v>31100</v>
      </c>
      <c r="G558">
        <v>206000</v>
      </c>
      <c r="H558">
        <v>8792</v>
      </c>
      <c r="I558">
        <v>122</v>
      </c>
      <c r="L558" t="s">
        <v>3577</v>
      </c>
      <c r="M558" t="s">
        <v>3249</v>
      </c>
      <c r="N558" t="s">
        <v>1630</v>
      </c>
      <c r="O558" s="4">
        <v>45673.487974537</v>
      </c>
      <c r="P558" t="s">
        <v>116</v>
      </c>
      <c r="Q558" t="s">
        <v>1779</v>
      </c>
      <c r="R558" t="s">
        <v>3578</v>
      </c>
      <c r="T558" t="s">
        <v>116</v>
      </c>
    </row>
    <row r="559" ht="25.5" customHeight="1" spans="1:20">
      <c r="A559" t="s">
        <v>2694</v>
      </c>
      <c r="B559" t="s">
        <v>65</v>
      </c>
      <c r="C559" t="s">
        <v>3570</v>
      </c>
      <c r="D559" s="3"/>
      <c r="E559" s="2">
        <v>45674</v>
      </c>
      <c r="F559">
        <v>31500</v>
      </c>
      <c r="G559">
        <v>214000</v>
      </c>
      <c r="H559">
        <v>9143</v>
      </c>
      <c r="I559">
        <v>130</v>
      </c>
      <c r="L559" t="s">
        <v>3577</v>
      </c>
      <c r="M559" t="s">
        <v>3249</v>
      </c>
      <c r="N559" t="s">
        <v>1630</v>
      </c>
      <c r="O559" s="4">
        <v>45674.6234953704</v>
      </c>
      <c r="P559" t="s">
        <v>116</v>
      </c>
      <c r="Q559" t="s">
        <v>1779</v>
      </c>
      <c r="R559" t="s">
        <v>3579</v>
      </c>
      <c r="T559" t="s">
        <v>116</v>
      </c>
    </row>
    <row r="560" ht="25.5" customHeight="1" spans="1:20">
      <c r="A560" t="s">
        <v>2694</v>
      </c>
      <c r="B560" t="s">
        <v>65</v>
      </c>
      <c r="C560" t="s">
        <v>3570</v>
      </c>
      <c r="D560" s="3"/>
      <c r="E560" s="2">
        <v>45677</v>
      </c>
      <c r="F560">
        <v>32900</v>
      </c>
      <c r="G560">
        <v>237000</v>
      </c>
      <c r="H560">
        <v>10300</v>
      </c>
      <c r="I560">
        <v>140</v>
      </c>
      <c r="L560" t="s">
        <v>3580</v>
      </c>
      <c r="M560" t="s">
        <v>3249</v>
      </c>
      <c r="N560" t="s">
        <v>1630</v>
      </c>
      <c r="O560" s="4">
        <v>45677.3900347222</v>
      </c>
      <c r="P560" t="s">
        <v>116</v>
      </c>
      <c r="Q560" t="s">
        <v>1779</v>
      </c>
      <c r="R560" t="s">
        <v>3581</v>
      </c>
      <c r="T560" t="s">
        <v>116</v>
      </c>
    </row>
    <row r="561" ht="25.5" customHeight="1" spans="1:20">
      <c r="A561" t="s">
        <v>2694</v>
      </c>
      <c r="B561" t="s">
        <v>65</v>
      </c>
      <c r="C561" t="s">
        <v>3570</v>
      </c>
      <c r="D561" s="3"/>
      <c r="E561" s="2">
        <v>45678</v>
      </c>
      <c r="F561">
        <v>33500</v>
      </c>
      <c r="G561">
        <v>246000</v>
      </c>
      <c r="H561">
        <v>10700</v>
      </c>
      <c r="I561">
        <v>141</v>
      </c>
      <c r="L561" t="s">
        <v>3580</v>
      </c>
      <c r="M561" t="s">
        <v>3249</v>
      </c>
      <c r="N561" t="s">
        <v>1630</v>
      </c>
      <c r="O561" s="4">
        <v>45678.4972453704</v>
      </c>
      <c r="P561" t="s">
        <v>116</v>
      </c>
      <c r="Q561" t="s">
        <v>1779</v>
      </c>
      <c r="R561" t="s">
        <v>3582</v>
      </c>
      <c r="T561" t="s">
        <v>116</v>
      </c>
    </row>
    <row r="562" ht="25.5" customHeight="1" spans="1:20">
      <c r="A562" t="s">
        <v>2694</v>
      </c>
      <c r="B562" t="s">
        <v>65</v>
      </c>
      <c r="C562" t="s">
        <v>3570</v>
      </c>
      <c r="D562" s="3"/>
      <c r="E562" s="2">
        <v>45679</v>
      </c>
      <c r="F562">
        <v>34000</v>
      </c>
      <c r="G562">
        <v>255000</v>
      </c>
      <c r="H562">
        <v>11200</v>
      </c>
      <c r="I562">
        <v>149</v>
      </c>
      <c r="L562" t="s">
        <v>3583</v>
      </c>
      <c r="M562" t="s">
        <v>3249</v>
      </c>
      <c r="N562" t="s">
        <v>1630</v>
      </c>
      <c r="O562" s="4">
        <v>45679.6591898148</v>
      </c>
      <c r="P562" t="s">
        <v>116</v>
      </c>
      <c r="Q562" t="s">
        <v>1779</v>
      </c>
      <c r="R562" t="s">
        <v>3584</v>
      </c>
      <c r="T562" t="s">
        <v>116</v>
      </c>
    </row>
    <row r="563" ht="25.5" customHeight="1" spans="1:20">
      <c r="A563" t="s">
        <v>2694</v>
      </c>
      <c r="B563" t="s">
        <v>65</v>
      </c>
      <c r="C563" t="s">
        <v>3570</v>
      </c>
      <c r="D563" s="3"/>
      <c r="E563" s="2">
        <v>45680</v>
      </c>
      <c r="F563">
        <v>34300</v>
      </c>
      <c r="G563">
        <v>260000</v>
      </c>
      <c r="H563">
        <v>11400</v>
      </c>
      <c r="I563">
        <v>151</v>
      </c>
      <c r="L563" t="s">
        <v>3585</v>
      </c>
      <c r="M563" t="s">
        <v>3249</v>
      </c>
      <c r="N563" t="s">
        <v>1630</v>
      </c>
      <c r="O563" s="4">
        <v>45680.5088888889</v>
      </c>
      <c r="P563" t="s">
        <v>116</v>
      </c>
      <c r="Q563" t="s">
        <v>1779</v>
      </c>
      <c r="R563" t="s">
        <v>3586</v>
      </c>
      <c r="T563" t="s">
        <v>116</v>
      </c>
    </row>
    <row r="564" ht="25.5" customHeight="1" spans="1:20">
      <c r="A564" t="s">
        <v>2694</v>
      </c>
      <c r="B564" t="s">
        <v>65</v>
      </c>
      <c r="C564" t="s">
        <v>3570</v>
      </c>
      <c r="D564" s="3"/>
      <c r="E564" s="2">
        <v>45681</v>
      </c>
      <c r="F564">
        <v>34600</v>
      </c>
      <c r="G564">
        <v>264000</v>
      </c>
      <c r="H564">
        <v>11500</v>
      </c>
      <c r="I564">
        <v>151</v>
      </c>
      <c r="L564" t="s">
        <v>3585</v>
      </c>
      <c r="M564" t="s">
        <v>3249</v>
      </c>
      <c r="N564" t="s">
        <v>1630</v>
      </c>
      <c r="O564" s="4">
        <v>45681.4823842593</v>
      </c>
      <c r="P564" t="s">
        <v>116</v>
      </c>
      <c r="Q564" t="s">
        <v>1779</v>
      </c>
      <c r="R564" t="s">
        <v>3587</v>
      </c>
      <c r="T564" t="s">
        <v>116</v>
      </c>
    </row>
    <row r="565" ht="25.5" customHeight="1" spans="1:20">
      <c r="A565" t="s">
        <v>2694</v>
      </c>
      <c r="B565" t="s">
        <v>65</v>
      </c>
      <c r="C565" t="s">
        <v>3570</v>
      </c>
      <c r="D565" s="3"/>
      <c r="E565" s="2">
        <v>45683</v>
      </c>
      <c r="F565">
        <v>35100</v>
      </c>
      <c r="G565">
        <v>272000</v>
      </c>
      <c r="H565">
        <v>11800</v>
      </c>
      <c r="I565">
        <v>160</v>
      </c>
      <c r="L565" t="s">
        <v>3585</v>
      </c>
      <c r="M565" t="s">
        <v>3249</v>
      </c>
      <c r="N565" t="s">
        <v>1630</v>
      </c>
      <c r="O565" s="4">
        <v>45683.7109143519</v>
      </c>
      <c r="P565" t="s">
        <v>116</v>
      </c>
      <c r="Q565" t="s">
        <v>1779</v>
      </c>
      <c r="R565" t="s">
        <v>3588</v>
      </c>
      <c r="T565" t="s">
        <v>116</v>
      </c>
    </row>
    <row r="566" ht="25.5" customHeight="1" spans="1:20">
      <c r="A566" t="s">
        <v>2694</v>
      </c>
      <c r="B566" t="s">
        <v>65</v>
      </c>
      <c r="C566" t="s">
        <v>3570</v>
      </c>
      <c r="D566" s="3"/>
      <c r="E566" s="2">
        <v>45684</v>
      </c>
      <c r="F566">
        <v>35400</v>
      </c>
      <c r="G566">
        <v>276000</v>
      </c>
      <c r="H566">
        <v>12000</v>
      </c>
      <c r="I566">
        <v>161</v>
      </c>
      <c r="L566" t="s">
        <v>3585</v>
      </c>
      <c r="M566" t="s">
        <v>3249</v>
      </c>
      <c r="N566" t="s">
        <v>1630</v>
      </c>
      <c r="O566" s="4">
        <v>45684.7664236111</v>
      </c>
      <c r="P566" t="s">
        <v>116</v>
      </c>
      <c r="Q566" t="s">
        <v>1779</v>
      </c>
      <c r="R566" t="s">
        <v>3589</v>
      </c>
      <c r="T566" t="s">
        <v>116</v>
      </c>
    </row>
    <row r="567" ht="25.5" customHeight="1" spans="1:20">
      <c r="A567" t="s">
        <v>2694</v>
      </c>
      <c r="B567" t="s">
        <v>65</v>
      </c>
      <c r="C567" t="s">
        <v>3570</v>
      </c>
      <c r="D567" s="3"/>
      <c r="E567" s="2">
        <v>45693</v>
      </c>
      <c r="F567">
        <v>36000</v>
      </c>
      <c r="G567">
        <v>289000</v>
      </c>
      <c r="H567">
        <v>12000</v>
      </c>
      <c r="I567">
        <v>167</v>
      </c>
      <c r="L567" t="s">
        <v>3585</v>
      </c>
      <c r="M567" t="s">
        <v>3249</v>
      </c>
      <c r="N567" t="s">
        <v>1630</v>
      </c>
      <c r="O567" s="4">
        <v>45693.7716087963</v>
      </c>
      <c r="P567" t="s">
        <v>116</v>
      </c>
      <c r="Q567" t="s">
        <v>1779</v>
      </c>
      <c r="R567" t="s">
        <v>3590</v>
      </c>
      <c r="T567" t="s">
        <v>116</v>
      </c>
    </row>
    <row r="568" ht="25.5" customHeight="1" spans="1:20">
      <c r="A568" t="s">
        <v>2694</v>
      </c>
      <c r="B568" t="s">
        <v>65</v>
      </c>
      <c r="C568" t="s">
        <v>3570</v>
      </c>
      <c r="D568" s="3"/>
      <c r="E568" s="2">
        <v>45694</v>
      </c>
      <c r="F568">
        <v>36500</v>
      </c>
      <c r="G568">
        <v>289000</v>
      </c>
      <c r="H568">
        <v>12700</v>
      </c>
      <c r="I568">
        <v>167</v>
      </c>
      <c r="L568" t="s">
        <v>3591</v>
      </c>
      <c r="M568" t="s">
        <v>3249</v>
      </c>
      <c r="N568" t="s">
        <v>1630</v>
      </c>
      <c r="O568" s="4">
        <v>45698.6216782407</v>
      </c>
      <c r="P568" t="s">
        <v>116</v>
      </c>
      <c r="Q568" t="s">
        <v>1779</v>
      </c>
      <c r="R568" t="s">
        <v>3592</v>
      </c>
      <c r="S568" t="s">
        <v>3180</v>
      </c>
      <c r="T568" t="s">
        <v>116</v>
      </c>
    </row>
    <row r="569" ht="25.5" customHeight="1" spans="1:20">
      <c r="A569" t="s">
        <v>2694</v>
      </c>
      <c r="B569" t="s">
        <v>65</v>
      </c>
      <c r="C569" t="s">
        <v>3570</v>
      </c>
      <c r="D569" s="3"/>
      <c r="E569" s="2">
        <v>45695</v>
      </c>
      <c r="F569">
        <v>36500</v>
      </c>
      <c r="G569">
        <v>289000</v>
      </c>
      <c r="H569">
        <v>12700</v>
      </c>
      <c r="I569">
        <v>167</v>
      </c>
      <c r="L569" t="s">
        <v>3591</v>
      </c>
      <c r="M569" t="s">
        <v>3249</v>
      </c>
      <c r="N569" t="s">
        <v>1630</v>
      </c>
      <c r="O569" s="4">
        <v>45695.4802777778</v>
      </c>
      <c r="P569" t="s">
        <v>116</v>
      </c>
      <c r="Q569" t="s">
        <v>1779</v>
      </c>
      <c r="R569" t="s">
        <v>3592</v>
      </c>
      <c r="T569" t="s">
        <v>116</v>
      </c>
    </row>
    <row r="570" ht="25.5" customHeight="1" spans="1:20">
      <c r="A570" t="s">
        <v>1937</v>
      </c>
      <c r="B570" t="s">
        <v>56</v>
      </c>
      <c r="C570" t="s">
        <v>3593</v>
      </c>
      <c r="D570" s="3" t="str">
        <f>HYPERLINK("https://www.tiktok.com/@eloiljf","https://www.tiktok.com/@eloiljf")</f>
        <v>https://www.tiktok.com/@eloiljf</v>
      </c>
      <c r="E570" s="2">
        <v>45664</v>
      </c>
      <c r="F570">
        <v>219700</v>
      </c>
      <c r="G570">
        <v>144800</v>
      </c>
      <c r="H570">
        <v>5228</v>
      </c>
      <c r="I570">
        <v>84</v>
      </c>
      <c r="J570">
        <v>5873</v>
      </c>
      <c r="K570">
        <v>1130</v>
      </c>
      <c r="L570" t="s">
        <v>3208</v>
      </c>
      <c r="M570" t="s">
        <v>3594</v>
      </c>
      <c r="N570" t="s">
        <v>1630</v>
      </c>
      <c r="O570" s="4">
        <v>45670.8579976852</v>
      </c>
      <c r="P570" t="s">
        <v>57</v>
      </c>
      <c r="Q570" t="s">
        <v>1779</v>
      </c>
      <c r="R570" t="s">
        <v>3595</v>
      </c>
      <c r="T570" t="s">
        <v>57</v>
      </c>
    </row>
    <row r="571" ht="25.5" customHeight="1" spans="1:20">
      <c r="A571" t="s">
        <v>1937</v>
      </c>
      <c r="B571" t="s">
        <v>56</v>
      </c>
      <c r="C571" t="s">
        <v>3593</v>
      </c>
      <c r="D571" s="3"/>
      <c r="E571" s="2">
        <v>45665</v>
      </c>
      <c r="F571">
        <v>219700</v>
      </c>
      <c r="G571">
        <v>146400</v>
      </c>
      <c r="H571">
        <v>5290</v>
      </c>
      <c r="I571">
        <v>84</v>
      </c>
      <c r="J571">
        <v>5944</v>
      </c>
      <c r="K571">
        <v>1151</v>
      </c>
      <c r="L571" t="s">
        <v>3208</v>
      </c>
      <c r="M571" t="s">
        <v>3594</v>
      </c>
      <c r="N571" t="s">
        <v>1630</v>
      </c>
      <c r="O571" s="4">
        <v>45672.5030092593</v>
      </c>
      <c r="P571" t="s">
        <v>57</v>
      </c>
      <c r="Q571" t="s">
        <v>1779</v>
      </c>
      <c r="R571" t="s">
        <v>3596</v>
      </c>
      <c r="T571" t="s">
        <v>57</v>
      </c>
    </row>
    <row r="572" ht="25.5" customHeight="1" spans="1:20">
      <c r="A572" t="s">
        <v>1937</v>
      </c>
      <c r="B572" t="s">
        <v>56</v>
      </c>
      <c r="C572" t="s">
        <v>3593</v>
      </c>
      <c r="D572" s="3"/>
      <c r="E572" s="2">
        <v>45670</v>
      </c>
      <c r="F572">
        <v>229300</v>
      </c>
      <c r="G572">
        <v>566300</v>
      </c>
      <c r="H572">
        <v>23600</v>
      </c>
      <c r="I572">
        <v>250</v>
      </c>
      <c r="J572">
        <v>24500</v>
      </c>
      <c r="K572">
        <v>4701</v>
      </c>
      <c r="L572" t="s">
        <v>3195</v>
      </c>
      <c r="M572" t="s">
        <v>3594</v>
      </c>
      <c r="N572" t="s">
        <v>1630</v>
      </c>
      <c r="O572" s="4">
        <v>45672.5030092593</v>
      </c>
      <c r="P572" t="s">
        <v>57</v>
      </c>
      <c r="Q572" t="s">
        <v>1779</v>
      </c>
      <c r="R572" t="s">
        <v>3597</v>
      </c>
      <c r="T572" t="s">
        <v>57</v>
      </c>
    </row>
    <row r="573" ht="25.5" customHeight="1" spans="1:20">
      <c r="A573" t="s">
        <v>1937</v>
      </c>
      <c r="B573" t="s">
        <v>56</v>
      </c>
      <c r="C573" t="s">
        <v>3593</v>
      </c>
      <c r="D573" s="3"/>
      <c r="E573" s="2">
        <v>45671</v>
      </c>
      <c r="F573">
        <v>230600</v>
      </c>
      <c r="G573">
        <v>594200</v>
      </c>
      <c r="H573">
        <v>25000</v>
      </c>
      <c r="I573">
        <v>261</v>
      </c>
      <c r="J573">
        <v>25800</v>
      </c>
      <c r="K573">
        <v>4992</v>
      </c>
      <c r="L573" t="s">
        <v>3195</v>
      </c>
      <c r="M573" t="s">
        <v>3594</v>
      </c>
      <c r="N573" t="s">
        <v>1630</v>
      </c>
      <c r="O573" s="4">
        <v>45672.5030092593</v>
      </c>
      <c r="P573" t="s">
        <v>57</v>
      </c>
      <c r="Q573" t="s">
        <v>1779</v>
      </c>
      <c r="R573" t="s">
        <v>3598</v>
      </c>
      <c r="T573" t="s">
        <v>57</v>
      </c>
    </row>
    <row r="574" ht="25.5" customHeight="1" spans="1:20">
      <c r="A574" t="s">
        <v>1937</v>
      </c>
      <c r="B574" t="s">
        <v>56</v>
      </c>
      <c r="C574" t="s">
        <v>3593</v>
      </c>
      <c r="D574" s="3"/>
      <c r="E574" s="2">
        <v>45672</v>
      </c>
      <c r="F574">
        <v>231700</v>
      </c>
      <c r="G574">
        <v>612800</v>
      </c>
      <c r="H574">
        <v>25900</v>
      </c>
      <c r="I574">
        <v>268</v>
      </c>
      <c r="J574">
        <v>26600</v>
      </c>
      <c r="K574">
        <v>5180</v>
      </c>
      <c r="L574" t="s">
        <v>3195</v>
      </c>
      <c r="M574" t="s">
        <v>3594</v>
      </c>
      <c r="N574" t="s">
        <v>1630</v>
      </c>
      <c r="O574" s="4">
        <v>45672.5273958333</v>
      </c>
      <c r="P574" t="s">
        <v>57</v>
      </c>
      <c r="Q574" t="s">
        <v>1779</v>
      </c>
      <c r="R574" t="s">
        <v>3599</v>
      </c>
      <c r="T574" t="s">
        <v>57</v>
      </c>
    </row>
    <row r="575" ht="25.5" customHeight="1" spans="1:20">
      <c r="A575" t="s">
        <v>1937</v>
      </c>
      <c r="B575" t="s">
        <v>56</v>
      </c>
      <c r="C575" t="s">
        <v>3593</v>
      </c>
      <c r="D575" s="3"/>
      <c r="E575" s="2">
        <v>45673</v>
      </c>
      <c r="F575">
        <v>232400</v>
      </c>
      <c r="G575">
        <v>627000</v>
      </c>
      <c r="H575">
        <v>26500</v>
      </c>
      <c r="I575">
        <v>270</v>
      </c>
      <c r="J575">
        <v>27300</v>
      </c>
      <c r="K575">
        <v>5329</v>
      </c>
      <c r="L575" t="s">
        <v>3195</v>
      </c>
      <c r="M575" t="s">
        <v>3594</v>
      </c>
      <c r="N575" t="s">
        <v>1630</v>
      </c>
      <c r="O575" s="4">
        <v>45673.6027430556</v>
      </c>
      <c r="P575" t="s">
        <v>57</v>
      </c>
      <c r="Q575" t="s">
        <v>1779</v>
      </c>
      <c r="R575" t="s">
        <v>3600</v>
      </c>
      <c r="T575" t="s">
        <v>57</v>
      </c>
    </row>
    <row r="576" ht="25.5" customHeight="1" spans="1:20">
      <c r="A576" t="s">
        <v>1937</v>
      </c>
      <c r="B576" t="s">
        <v>56</v>
      </c>
      <c r="C576" t="s">
        <v>3593</v>
      </c>
      <c r="D576" s="3"/>
      <c r="E576" s="2">
        <v>45674</v>
      </c>
      <c r="F576">
        <v>233200</v>
      </c>
      <c r="G576">
        <v>638100</v>
      </c>
      <c r="H576">
        <v>27000</v>
      </c>
      <c r="I576">
        <v>272</v>
      </c>
      <c r="J576">
        <v>27700</v>
      </c>
      <c r="K576">
        <v>5428</v>
      </c>
      <c r="L576" t="s">
        <v>3195</v>
      </c>
      <c r="M576" t="s">
        <v>3594</v>
      </c>
      <c r="N576" t="s">
        <v>1630</v>
      </c>
      <c r="O576" s="4">
        <v>45674.6678009259</v>
      </c>
      <c r="P576" t="s">
        <v>57</v>
      </c>
      <c r="Q576" t="s">
        <v>1779</v>
      </c>
      <c r="R576" t="s">
        <v>3601</v>
      </c>
      <c r="T576" t="s">
        <v>57</v>
      </c>
    </row>
    <row r="577" ht="25.5" customHeight="1" spans="1:20">
      <c r="A577" t="s">
        <v>1937</v>
      </c>
      <c r="B577" t="s">
        <v>56</v>
      </c>
      <c r="C577" t="s">
        <v>3593</v>
      </c>
      <c r="D577" s="3"/>
      <c r="E577" s="2">
        <v>45677</v>
      </c>
      <c r="F577">
        <v>234900</v>
      </c>
      <c r="G577">
        <v>678900</v>
      </c>
      <c r="H577">
        <v>28800</v>
      </c>
      <c r="I577">
        <v>289</v>
      </c>
      <c r="J577">
        <v>29500</v>
      </c>
      <c r="K577">
        <v>5757</v>
      </c>
      <c r="L577" t="s">
        <v>3195</v>
      </c>
      <c r="M577" t="s">
        <v>3594</v>
      </c>
      <c r="N577" t="s">
        <v>1630</v>
      </c>
      <c r="O577" s="4">
        <v>45677.4245023148</v>
      </c>
      <c r="P577" t="s">
        <v>57</v>
      </c>
      <c r="Q577" t="s">
        <v>1779</v>
      </c>
      <c r="R577" t="s">
        <v>3602</v>
      </c>
      <c r="T577" t="s">
        <v>57</v>
      </c>
    </row>
    <row r="578" ht="25.5" customHeight="1" spans="1:20">
      <c r="A578" t="s">
        <v>1937</v>
      </c>
      <c r="B578" t="s">
        <v>56</v>
      </c>
      <c r="C578" t="s">
        <v>3593</v>
      </c>
      <c r="D578" s="3"/>
      <c r="E578" s="2">
        <v>45678</v>
      </c>
      <c r="F578">
        <v>235700</v>
      </c>
      <c r="G578">
        <v>702600</v>
      </c>
      <c r="H578">
        <v>29900</v>
      </c>
      <c r="I578">
        <v>299</v>
      </c>
      <c r="J578">
        <v>30500</v>
      </c>
      <c r="K578">
        <v>5936</v>
      </c>
      <c r="L578" t="s">
        <v>3195</v>
      </c>
      <c r="M578" t="s">
        <v>3594</v>
      </c>
      <c r="N578" t="s">
        <v>1630</v>
      </c>
      <c r="O578" s="4">
        <v>45678.6205208333</v>
      </c>
      <c r="P578" t="s">
        <v>57</v>
      </c>
      <c r="Q578" t="s">
        <v>1779</v>
      </c>
      <c r="R578" t="s">
        <v>3603</v>
      </c>
      <c r="T578" t="s">
        <v>57</v>
      </c>
    </row>
    <row r="579" ht="25.5" customHeight="1" spans="1:20">
      <c r="A579" t="s">
        <v>1937</v>
      </c>
      <c r="B579" t="s">
        <v>56</v>
      </c>
      <c r="C579" t="s">
        <v>3593</v>
      </c>
      <c r="D579" s="3"/>
      <c r="E579" s="2">
        <v>45679</v>
      </c>
      <c r="F579">
        <v>236700</v>
      </c>
      <c r="G579">
        <v>734600</v>
      </c>
      <c r="H579">
        <v>31800</v>
      </c>
      <c r="I579">
        <v>307</v>
      </c>
      <c r="J579">
        <v>31200</v>
      </c>
      <c r="K579">
        <v>6178</v>
      </c>
      <c r="L579" t="s">
        <v>3195</v>
      </c>
      <c r="M579" t="s">
        <v>3594</v>
      </c>
      <c r="N579" t="s">
        <v>1630</v>
      </c>
      <c r="O579" s="4">
        <v>45679.6887037037</v>
      </c>
      <c r="P579" t="s">
        <v>57</v>
      </c>
      <c r="Q579" t="s">
        <v>1779</v>
      </c>
      <c r="R579" t="s">
        <v>3604</v>
      </c>
      <c r="T579" t="s">
        <v>57</v>
      </c>
    </row>
    <row r="580" ht="25.5" customHeight="1" spans="1:20">
      <c r="A580" t="s">
        <v>1937</v>
      </c>
      <c r="B580" t="s">
        <v>56</v>
      </c>
      <c r="C580" t="s">
        <v>3593</v>
      </c>
      <c r="D580" s="3"/>
      <c r="E580" s="2">
        <v>45680</v>
      </c>
      <c r="F580">
        <v>237600</v>
      </c>
      <c r="G580">
        <v>750100</v>
      </c>
      <c r="H580">
        <v>32500</v>
      </c>
      <c r="I580">
        <v>309</v>
      </c>
      <c r="J580">
        <v>32700</v>
      </c>
      <c r="K580">
        <v>6281</v>
      </c>
      <c r="L580" t="s">
        <v>3195</v>
      </c>
      <c r="M580" t="s">
        <v>3594</v>
      </c>
      <c r="N580" t="s">
        <v>1630</v>
      </c>
      <c r="O580" s="4">
        <v>45680.6429282407</v>
      </c>
      <c r="P580" t="s">
        <v>57</v>
      </c>
      <c r="Q580" t="s">
        <v>1779</v>
      </c>
      <c r="R580" t="s">
        <v>3605</v>
      </c>
      <c r="T580" t="s">
        <v>57</v>
      </c>
    </row>
    <row r="581" ht="25.5" customHeight="1" spans="1:20">
      <c r="A581" t="s">
        <v>1937</v>
      </c>
      <c r="B581" t="s">
        <v>56</v>
      </c>
      <c r="C581" t="s">
        <v>3593</v>
      </c>
      <c r="D581" s="3"/>
      <c r="E581" s="2">
        <v>45681</v>
      </c>
      <c r="F581">
        <v>238100</v>
      </c>
      <c r="G581">
        <v>761100</v>
      </c>
      <c r="H581">
        <v>33000</v>
      </c>
      <c r="I581">
        <v>310</v>
      </c>
      <c r="J581">
        <v>33200</v>
      </c>
      <c r="K581">
        <v>6354</v>
      </c>
      <c r="L581" t="s">
        <v>3195</v>
      </c>
      <c r="M581" t="s">
        <v>3594</v>
      </c>
      <c r="N581" t="s">
        <v>1630</v>
      </c>
      <c r="O581" s="4">
        <v>45681.6025231481</v>
      </c>
      <c r="P581" t="s">
        <v>57</v>
      </c>
      <c r="Q581" t="s">
        <v>1779</v>
      </c>
      <c r="R581" t="s">
        <v>3606</v>
      </c>
      <c r="T581" t="s">
        <v>57</v>
      </c>
    </row>
    <row r="582" ht="25.5" customHeight="1" spans="1:20">
      <c r="A582" t="s">
        <v>1937</v>
      </c>
      <c r="B582" t="s">
        <v>56</v>
      </c>
      <c r="C582" t="s">
        <v>3593</v>
      </c>
      <c r="D582" s="3"/>
      <c r="E582" s="2">
        <v>45683</v>
      </c>
      <c r="F582">
        <v>239100</v>
      </c>
      <c r="G582">
        <v>779700</v>
      </c>
      <c r="H582">
        <v>34100</v>
      </c>
      <c r="I582">
        <v>316</v>
      </c>
      <c r="J582">
        <v>34100</v>
      </c>
      <c r="K582">
        <v>6481</v>
      </c>
      <c r="L582" t="s">
        <v>3195</v>
      </c>
      <c r="M582" t="s">
        <v>3594</v>
      </c>
      <c r="N582" t="s">
        <v>1630</v>
      </c>
      <c r="O582" s="4">
        <v>45683.7593402778</v>
      </c>
      <c r="P582" t="s">
        <v>57</v>
      </c>
      <c r="Q582" t="s">
        <v>1779</v>
      </c>
      <c r="R582" t="s">
        <v>3607</v>
      </c>
      <c r="T582" t="s">
        <v>57</v>
      </c>
    </row>
    <row r="583" ht="25.5" customHeight="1" spans="1:20">
      <c r="A583" t="s">
        <v>1937</v>
      </c>
      <c r="B583" t="s">
        <v>56</v>
      </c>
      <c r="C583" t="s">
        <v>3593</v>
      </c>
      <c r="D583" s="3"/>
      <c r="E583" s="2">
        <v>45684</v>
      </c>
      <c r="F583">
        <v>239900</v>
      </c>
      <c r="G583">
        <v>805300</v>
      </c>
      <c r="H583">
        <v>35900</v>
      </c>
      <c r="I583">
        <v>328</v>
      </c>
      <c r="J583">
        <v>35500</v>
      </c>
      <c r="K583">
        <v>6654</v>
      </c>
      <c r="L583" t="s">
        <v>3195</v>
      </c>
      <c r="M583" t="s">
        <v>3594</v>
      </c>
      <c r="N583" t="s">
        <v>1630</v>
      </c>
      <c r="O583" s="4">
        <v>45684.8277893519</v>
      </c>
      <c r="P583" t="s">
        <v>57</v>
      </c>
      <c r="Q583" t="s">
        <v>1779</v>
      </c>
      <c r="R583" t="s">
        <v>3608</v>
      </c>
      <c r="T583" t="s">
        <v>57</v>
      </c>
    </row>
    <row r="584" ht="25.5" customHeight="1" spans="1:20">
      <c r="A584" t="s">
        <v>1937</v>
      </c>
      <c r="B584" t="s">
        <v>56</v>
      </c>
      <c r="C584" t="s">
        <v>3593</v>
      </c>
      <c r="D584" s="3"/>
      <c r="E584" s="2">
        <v>45693</v>
      </c>
      <c r="F584">
        <v>244100</v>
      </c>
      <c r="G584">
        <v>913500</v>
      </c>
      <c r="H584">
        <v>42200</v>
      </c>
      <c r="I584">
        <v>384</v>
      </c>
      <c r="J584">
        <v>40900</v>
      </c>
      <c r="K584">
        <v>7798</v>
      </c>
      <c r="L584" t="s">
        <v>3258</v>
      </c>
      <c r="M584" t="s">
        <v>3594</v>
      </c>
      <c r="N584" t="s">
        <v>1630</v>
      </c>
      <c r="O584" s="4">
        <v>45693.8012037037</v>
      </c>
      <c r="P584" t="s">
        <v>57</v>
      </c>
      <c r="Q584" t="s">
        <v>1779</v>
      </c>
      <c r="R584" t="s">
        <v>3609</v>
      </c>
      <c r="T584" t="s">
        <v>57</v>
      </c>
    </row>
    <row r="585" ht="25.5" customHeight="1" spans="1:20">
      <c r="A585" t="s">
        <v>1937</v>
      </c>
      <c r="B585" t="s">
        <v>56</v>
      </c>
      <c r="C585" t="s">
        <v>3593</v>
      </c>
      <c r="D585" s="3"/>
      <c r="E585" s="2">
        <v>45694</v>
      </c>
      <c r="F585">
        <v>244400</v>
      </c>
      <c r="G585">
        <v>920600</v>
      </c>
      <c r="H585">
        <v>42600</v>
      </c>
      <c r="I585">
        <v>384</v>
      </c>
      <c r="J585">
        <v>41300</v>
      </c>
      <c r="K585">
        <v>7884</v>
      </c>
      <c r="L585" t="s">
        <v>3258</v>
      </c>
      <c r="M585" t="s">
        <v>3594</v>
      </c>
      <c r="N585" t="s">
        <v>1630</v>
      </c>
      <c r="O585" s="4">
        <v>45698.6216782407</v>
      </c>
      <c r="P585" t="s">
        <v>57</v>
      </c>
      <c r="Q585" t="s">
        <v>1779</v>
      </c>
      <c r="R585" t="s">
        <v>3610</v>
      </c>
      <c r="S585" t="s">
        <v>3245</v>
      </c>
      <c r="T585" t="s">
        <v>57</v>
      </c>
    </row>
    <row r="586" ht="25.5" customHeight="1" spans="1:20">
      <c r="A586" t="s">
        <v>3089</v>
      </c>
      <c r="B586" t="s">
        <v>56</v>
      </c>
      <c r="C586" t="s">
        <v>3611</v>
      </c>
      <c r="D586" s="3"/>
      <c r="E586" s="2">
        <v>45674</v>
      </c>
      <c r="F586">
        <v>564300</v>
      </c>
      <c r="G586">
        <v>7300</v>
      </c>
      <c r="H586">
        <v>774</v>
      </c>
      <c r="I586">
        <v>21</v>
      </c>
      <c r="J586">
        <v>68</v>
      </c>
      <c r="K586">
        <v>45</v>
      </c>
      <c r="L586" t="s">
        <v>3612</v>
      </c>
      <c r="N586" t="s">
        <v>1630</v>
      </c>
      <c r="O586" s="4">
        <v>45674.6680671296</v>
      </c>
      <c r="P586" t="s">
        <v>57</v>
      </c>
      <c r="Q586" t="s">
        <v>1652</v>
      </c>
      <c r="R586" t="s">
        <v>3613</v>
      </c>
      <c r="T586" t="s">
        <v>57</v>
      </c>
    </row>
    <row r="587" ht="25.5" customHeight="1" spans="1:20">
      <c r="A587" t="s">
        <v>3089</v>
      </c>
      <c r="B587" t="s">
        <v>56</v>
      </c>
      <c r="C587" t="s">
        <v>3611</v>
      </c>
      <c r="D587" s="3"/>
      <c r="E587" s="2">
        <v>45677</v>
      </c>
      <c r="F587">
        <v>563600</v>
      </c>
      <c r="G587">
        <v>28800</v>
      </c>
      <c r="H587">
        <v>3150</v>
      </c>
      <c r="I587">
        <v>40</v>
      </c>
      <c r="J587">
        <v>404</v>
      </c>
      <c r="K587">
        <v>181</v>
      </c>
      <c r="L587" t="s">
        <v>3612</v>
      </c>
      <c r="N587" t="s">
        <v>1630</v>
      </c>
      <c r="O587" s="4">
        <v>45677.4247453704</v>
      </c>
      <c r="P587" t="s">
        <v>57</v>
      </c>
      <c r="Q587" t="s">
        <v>1652</v>
      </c>
      <c r="R587" t="s">
        <v>3614</v>
      </c>
      <c r="T587" t="s">
        <v>57</v>
      </c>
    </row>
    <row r="588" ht="25.5" customHeight="1" spans="1:20">
      <c r="A588" t="s">
        <v>3089</v>
      </c>
      <c r="B588" t="s">
        <v>56</v>
      </c>
      <c r="C588" t="s">
        <v>3611</v>
      </c>
      <c r="D588" s="3"/>
      <c r="E588" s="2">
        <v>45678</v>
      </c>
      <c r="F588">
        <v>563300</v>
      </c>
      <c r="G588">
        <v>33400</v>
      </c>
      <c r="H588">
        <v>3627</v>
      </c>
      <c r="I588">
        <v>42</v>
      </c>
      <c r="J588">
        <v>465</v>
      </c>
      <c r="K588">
        <v>210</v>
      </c>
      <c r="L588" t="s">
        <v>3612</v>
      </c>
      <c r="N588" t="s">
        <v>1630</v>
      </c>
      <c r="O588" s="4">
        <v>45678.6208217593</v>
      </c>
      <c r="P588" t="s">
        <v>57</v>
      </c>
      <c r="Q588" t="s">
        <v>1652</v>
      </c>
      <c r="R588" t="s">
        <v>3615</v>
      </c>
      <c r="T588" t="s">
        <v>57</v>
      </c>
    </row>
    <row r="589" ht="25.5" customHeight="1" spans="1:20">
      <c r="A589" t="s">
        <v>3089</v>
      </c>
      <c r="B589" t="s">
        <v>56</v>
      </c>
      <c r="C589" t="s">
        <v>3611</v>
      </c>
      <c r="D589" s="3"/>
      <c r="E589" s="2">
        <v>45679</v>
      </c>
      <c r="F589">
        <v>563100</v>
      </c>
      <c r="G589">
        <v>35800</v>
      </c>
      <c r="H589">
        <v>3899</v>
      </c>
      <c r="I589">
        <v>46</v>
      </c>
      <c r="J589">
        <v>501</v>
      </c>
      <c r="K589">
        <v>223</v>
      </c>
      <c r="L589" t="s">
        <v>3612</v>
      </c>
      <c r="N589" t="s">
        <v>1630</v>
      </c>
      <c r="O589" s="4">
        <v>45679.6889236111</v>
      </c>
      <c r="P589" t="s">
        <v>57</v>
      </c>
      <c r="Q589" t="s">
        <v>1652</v>
      </c>
      <c r="R589" t="s">
        <v>3616</v>
      </c>
      <c r="T589" t="s">
        <v>57</v>
      </c>
    </row>
    <row r="590" ht="25.5" customHeight="1" spans="1:20">
      <c r="A590" t="s">
        <v>3089</v>
      </c>
      <c r="B590" t="s">
        <v>56</v>
      </c>
      <c r="C590" t="s">
        <v>3611</v>
      </c>
      <c r="D590" s="3"/>
      <c r="E590" s="2">
        <v>45680</v>
      </c>
      <c r="F590">
        <v>562900</v>
      </c>
      <c r="G590">
        <v>37900</v>
      </c>
      <c r="H590">
        <v>4109</v>
      </c>
      <c r="I590">
        <v>47</v>
      </c>
      <c r="J590">
        <v>531</v>
      </c>
      <c r="K590">
        <v>246</v>
      </c>
      <c r="L590" t="s">
        <v>3612</v>
      </c>
      <c r="N590" t="s">
        <v>1630</v>
      </c>
      <c r="O590" s="4">
        <v>45680.6431597222</v>
      </c>
      <c r="P590" t="s">
        <v>57</v>
      </c>
      <c r="Q590" t="s">
        <v>1652</v>
      </c>
      <c r="R590" t="s">
        <v>3617</v>
      </c>
      <c r="T590" t="s">
        <v>57</v>
      </c>
    </row>
    <row r="591" ht="25.5" customHeight="1" spans="1:20">
      <c r="A591" t="s">
        <v>3089</v>
      </c>
      <c r="B591" t="s">
        <v>56</v>
      </c>
      <c r="C591" t="s">
        <v>3611</v>
      </c>
      <c r="D591" s="3"/>
      <c r="E591" s="2">
        <v>45681</v>
      </c>
      <c r="F591">
        <v>562700</v>
      </c>
      <c r="G591">
        <v>40000</v>
      </c>
      <c r="H591">
        <v>4366</v>
      </c>
      <c r="I591">
        <v>49</v>
      </c>
      <c r="J591">
        <v>572</v>
      </c>
      <c r="K591">
        <v>266</v>
      </c>
      <c r="L591" t="s">
        <v>3612</v>
      </c>
      <c r="N591" t="s">
        <v>1630</v>
      </c>
      <c r="O591" s="4">
        <v>45681.6027662037</v>
      </c>
      <c r="P591" t="s">
        <v>57</v>
      </c>
      <c r="Q591" t="s">
        <v>1652</v>
      </c>
      <c r="R591" t="s">
        <v>3618</v>
      </c>
      <c r="T591" t="s">
        <v>57</v>
      </c>
    </row>
    <row r="592" ht="25.5" customHeight="1" spans="1:20">
      <c r="A592" t="s">
        <v>3089</v>
      </c>
      <c r="B592" t="s">
        <v>56</v>
      </c>
      <c r="C592" t="s">
        <v>3611</v>
      </c>
      <c r="D592" s="3"/>
      <c r="E592" s="2">
        <v>45683</v>
      </c>
      <c r="F592">
        <v>562300</v>
      </c>
      <c r="G592">
        <v>44000</v>
      </c>
      <c r="H592">
        <v>4762</v>
      </c>
      <c r="I592">
        <v>52</v>
      </c>
      <c r="J592">
        <v>618</v>
      </c>
      <c r="K592">
        <v>297</v>
      </c>
      <c r="L592" t="s">
        <v>3612</v>
      </c>
      <c r="N592" t="s">
        <v>1630</v>
      </c>
      <c r="O592" s="4">
        <v>45683.7596527778</v>
      </c>
      <c r="P592" t="s">
        <v>57</v>
      </c>
      <c r="Q592" t="s">
        <v>1652</v>
      </c>
      <c r="R592" t="s">
        <v>3619</v>
      </c>
      <c r="T592" t="s">
        <v>57</v>
      </c>
    </row>
    <row r="593" ht="25.5" customHeight="1" spans="1:20">
      <c r="A593" t="s">
        <v>3089</v>
      </c>
      <c r="B593" t="s">
        <v>56</v>
      </c>
      <c r="C593" t="s">
        <v>3611</v>
      </c>
      <c r="D593" s="3"/>
      <c r="E593" s="2">
        <v>45684</v>
      </c>
      <c r="F593">
        <v>562100</v>
      </c>
      <c r="G593">
        <v>45400</v>
      </c>
      <c r="H593">
        <v>4909</v>
      </c>
      <c r="I593">
        <v>52</v>
      </c>
      <c r="J593">
        <v>632</v>
      </c>
      <c r="K593">
        <v>313</v>
      </c>
      <c r="L593" t="s">
        <v>3612</v>
      </c>
      <c r="N593" t="s">
        <v>1630</v>
      </c>
      <c r="O593" s="4">
        <v>45684.8283449074</v>
      </c>
      <c r="P593" t="s">
        <v>57</v>
      </c>
      <c r="Q593" t="s">
        <v>1652</v>
      </c>
      <c r="R593" t="s">
        <v>3620</v>
      </c>
      <c r="T593" t="s">
        <v>57</v>
      </c>
    </row>
    <row r="594" ht="25.5" customHeight="1" spans="1:20">
      <c r="A594" t="s">
        <v>3089</v>
      </c>
      <c r="B594" t="s">
        <v>56</v>
      </c>
      <c r="C594" t="s">
        <v>3611</v>
      </c>
      <c r="D594" s="3"/>
      <c r="E594" s="2">
        <v>45693</v>
      </c>
      <c r="F594">
        <v>560300</v>
      </c>
      <c r="G594">
        <v>53000</v>
      </c>
      <c r="H594">
        <v>5563</v>
      </c>
      <c r="I594">
        <v>55</v>
      </c>
      <c r="J594">
        <v>720</v>
      </c>
      <c r="K594">
        <v>373</v>
      </c>
      <c r="L594" t="s">
        <v>3298</v>
      </c>
      <c r="N594" t="s">
        <v>1630</v>
      </c>
      <c r="O594" s="4">
        <v>45693.8013888889</v>
      </c>
      <c r="P594" t="s">
        <v>57</v>
      </c>
      <c r="Q594" t="s">
        <v>1652</v>
      </c>
      <c r="R594" t="s">
        <v>3621</v>
      </c>
      <c r="T594" t="s">
        <v>57</v>
      </c>
    </row>
    <row r="595" ht="25.5" customHeight="1" spans="1:20">
      <c r="A595" t="s">
        <v>3089</v>
      </c>
      <c r="B595" t="s">
        <v>56</v>
      </c>
      <c r="C595" t="s">
        <v>3611</v>
      </c>
      <c r="D595" s="3"/>
      <c r="E595" s="2">
        <v>45694</v>
      </c>
      <c r="F595">
        <v>560200</v>
      </c>
      <c r="G595">
        <v>53500</v>
      </c>
      <c r="H595">
        <v>5610</v>
      </c>
      <c r="I595">
        <v>56</v>
      </c>
      <c r="J595">
        <v>721</v>
      </c>
      <c r="K595">
        <v>378</v>
      </c>
      <c r="L595" t="s">
        <v>3298</v>
      </c>
      <c r="N595" t="s">
        <v>1630</v>
      </c>
      <c r="O595" s="4">
        <v>45698.6216782407</v>
      </c>
      <c r="P595" t="s">
        <v>57</v>
      </c>
      <c r="Q595" t="s">
        <v>1652</v>
      </c>
      <c r="R595" t="s">
        <v>3622</v>
      </c>
      <c r="S595" t="s">
        <v>3169</v>
      </c>
      <c r="T595" t="s">
        <v>57</v>
      </c>
    </row>
    <row r="596" ht="25.5" customHeight="1" spans="1:20">
      <c r="A596" t="s">
        <v>3089</v>
      </c>
      <c r="B596" t="s">
        <v>56</v>
      </c>
      <c r="C596" t="s">
        <v>3611</v>
      </c>
      <c r="D596" s="3"/>
      <c r="E596" s="2">
        <v>45695</v>
      </c>
      <c r="F596">
        <v>560000</v>
      </c>
      <c r="G596">
        <v>54000</v>
      </c>
      <c r="H596">
        <v>5641</v>
      </c>
      <c r="I596">
        <v>56</v>
      </c>
      <c r="J596">
        <v>726</v>
      </c>
      <c r="K596">
        <v>379</v>
      </c>
      <c r="L596" t="s">
        <v>3298</v>
      </c>
      <c r="N596" t="s">
        <v>1630</v>
      </c>
      <c r="O596" s="4">
        <v>45695.7100810185</v>
      </c>
      <c r="P596" t="s">
        <v>57</v>
      </c>
      <c r="Q596" t="s">
        <v>1652</v>
      </c>
      <c r="R596" t="s">
        <v>3623</v>
      </c>
      <c r="T596" t="s">
        <v>57</v>
      </c>
    </row>
    <row r="597" ht="25.5" customHeight="1" spans="1:20">
      <c r="A597" t="s">
        <v>3089</v>
      </c>
      <c r="B597" t="s">
        <v>56</v>
      </c>
      <c r="C597" t="s">
        <v>3611</v>
      </c>
      <c r="D597" s="3"/>
      <c r="E597" s="2">
        <v>45696</v>
      </c>
      <c r="F597">
        <v>559900</v>
      </c>
      <c r="G597">
        <v>54500</v>
      </c>
      <c r="H597">
        <v>5669</v>
      </c>
      <c r="I597">
        <v>56</v>
      </c>
      <c r="J597">
        <v>726</v>
      </c>
      <c r="K597">
        <v>379</v>
      </c>
      <c r="L597" t="s">
        <v>3298</v>
      </c>
      <c r="N597" t="s">
        <v>1630</v>
      </c>
      <c r="O597" s="4">
        <v>45696.4334953704</v>
      </c>
      <c r="P597" t="s">
        <v>57</v>
      </c>
      <c r="Q597" t="s">
        <v>1652</v>
      </c>
      <c r="R597" t="s">
        <v>3624</v>
      </c>
      <c r="T597" t="s">
        <v>57</v>
      </c>
    </row>
    <row r="598" ht="25.5" customHeight="1" spans="1:20">
      <c r="A598" t="s">
        <v>1721</v>
      </c>
      <c r="B598" t="s">
        <v>3564</v>
      </c>
      <c r="C598" t="s">
        <v>3625</v>
      </c>
      <c r="D598" s="3"/>
      <c r="E598" s="2"/>
      <c r="M598" t="s">
        <v>3626</v>
      </c>
      <c r="N598" t="s">
        <v>3277</v>
      </c>
      <c r="O598" s="4">
        <v>45670.743587963</v>
      </c>
      <c r="P598" t="s">
        <v>3567</v>
      </c>
      <c r="Q598" t="s">
        <v>3627</v>
      </c>
      <c r="R598" t="s">
        <v>3133</v>
      </c>
      <c r="T598" t="s">
        <v>3567</v>
      </c>
    </row>
    <row r="599" ht="25.5" customHeight="1" spans="1:20">
      <c r="A599" t="s">
        <v>1721</v>
      </c>
      <c r="B599" t="s">
        <v>3564</v>
      </c>
      <c r="C599" t="s">
        <v>3625</v>
      </c>
      <c r="D599" s="3"/>
      <c r="E599" s="2"/>
      <c r="M599" t="s">
        <v>3626</v>
      </c>
      <c r="N599" t="s">
        <v>3277</v>
      </c>
      <c r="O599" s="4">
        <v>45670.743587963</v>
      </c>
      <c r="P599" t="s">
        <v>3567</v>
      </c>
      <c r="Q599" t="s">
        <v>3627</v>
      </c>
      <c r="R599" t="s">
        <v>3133</v>
      </c>
      <c r="T599" t="s">
        <v>3567</v>
      </c>
    </row>
    <row r="600" ht="25.5" customHeight="1" spans="1:20">
      <c r="A600" t="s">
        <v>2434</v>
      </c>
      <c r="B600" t="s">
        <v>56</v>
      </c>
      <c r="D600" s="3"/>
      <c r="E600" s="2"/>
      <c r="M600" t="s">
        <v>3378</v>
      </c>
      <c r="N600" t="s">
        <v>1645</v>
      </c>
      <c r="O600" s="4">
        <v>45670.743587963</v>
      </c>
      <c r="P600" t="s">
        <v>57</v>
      </c>
      <c r="Q600" t="s">
        <v>1631</v>
      </c>
      <c r="R600" t="s">
        <v>3133</v>
      </c>
      <c r="T600" t="s">
        <v>57</v>
      </c>
    </row>
    <row r="601" ht="25.5" customHeight="1" spans="1:20">
      <c r="A601" t="s">
        <v>2335</v>
      </c>
      <c r="B601" t="s">
        <v>56</v>
      </c>
      <c r="C601" t="s">
        <v>3628</v>
      </c>
      <c r="D601" s="3"/>
      <c r="E601" s="2">
        <v>45677</v>
      </c>
      <c r="F601">
        <v>193200</v>
      </c>
      <c r="G601">
        <v>121800</v>
      </c>
      <c r="H601">
        <v>8028</v>
      </c>
      <c r="I601">
        <v>25</v>
      </c>
      <c r="J601">
        <v>5335</v>
      </c>
      <c r="K601">
        <v>1541</v>
      </c>
      <c r="L601" t="s">
        <v>3317</v>
      </c>
      <c r="M601" t="s">
        <v>3228</v>
      </c>
      <c r="N601" t="s">
        <v>1630</v>
      </c>
      <c r="O601" s="4">
        <v>45677.7242592593</v>
      </c>
      <c r="P601" t="s">
        <v>57</v>
      </c>
      <c r="Q601" t="s">
        <v>1652</v>
      </c>
      <c r="R601" t="s">
        <v>3629</v>
      </c>
      <c r="T601" t="s">
        <v>57</v>
      </c>
    </row>
    <row r="602" ht="25.5" customHeight="1" spans="1:20">
      <c r="A602" t="s">
        <v>2335</v>
      </c>
      <c r="B602" t="s">
        <v>56</v>
      </c>
      <c r="C602" t="s">
        <v>3628</v>
      </c>
      <c r="D602" s="3"/>
      <c r="E602" s="2">
        <v>45678</v>
      </c>
      <c r="F602">
        <v>193300</v>
      </c>
      <c r="G602">
        <v>133000</v>
      </c>
      <c r="H602">
        <v>8889</v>
      </c>
      <c r="I602">
        <v>27</v>
      </c>
      <c r="J602">
        <v>6008</v>
      </c>
      <c r="K602">
        <v>1750</v>
      </c>
      <c r="L602" t="s">
        <v>3317</v>
      </c>
      <c r="M602" t="s">
        <v>3228</v>
      </c>
      <c r="N602" t="s">
        <v>1630</v>
      </c>
      <c r="O602" s="4">
        <v>45678.6210185185</v>
      </c>
      <c r="P602" t="s">
        <v>57</v>
      </c>
      <c r="Q602" t="s">
        <v>1652</v>
      </c>
      <c r="R602" t="s">
        <v>3630</v>
      </c>
      <c r="T602" t="s">
        <v>57</v>
      </c>
    </row>
    <row r="603" ht="25.5" customHeight="1" spans="1:20">
      <c r="A603" t="s">
        <v>2335</v>
      </c>
      <c r="B603" t="s">
        <v>56</v>
      </c>
      <c r="C603" t="s">
        <v>3628</v>
      </c>
      <c r="D603" s="3"/>
      <c r="E603" s="2">
        <v>45679</v>
      </c>
      <c r="F603">
        <v>194200</v>
      </c>
      <c r="G603">
        <v>144300</v>
      </c>
      <c r="H603">
        <v>9438</v>
      </c>
      <c r="I603">
        <v>31</v>
      </c>
      <c r="J603">
        <v>6441</v>
      </c>
      <c r="K603">
        <v>1880</v>
      </c>
      <c r="L603" t="s">
        <v>3317</v>
      </c>
      <c r="M603" t="s">
        <v>3228</v>
      </c>
      <c r="N603" t="s">
        <v>1630</v>
      </c>
      <c r="O603" s="4">
        <v>45679.6891782407</v>
      </c>
      <c r="P603" t="s">
        <v>57</v>
      </c>
      <c r="Q603" t="s">
        <v>1652</v>
      </c>
      <c r="R603" t="s">
        <v>3631</v>
      </c>
      <c r="T603" t="s">
        <v>57</v>
      </c>
    </row>
    <row r="604" ht="25.5" customHeight="1" spans="1:20">
      <c r="A604" t="s">
        <v>2335</v>
      </c>
      <c r="B604" t="s">
        <v>56</v>
      </c>
      <c r="C604" t="s">
        <v>3628</v>
      </c>
      <c r="D604" s="3"/>
      <c r="E604" s="2">
        <v>45680</v>
      </c>
      <c r="F604">
        <v>195800</v>
      </c>
      <c r="G604">
        <v>157800</v>
      </c>
      <c r="H604">
        <v>9853</v>
      </c>
      <c r="I604">
        <v>37</v>
      </c>
      <c r="J604">
        <v>6781</v>
      </c>
      <c r="K604">
        <v>1947</v>
      </c>
      <c r="L604" t="s">
        <v>3317</v>
      </c>
      <c r="M604" t="s">
        <v>3228</v>
      </c>
      <c r="N604" t="s">
        <v>1630</v>
      </c>
      <c r="O604" s="4">
        <v>45680.6434027778</v>
      </c>
      <c r="P604" t="s">
        <v>57</v>
      </c>
      <c r="Q604" t="s">
        <v>1652</v>
      </c>
      <c r="R604" t="s">
        <v>3632</v>
      </c>
      <c r="T604" t="s">
        <v>57</v>
      </c>
    </row>
    <row r="605" ht="25.5" customHeight="1" spans="1:20">
      <c r="A605" t="s">
        <v>2335</v>
      </c>
      <c r="B605" t="s">
        <v>56</v>
      </c>
      <c r="C605" t="s">
        <v>3628</v>
      </c>
      <c r="D605" s="3"/>
      <c r="E605" s="2">
        <v>45681</v>
      </c>
      <c r="F605">
        <v>197100</v>
      </c>
      <c r="G605">
        <v>168200</v>
      </c>
      <c r="H605">
        <v>10200</v>
      </c>
      <c r="I605">
        <v>43</v>
      </c>
      <c r="J605">
        <v>7020</v>
      </c>
      <c r="K605">
        <v>1997</v>
      </c>
      <c r="L605" t="s">
        <v>3248</v>
      </c>
      <c r="M605" t="s">
        <v>3228</v>
      </c>
      <c r="N605" t="s">
        <v>1630</v>
      </c>
      <c r="O605" s="4">
        <v>45681.6032407407</v>
      </c>
      <c r="P605" t="s">
        <v>57</v>
      </c>
      <c r="Q605" t="s">
        <v>1652</v>
      </c>
      <c r="R605" t="s">
        <v>3633</v>
      </c>
      <c r="T605" t="s">
        <v>57</v>
      </c>
    </row>
    <row r="606" ht="25.5" customHeight="1" spans="1:20">
      <c r="A606" t="s">
        <v>2335</v>
      </c>
      <c r="B606" t="s">
        <v>56</v>
      </c>
      <c r="C606" t="s">
        <v>3628</v>
      </c>
      <c r="D606" s="3"/>
      <c r="E606" s="2">
        <v>45683</v>
      </c>
      <c r="F606">
        <v>198600</v>
      </c>
      <c r="G606">
        <v>178200</v>
      </c>
      <c r="H606">
        <v>10400</v>
      </c>
      <c r="I606">
        <v>51</v>
      </c>
      <c r="J606">
        <v>7204</v>
      </c>
      <c r="K606">
        <v>2053</v>
      </c>
      <c r="L606" t="s">
        <v>3248</v>
      </c>
      <c r="M606" t="s">
        <v>3228</v>
      </c>
      <c r="N606" t="s">
        <v>1630</v>
      </c>
      <c r="O606" s="4">
        <v>45683.7598958333</v>
      </c>
      <c r="P606" t="s">
        <v>57</v>
      </c>
      <c r="Q606" t="s">
        <v>1652</v>
      </c>
      <c r="R606" t="s">
        <v>3634</v>
      </c>
      <c r="T606" t="s">
        <v>57</v>
      </c>
    </row>
    <row r="607" ht="25.5" customHeight="1" spans="1:20">
      <c r="A607" t="s">
        <v>2335</v>
      </c>
      <c r="B607" t="s">
        <v>56</v>
      </c>
      <c r="C607" t="s">
        <v>3628</v>
      </c>
      <c r="D607" s="3"/>
      <c r="E607" s="2">
        <v>45684</v>
      </c>
      <c r="F607">
        <v>198800</v>
      </c>
      <c r="G607">
        <v>181000</v>
      </c>
      <c r="H607">
        <v>10600</v>
      </c>
      <c r="I607">
        <v>52</v>
      </c>
      <c r="J607">
        <v>7281</v>
      </c>
      <c r="K607">
        <v>2069</v>
      </c>
      <c r="L607" t="s">
        <v>3248</v>
      </c>
      <c r="M607" t="s">
        <v>3228</v>
      </c>
      <c r="N607" t="s">
        <v>1630</v>
      </c>
      <c r="O607" s="4">
        <v>45684.8283564815</v>
      </c>
      <c r="P607" t="s">
        <v>57</v>
      </c>
      <c r="Q607" t="s">
        <v>1652</v>
      </c>
      <c r="R607" t="s">
        <v>3635</v>
      </c>
      <c r="T607" t="s">
        <v>57</v>
      </c>
    </row>
    <row r="608" ht="25.5" customHeight="1" spans="1:20">
      <c r="A608" t="s">
        <v>2335</v>
      </c>
      <c r="B608" t="s">
        <v>56</v>
      </c>
      <c r="C608" t="s">
        <v>3628</v>
      </c>
      <c r="D608" s="3"/>
      <c r="E608" s="2">
        <v>45693</v>
      </c>
      <c r="F608">
        <v>200900</v>
      </c>
      <c r="G608">
        <v>209600</v>
      </c>
      <c r="H608">
        <v>12800</v>
      </c>
      <c r="I608">
        <v>69</v>
      </c>
      <c r="J608">
        <v>8956</v>
      </c>
      <c r="K608">
        <v>2502</v>
      </c>
      <c r="L608" t="s">
        <v>3248</v>
      </c>
      <c r="M608" t="s">
        <v>3228</v>
      </c>
      <c r="N608" t="s">
        <v>1630</v>
      </c>
      <c r="O608" s="4">
        <v>45693.8016782407</v>
      </c>
      <c r="P608" t="s">
        <v>57</v>
      </c>
      <c r="Q608" t="s">
        <v>1652</v>
      </c>
      <c r="R608" t="s">
        <v>3636</v>
      </c>
      <c r="T608" t="s">
        <v>57</v>
      </c>
    </row>
    <row r="609" ht="25.5" customHeight="1" spans="1:20">
      <c r="A609" t="s">
        <v>2335</v>
      </c>
      <c r="B609" t="s">
        <v>56</v>
      </c>
      <c r="C609" t="s">
        <v>3628</v>
      </c>
      <c r="D609" s="3"/>
      <c r="E609" s="2">
        <v>45694</v>
      </c>
      <c r="F609">
        <v>201300</v>
      </c>
      <c r="G609">
        <v>215100</v>
      </c>
      <c r="H609">
        <v>13300</v>
      </c>
      <c r="I609">
        <v>71</v>
      </c>
      <c r="J609">
        <v>9329</v>
      </c>
      <c r="K609">
        <v>2595</v>
      </c>
      <c r="L609" t="s">
        <v>3248</v>
      </c>
      <c r="M609" t="s">
        <v>3228</v>
      </c>
      <c r="N609" t="s">
        <v>1630</v>
      </c>
      <c r="O609" s="4">
        <v>45698.6216782407</v>
      </c>
      <c r="P609" t="s">
        <v>57</v>
      </c>
      <c r="Q609" t="s">
        <v>1652</v>
      </c>
      <c r="R609" t="s">
        <v>3637</v>
      </c>
      <c r="S609" t="s">
        <v>3245</v>
      </c>
      <c r="T609" t="s">
        <v>57</v>
      </c>
    </row>
    <row r="610" ht="25.5" customHeight="1" spans="1:20">
      <c r="A610" t="s">
        <v>2335</v>
      </c>
      <c r="B610" t="s">
        <v>56</v>
      </c>
      <c r="C610" t="s">
        <v>3628</v>
      </c>
      <c r="D610" s="3"/>
      <c r="E610" s="2">
        <v>45695</v>
      </c>
      <c r="F610">
        <v>201600</v>
      </c>
      <c r="G610">
        <v>219500</v>
      </c>
      <c r="H610">
        <v>13700</v>
      </c>
      <c r="I610">
        <v>72</v>
      </c>
      <c r="J610">
        <v>9635</v>
      </c>
      <c r="K610">
        <v>2691</v>
      </c>
      <c r="L610" t="s">
        <v>3317</v>
      </c>
      <c r="M610" t="s">
        <v>3228</v>
      </c>
      <c r="N610" t="s">
        <v>1630</v>
      </c>
      <c r="O610" s="4">
        <v>45695.7104513889</v>
      </c>
      <c r="P610" t="s">
        <v>57</v>
      </c>
      <c r="Q610" t="s">
        <v>1652</v>
      </c>
      <c r="R610" t="s">
        <v>3638</v>
      </c>
      <c r="T610" t="s">
        <v>57</v>
      </c>
    </row>
    <row r="611" ht="25.5" customHeight="1" spans="1:20">
      <c r="A611" t="s">
        <v>2335</v>
      </c>
      <c r="B611" t="s">
        <v>56</v>
      </c>
      <c r="C611" t="s">
        <v>3628</v>
      </c>
      <c r="D611" s="3"/>
      <c r="E611" s="2">
        <v>45696</v>
      </c>
      <c r="F611">
        <v>201800</v>
      </c>
      <c r="G611">
        <v>222200</v>
      </c>
      <c r="H611">
        <v>14000</v>
      </c>
      <c r="I611">
        <v>73</v>
      </c>
      <c r="J611">
        <v>9792</v>
      </c>
      <c r="K611">
        <v>2743</v>
      </c>
      <c r="L611" t="s">
        <v>3317</v>
      </c>
      <c r="M611" t="s">
        <v>3228</v>
      </c>
      <c r="N611" t="s">
        <v>1630</v>
      </c>
      <c r="O611" s="4">
        <v>45696.4337152778</v>
      </c>
      <c r="P611" t="s">
        <v>57</v>
      </c>
      <c r="Q611" t="s">
        <v>1652</v>
      </c>
      <c r="R611" t="s">
        <v>3639</v>
      </c>
      <c r="T611" t="s">
        <v>57</v>
      </c>
    </row>
    <row r="612" ht="25.5" customHeight="1" spans="1:20">
      <c r="A612" t="s">
        <v>1624</v>
      </c>
      <c r="B612" t="s">
        <v>65</v>
      </c>
      <c r="C612" t="s">
        <v>3640</v>
      </c>
      <c r="D612" s="3"/>
      <c r="E612" s="2">
        <v>45665</v>
      </c>
      <c r="F612">
        <v>2100000</v>
      </c>
      <c r="G612">
        <v>1378527</v>
      </c>
      <c r="H612">
        <v>22790</v>
      </c>
      <c r="I612">
        <v>5559</v>
      </c>
      <c r="L612" t="s">
        <v>3331</v>
      </c>
      <c r="M612" t="s">
        <v>3641</v>
      </c>
      <c r="N612" t="s">
        <v>1630</v>
      </c>
      <c r="O612" s="4">
        <v>45695.4227199074</v>
      </c>
      <c r="P612" t="s">
        <v>66</v>
      </c>
      <c r="Q612" t="s">
        <v>1631</v>
      </c>
      <c r="R612" t="s">
        <v>3642</v>
      </c>
      <c r="T612" t="s">
        <v>66</v>
      </c>
    </row>
    <row r="613" ht="25.5" customHeight="1" spans="1:20">
      <c r="A613" t="s">
        <v>1624</v>
      </c>
      <c r="B613" t="s">
        <v>65</v>
      </c>
      <c r="C613" t="s">
        <v>3640</v>
      </c>
      <c r="D613" s="3" t="str">
        <f>HYPERLINK("https://www.instagram.com/evolving.ai/","https://www.instagram.com/evolving.ai/")</f>
        <v>https://www.instagram.com/evolving.ai/</v>
      </c>
      <c r="E613" s="2">
        <v>45670</v>
      </c>
      <c r="F613">
        <v>2100000</v>
      </c>
      <c r="G613">
        <v>1378527</v>
      </c>
      <c r="H613">
        <v>32600</v>
      </c>
      <c r="I613">
        <v>7433</v>
      </c>
      <c r="L613" t="s">
        <v>3281</v>
      </c>
      <c r="M613" t="s">
        <v>3641</v>
      </c>
      <c r="N613" t="s">
        <v>1630</v>
      </c>
      <c r="O613" s="4">
        <v>45695.4227430556</v>
      </c>
      <c r="P613" t="s">
        <v>66</v>
      </c>
      <c r="Q613" t="s">
        <v>1631</v>
      </c>
      <c r="R613" t="s">
        <v>3643</v>
      </c>
      <c r="T613" t="s">
        <v>66</v>
      </c>
    </row>
    <row r="614" ht="25.5" customHeight="1" spans="1:20">
      <c r="A614" t="s">
        <v>1624</v>
      </c>
      <c r="B614" t="s">
        <v>65</v>
      </c>
      <c r="C614" t="s">
        <v>3640</v>
      </c>
      <c r="D614" s="3"/>
      <c r="E614" s="2">
        <v>45671</v>
      </c>
      <c r="F614">
        <v>2100000</v>
      </c>
      <c r="G614">
        <v>1378527</v>
      </c>
      <c r="H614">
        <v>33600</v>
      </c>
      <c r="I614">
        <v>7535</v>
      </c>
      <c r="L614" t="s">
        <v>3281</v>
      </c>
      <c r="M614" t="s">
        <v>3641</v>
      </c>
      <c r="N614" t="s">
        <v>1630</v>
      </c>
      <c r="O614" s="4">
        <v>45695.4227893519</v>
      </c>
      <c r="P614" t="s">
        <v>66</v>
      </c>
      <c r="Q614" t="s">
        <v>1631</v>
      </c>
      <c r="R614" t="s">
        <v>3644</v>
      </c>
      <c r="T614" t="s">
        <v>66</v>
      </c>
    </row>
    <row r="615" ht="25.5" customHeight="1" spans="1:20">
      <c r="A615" t="s">
        <v>1624</v>
      </c>
      <c r="B615" t="s">
        <v>65</v>
      </c>
      <c r="C615" t="s">
        <v>3640</v>
      </c>
      <c r="D615" s="3"/>
      <c r="E615" s="2">
        <v>45672</v>
      </c>
      <c r="F615">
        <v>2100000</v>
      </c>
      <c r="G615">
        <v>1378527</v>
      </c>
      <c r="H615">
        <v>35300</v>
      </c>
      <c r="I615">
        <v>7683</v>
      </c>
      <c r="L615" t="s">
        <v>3281</v>
      </c>
      <c r="M615" t="s">
        <v>3641</v>
      </c>
      <c r="N615" t="s">
        <v>1630</v>
      </c>
      <c r="O615" s="4">
        <v>45695.4941666667</v>
      </c>
      <c r="P615" t="s">
        <v>66</v>
      </c>
      <c r="Q615" t="s">
        <v>1631</v>
      </c>
      <c r="R615" t="s">
        <v>3645</v>
      </c>
      <c r="T615" t="s">
        <v>66</v>
      </c>
    </row>
    <row r="616" ht="25.5" customHeight="1" spans="1:20">
      <c r="A616" t="s">
        <v>1624</v>
      </c>
      <c r="B616" t="s">
        <v>65</v>
      </c>
      <c r="C616" t="s">
        <v>3640</v>
      </c>
      <c r="D616" s="3"/>
      <c r="E616" s="2">
        <v>45673</v>
      </c>
      <c r="F616">
        <v>2100000</v>
      </c>
      <c r="G616">
        <v>1378527</v>
      </c>
      <c r="H616">
        <v>38300</v>
      </c>
      <c r="I616">
        <v>7972</v>
      </c>
      <c r="L616" t="s">
        <v>3281</v>
      </c>
      <c r="M616" t="s">
        <v>3641</v>
      </c>
      <c r="N616" t="s">
        <v>1630</v>
      </c>
      <c r="O616" s="4">
        <v>45695.4941782407</v>
      </c>
      <c r="P616" t="s">
        <v>66</v>
      </c>
      <c r="Q616" t="s">
        <v>1631</v>
      </c>
      <c r="R616" t="s">
        <v>3646</v>
      </c>
      <c r="T616" t="s">
        <v>66</v>
      </c>
    </row>
    <row r="617" ht="25.5" customHeight="1" spans="1:20">
      <c r="A617" t="s">
        <v>1624</v>
      </c>
      <c r="B617" t="s">
        <v>65</v>
      </c>
      <c r="C617" t="s">
        <v>3640</v>
      </c>
      <c r="D617" s="3"/>
      <c r="E617" s="2">
        <v>45674</v>
      </c>
      <c r="F617">
        <v>2100000</v>
      </c>
      <c r="G617">
        <v>1378527</v>
      </c>
      <c r="H617">
        <v>39237</v>
      </c>
      <c r="I617">
        <v>8151</v>
      </c>
      <c r="L617" t="s">
        <v>3281</v>
      </c>
      <c r="M617" t="s">
        <v>3641</v>
      </c>
      <c r="N617" t="s">
        <v>1630</v>
      </c>
      <c r="O617" s="4">
        <v>45695.4941782407</v>
      </c>
      <c r="P617" t="s">
        <v>66</v>
      </c>
      <c r="Q617" t="s">
        <v>1631</v>
      </c>
      <c r="R617" t="s">
        <v>3647</v>
      </c>
      <c r="T617" t="s">
        <v>66</v>
      </c>
    </row>
    <row r="618" ht="25.5" customHeight="1" spans="1:20">
      <c r="A618" t="s">
        <v>1624</v>
      </c>
      <c r="B618" t="s">
        <v>65</v>
      </c>
      <c r="C618" t="s">
        <v>3640</v>
      </c>
      <c r="D618" s="3"/>
      <c r="E618" s="2">
        <v>45677</v>
      </c>
      <c r="F618">
        <v>2100000</v>
      </c>
      <c r="G618">
        <v>1378527</v>
      </c>
      <c r="H618">
        <v>42400</v>
      </c>
      <c r="I618">
        <v>8447</v>
      </c>
      <c r="L618" t="s">
        <v>3281</v>
      </c>
      <c r="M618" t="s">
        <v>3641</v>
      </c>
      <c r="N618" t="s">
        <v>1630</v>
      </c>
      <c r="O618" s="4">
        <v>45695.4941898148</v>
      </c>
      <c r="P618" t="s">
        <v>66</v>
      </c>
      <c r="Q618" t="s">
        <v>1631</v>
      </c>
      <c r="R618" t="s">
        <v>3648</v>
      </c>
      <c r="T618" t="s">
        <v>66</v>
      </c>
    </row>
    <row r="619" ht="25.5" customHeight="1" spans="1:20">
      <c r="A619" t="s">
        <v>1624</v>
      </c>
      <c r="B619" t="s">
        <v>65</v>
      </c>
      <c r="C619" t="s">
        <v>3640</v>
      </c>
      <c r="D619" s="3"/>
      <c r="E619" s="2">
        <v>45678</v>
      </c>
      <c r="F619">
        <v>2100000</v>
      </c>
      <c r="G619">
        <v>1378527</v>
      </c>
      <c r="H619">
        <v>43400</v>
      </c>
      <c r="I619">
        <v>8553</v>
      </c>
      <c r="L619" t="s">
        <v>3281</v>
      </c>
      <c r="M619" t="s">
        <v>3641</v>
      </c>
      <c r="N619" t="s">
        <v>1630</v>
      </c>
      <c r="O619" s="4">
        <v>45695.4941898148</v>
      </c>
      <c r="P619" t="s">
        <v>66</v>
      </c>
      <c r="Q619" t="s">
        <v>1631</v>
      </c>
      <c r="R619" t="s">
        <v>3649</v>
      </c>
      <c r="T619" t="s">
        <v>66</v>
      </c>
    </row>
    <row r="620" ht="25.5" customHeight="1" spans="1:20">
      <c r="A620" t="s">
        <v>1624</v>
      </c>
      <c r="B620" t="s">
        <v>65</v>
      </c>
      <c r="C620" t="s">
        <v>3640</v>
      </c>
      <c r="D620" s="3"/>
      <c r="E620" s="2">
        <v>45679</v>
      </c>
      <c r="F620">
        <v>2100000</v>
      </c>
      <c r="G620">
        <v>1378527</v>
      </c>
      <c r="H620">
        <v>46000</v>
      </c>
      <c r="I620">
        <v>8798</v>
      </c>
      <c r="L620" t="s">
        <v>3284</v>
      </c>
      <c r="M620" t="s">
        <v>3641</v>
      </c>
      <c r="N620" t="s">
        <v>1630</v>
      </c>
      <c r="O620" s="4">
        <v>45695.4942013889</v>
      </c>
      <c r="P620" t="s">
        <v>66</v>
      </c>
      <c r="Q620" t="s">
        <v>1631</v>
      </c>
      <c r="R620" t="s">
        <v>3650</v>
      </c>
      <c r="T620" t="s">
        <v>66</v>
      </c>
    </row>
    <row r="621" ht="25.5" customHeight="1" spans="1:20">
      <c r="A621" t="s">
        <v>1624</v>
      </c>
      <c r="B621" t="s">
        <v>65</v>
      </c>
      <c r="C621" t="s">
        <v>3640</v>
      </c>
      <c r="D621" s="3"/>
      <c r="E621" s="2">
        <v>45680</v>
      </c>
      <c r="F621">
        <v>2100000</v>
      </c>
      <c r="G621">
        <v>1378527</v>
      </c>
      <c r="H621">
        <v>49700</v>
      </c>
      <c r="I621">
        <v>9122</v>
      </c>
      <c r="L621" t="s">
        <v>3284</v>
      </c>
      <c r="M621" t="s">
        <v>3641</v>
      </c>
      <c r="N621" t="s">
        <v>1630</v>
      </c>
      <c r="O621" s="4">
        <v>45695.4942013889</v>
      </c>
      <c r="P621" t="s">
        <v>66</v>
      </c>
      <c r="Q621" t="s">
        <v>1631</v>
      </c>
      <c r="R621" t="s">
        <v>3651</v>
      </c>
      <c r="T621" t="s">
        <v>66</v>
      </c>
    </row>
    <row r="622" ht="25.5" customHeight="1" spans="1:20">
      <c r="A622" t="s">
        <v>1624</v>
      </c>
      <c r="B622" t="s">
        <v>65</v>
      </c>
      <c r="C622" t="s">
        <v>3640</v>
      </c>
      <c r="D622" s="3"/>
      <c r="E622" s="2">
        <v>45681</v>
      </c>
      <c r="F622">
        <v>2100000</v>
      </c>
      <c r="G622">
        <v>1378527</v>
      </c>
      <c r="H622">
        <v>50900</v>
      </c>
      <c r="I622">
        <v>9216</v>
      </c>
      <c r="L622" t="s">
        <v>3284</v>
      </c>
      <c r="M622" t="s">
        <v>3641</v>
      </c>
      <c r="N622" t="s">
        <v>1630</v>
      </c>
      <c r="O622" s="4">
        <v>45695.494212963</v>
      </c>
      <c r="P622" t="s">
        <v>66</v>
      </c>
      <c r="Q622" t="s">
        <v>1631</v>
      </c>
      <c r="R622" t="s">
        <v>3652</v>
      </c>
      <c r="T622" t="s">
        <v>66</v>
      </c>
    </row>
    <row r="623" ht="25.5" customHeight="1" spans="1:20">
      <c r="A623" t="s">
        <v>1624</v>
      </c>
      <c r="B623" t="s">
        <v>65</v>
      </c>
      <c r="C623" t="s">
        <v>3640</v>
      </c>
      <c r="D623" s="3"/>
      <c r="E623" s="2">
        <v>45683</v>
      </c>
      <c r="F623">
        <v>2100000</v>
      </c>
      <c r="G623">
        <v>1378527</v>
      </c>
      <c r="H623">
        <v>56700</v>
      </c>
      <c r="I623">
        <v>9695</v>
      </c>
      <c r="L623" t="s">
        <v>3284</v>
      </c>
      <c r="M623" t="s">
        <v>3641</v>
      </c>
      <c r="N623" t="s">
        <v>1630</v>
      </c>
      <c r="O623" s="4">
        <v>45695.494212963</v>
      </c>
      <c r="P623" t="s">
        <v>66</v>
      </c>
      <c r="Q623" t="s">
        <v>1631</v>
      </c>
      <c r="R623" t="s">
        <v>3653</v>
      </c>
      <c r="T623" t="s">
        <v>66</v>
      </c>
    </row>
    <row r="624" ht="25.5" customHeight="1" spans="1:20">
      <c r="A624" t="s">
        <v>1624</v>
      </c>
      <c r="B624" t="s">
        <v>65</v>
      </c>
      <c r="C624" t="s">
        <v>3640</v>
      </c>
      <c r="D624" s="3"/>
      <c r="E624" s="2">
        <v>45684</v>
      </c>
      <c r="F624">
        <v>2100000</v>
      </c>
      <c r="G624">
        <v>1378527</v>
      </c>
      <c r="H624">
        <v>59600</v>
      </c>
      <c r="I624">
        <v>9909</v>
      </c>
      <c r="L624" t="s">
        <v>3284</v>
      </c>
      <c r="M624" t="s">
        <v>3641</v>
      </c>
      <c r="N624" t="s">
        <v>1630</v>
      </c>
      <c r="O624" s="4">
        <v>45695.494224537</v>
      </c>
      <c r="P624" t="s">
        <v>66</v>
      </c>
      <c r="Q624" t="s">
        <v>1631</v>
      </c>
      <c r="R624" t="s">
        <v>3654</v>
      </c>
      <c r="T624" t="s">
        <v>66</v>
      </c>
    </row>
    <row r="625" ht="25.5" customHeight="1" spans="1:20">
      <c r="A625" t="s">
        <v>1624</v>
      </c>
      <c r="B625" t="s">
        <v>65</v>
      </c>
      <c r="C625" t="s">
        <v>3640</v>
      </c>
      <c r="D625" s="3"/>
      <c r="E625" s="2">
        <v>45693</v>
      </c>
      <c r="F625">
        <v>2100000</v>
      </c>
      <c r="G625">
        <v>1378527</v>
      </c>
      <c r="H625">
        <v>66000</v>
      </c>
      <c r="I625">
        <v>10000</v>
      </c>
      <c r="L625" t="s">
        <v>3208</v>
      </c>
      <c r="M625" t="s">
        <v>3641</v>
      </c>
      <c r="N625" t="s">
        <v>1630</v>
      </c>
      <c r="O625" s="4">
        <v>45695.494224537</v>
      </c>
      <c r="P625" t="s">
        <v>66</v>
      </c>
      <c r="Q625" t="s">
        <v>1631</v>
      </c>
      <c r="R625" t="s">
        <v>3655</v>
      </c>
      <c r="T625" t="s">
        <v>66</v>
      </c>
    </row>
    <row r="626" ht="25.5" customHeight="1" spans="1:20">
      <c r="A626" t="s">
        <v>1624</v>
      </c>
      <c r="B626" t="s">
        <v>65</v>
      </c>
      <c r="C626" t="s">
        <v>3640</v>
      </c>
      <c r="D626" s="3"/>
      <c r="E626" s="2">
        <v>45694</v>
      </c>
      <c r="F626">
        <v>2100000</v>
      </c>
      <c r="G626">
        <v>1378527</v>
      </c>
      <c r="H626">
        <v>66900</v>
      </c>
      <c r="I626">
        <v>10300</v>
      </c>
      <c r="L626" t="s">
        <v>3208</v>
      </c>
      <c r="M626" t="s">
        <v>3641</v>
      </c>
      <c r="N626" t="s">
        <v>1630</v>
      </c>
      <c r="O626" s="4">
        <v>45698.6216782407</v>
      </c>
      <c r="P626" t="s">
        <v>66</v>
      </c>
      <c r="Q626" t="s">
        <v>1631</v>
      </c>
      <c r="R626" t="s">
        <v>3656</v>
      </c>
      <c r="S626" t="s">
        <v>3152</v>
      </c>
      <c r="T626" t="s">
        <v>66</v>
      </c>
    </row>
    <row r="627" ht="25.5" customHeight="1" spans="1:20">
      <c r="A627" t="s">
        <v>1624</v>
      </c>
      <c r="B627" t="s">
        <v>65</v>
      </c>
      <c r="C627" t="s">
        <v>3640</v>
      </c>
      <c r="D627" s="3"/>
      <c r="E627" s="2">
        <v>45695</v>
      </c>
      <c r="F627">
        <v>2100000</v>
      </c>
      <c r="G627">
        <v>1378527</v>
      </c>
      <c r="H627">
        <v>66951</v>
      </c>
      <c r="I627">
        <v>10300</v>
      </c>
      <c r="L627" t="s">
        <v>3208</v>
      </c>
      <c r="M627" t="s">
        <v>3641</v>
      </c>
      <c r="N627" t="s">
        <v>1630</v>
      </c>
      <c r="O627" s="4">
        <v>45695.4942361111</v>
      </c>
      <c r="P627" t="s">
        <v>66</v>
      </c>
      <c r="Q627" t="s">
        <v>1631</v>
      </c>
      <c r="R627" t="s">
        <v>3657</v>
      </c>
      <c r="T627" t="s">
        <v>66</v>
      </c>
    </row>
    <row r="628" ht="25.5" customHeight="1" spans="1:20">
      <c r="A628" t="s">
        <v>2492</v>
      </c>
      <c r="B628" t="s">
        <v>3658</v>
      </c>
      <c r="C628" t="s">
        <v>3659</v>
      </c>
      <c r="D628" s="3"/>
      <c r="E628" s="2"/>
      <c r="M628" t="s">
        <v>3660</v>
      </c>
      <c r="N628" t="s">
        <v>3277</v>
      </c>
      <c r="O628" s="4">
        <v>45670.743587963</v>
      </c>
      <c r="P628" t="s">
        <v>3661</v>
      </c>
      <c r="Q628" t="s">
        <v>3279</v>
      </c>
      <c r="R628" t="s">
        <v>3133</v>
      </c>
      <c r="T628" t="s">
        <v>3661</v>
      </c>
    </row>
    <row r="629" ht="25.5" customHeight="1" spans="1:20">
      <c r="A629" t="s">
        <v>2492</v>
      </c>
      <c r="B629" t="s">
        <v>3658</v>
      </c>
      <c r="C629" t="s">
        <v>3659</v>
      </c>
      <c r="D629" s="3"/>
      <c r="E629" s="2"/>
      <c r="M629" t="s">
        <v>3660</v>
      </c>
      <c r="N629" t="s">
        <v>3277</v>
      </c>
      <c r="O629" s="4">
        <v>45670.743587963</v>
      </c>
      <c r="P629" t="s">
        <v>3661</v>
      </c>
      <c r="Q629" t="s">
        <v>3279</v>
      </c>
      <c r="R629" t="s">
        <v>3133</v>
      </c>
      <c r="T629" t="s">
        <v>3661</v>
      </c>
    </row>
    <row r="630" ht="25.5" customHeight="1" spans="1:20">
      <c r="A630" t="s">
        <v>3053</v>
      </c>
      <c r="B630" t="s">
        <v>56</v>
      </c>
      <c r="D630" s="3"/>
      <c r="E630" s="2"/>
      <c r="M630" t="s">
        <v>3662</v>
      </c>
      <c r="N630" t="s">
        <v>1645</v>
      </c>
      <c r="O630" s="4">
        <v>45670.743587963</v>
      </c>
      <c r="P630" t="s">
        <v>57</v>
      </c>
      <c r="R630" t="s">
        <v>3133</v>
      </c>
      <c r="T630" t="s">
        <v>57</v>
      </c>
    </row>
    <row r="631" ht="25.5" customHeight="1" spans="1:20">
      <c r="A631" t="s">
        <v>2726</v>
      </c>
      <c r="B631" t="s">
        <v>56</v>
      </c>
      <c r="D631" s="3"/>
      <c r="E631" s="2"/>
      <c r="M631" t="s">
        <v>3249</v>
      </c>
      <c r="N631" t="s">
        <v>1645</v>
      </c>
      <c r="O631" s="4">
        <v>45670.743587963</v>
      </c>
      <c r="P631" t="s">
        <v>57</v>
      </c>
      <c r="R631" t="s">
        <v>3133</v>
      </c>
      <c r="T631" t="s">
        <v>57</v>
      </c>
    </row>
    <row r="632" ht="25.5" customHeight="1" spans="1:20">
      <c r="A632" t="s">
        <v>2944</v>
      </c>
      <c r="B632" t="s">
        <v>56</v>
      </c>
      <c r="C632" t="s">
        <v>3663</v>
      </c>
      <c r="D632" s="3" t="str">
        <f>HYPERLINK("https://www.tiktok.com/@rafalito89","https://www.tiktok.com/@rafalito89")</f>
        <v>https://www.tiktok.com/@rafalito89</v>
      </c>
      <c r="E632" s="2">
        <v>45670</v>
      </c>
      <c r="F632">
        <v>41700</v>
      </c>
      <c r="G632">
        <v>741</v>
      </c>
      <c r="H632">
        <v>4</v>
      </c>
      <c r="I632">
        <v>0</v>
      </c>
      <c r="J632">
        <v>1</v>
      </c>
      <c r="K632">
        <v>1</v>
      </c>
      <c r="L632" t="s">
        <v>3331</v>
      </c>
      <c r="M632" t="s">
        <v>3270</v>
      </c>
      <c r="N632" t="s">
        <v>1630</v>
      </c>
      <c r="O632" s="4">
        <v>45670.8582986111</v>
      </c>
      <c r="P632" t="s">
        <v>57</v>
      </c>
      <c r="Q632" t="s">
        <v>1652</v>
      </c>
      <c r="R632" t="s">
        <v>3664</v>
      </c>
      <c r="T632" t="s">
        <v>57</v>
      </c>
    </row>
    <row r="633" ht="25.5" customHeight="1" spans="1:20">
      <c r="A633" t="s">
        <v>2944</v>
      </c>
      <c r="B633" t="s">
        <v>56</v>
      </c>
      <c r="C633" t="s">
        <v>3663</v>
      </c>
      <c r="D633" s="3"/>
      <c r="E633" s="2">
        <v>45671</v>
      </c>
      <c r="F633">
        <v>41700</v>
      </c>
      <c r="G633">
        <v>820</v>
      </c>
      <c r="H633">
        <v>7</v>
      </c>
      <c r="I633">
        <v>0</v>
      </c>
      <c r="J633">
        <v>1</v>
      </c>
      <c r="K633">
        <v>1</v>
      </c>
      <c r="L633" t="s">
        <v>3331</v>
      </c>
      <c r="M633" t="s">
        <v>3270</v>
      </c>
      <c r="N633" t="s">
        <v>1630</v>
      </c>
      <c r="O633" s="4">
        <v>45672.5030092593</v>
      </c>
      <c r="P633" t="s">
        <v>57</v>
      </c>
      <c r="Q633" t="s">
        <v>1652</v>
      </c>
      <c r="R633" t="s">
        <v>3665</v>
      </c>
      <c r="T633" t="s">
        <v>57</v>
      </c>
    </row>
    <row r="634" ht="25.5" customHeight="1" spans="1:20">
      <c r="A634" t="s">
        <v>2944</v>
      </c>
      <c r="B634" t="s">
        <v>56</v>
      </c>
      <c r="C634" t="s">
        <v>3663</v>
      </c>
      <c r="D634" s="3"/>
      <c r="E634" s="2">
        <v>45672</v>
      </c>
      <c r="F634">
        <v>41700</v>
      </c>
      <c r="G634">
        <v>825</v>
      </c>
      <c r="H634">
        <v>7</v>
      </c>
      <c r="I634">
        <v>0</v>
      </c>
      <c r="J634">
        <v>1</v>
      </c>
      <c r="K634">
        <v>1</v>
      </c>
      <c r="L634" t="s">
        <v>3331</v>
      </c>
      <c r="M634" t="s">
        <v>3270</v>
      </c>
      <c r="N634" t="s">
        <v>1630</v>
      </c>
      <c r="O634" s="4">
        <v>45672.5275578704</v>
      </c>
      <c r="P634" t="s">
        <v>57</v>
      </c>
      <c r="Q634" t="s">
        <v>1652</v>
      </c>
      <c r="R634" t="s">
        <v>3665</v>
      </c>
      <c r="T634" t="s">
        <v>57</v>
      </c>
    </row>
    <row r="635" ht="25.5" customHeight="1" spans="1:20">
      <c r="A635" t="s">
        <v>2944</v>
      </c>
      <c r="B635" t="s">
        <v>56</v>
      </c>
      <c r="C635" t="s">
        <v>3663</v>
      </c>
      <c r="D635" s="3"/>
      <c r="E635" s="2">
        <v>45673</v>
      </c>
      <c r="F635">
        <v>41700</v>
      </c>
      <c r="G635">
        <v>832</v>
      </c>
      <c r="H635">
        <v>7</v>
      </c>
      <c r="I635">
        <v>0</v>
      </c>
      <c r="J635">
        <v>1</v>
      </c>
      <c r="K635">
        <v>1</v>
      </c>
      <c r="L635" t="s">
        <v>3331</v>
      </c>
      <c r="M635" t="s">
        <v>3270</v>
      </c>
      <c r="N635" t="s">
        <v>1630</v>
      </c>
      <c r="O635" s="4">
        <v>45673.6047222222</v>
      </c>
      <c r="P635" t="s">
        <v>57</v>
      </c>
      <c r="Q635" t="s">
        <v>1652</v>
      </c>
      <c r="R635" t="s">
        <v>3665</v>
      </c>
      <c r="T635" t="s">
        <v>57</v>
      </c>
    </row>
    <row r="636" ht="25.5" customHeight="1" spans="1:20">
      <c r="A636" t="s">
        <v>2944</v>
      </c>
      <c r="B636" t="s">
        <v>56</v>
      </c>
      <c r="C636" t="s">
        <v>3663</v>
      </c>
      <c r="D636" s="3"/>
      <c r="E636" s="2">
        <v>45674</v>
      </c>
      <c r="F636">
        <v>41700</v>
      </c>
      <c r="G636">
        <v>833</v>
      </c>
      <c r="H636">
        <v>7</v>
      </c>
      <c r="I636">
        <v>0</v>
      </c>
      <c r="J636">
        <v>1</v>
      </c>
      <c r="K636">
        <v>1</v>
      </c>
      <c r="L636" t="s">
        <v>3331</v>
      </c>
      <c r="M636" t="s">
        <v>3270</v>
      </c>
      <c r="N636" t="s">
        <v>1630</v>
      </c>
      <c r="O636" s="4">
        <v>45674.6682291667</v>
      </c>
      <c r="P636" t="s">
        <v>57</v>
      </c>
      <c r="Q636" t="s">
        <v>1652</v>
      </c>
      <c r="R636" t="s">
        <v>3665</v>
      </c>
      <c r="T636" t="s">
        <v>57</v>
      </c>
    </row>
    <row r="637" ht="25.5" customHeight="1" spans="1:20">
      <c r="A637" t="s">
        <v>2944</v>
      </c>
      <c r="B637" t="s">
        <v>56</v>
      </c>
      <c r="C637" t="s">
        <v>3663</v>
      </c>
      <c r="D637" s="3"/>
      <c r="E637" s="2">
        <v>45677</v>
      </c>
      <c r="F637">
        <v>41700</v>
      </c>
      <c r="G637">
        <v>834</v>
      </c>
      <c r="H637">
        <v>7</v>
      </c>
      <c r="I637">
        <v>0</v>
      </c>
      <c r="J637">
        <v>1</v>
      </c>
      <c r="K637">
        <v>1</v>
      </c>
      <c r="L637" t="s">
        <v>3331</v>
      </c>
      <c r="M637" t="s">
        <v>3270</v>
      </c>
      <c r="N637" t="s">
        <v>1630</v>
      </c>
      <c r="O637" s="4">
        <v>45677.4249305556</v>
      </c>
      <c r="P637" t="s">
        <v>57</v>
      </c>
      <c r="Q637" t="s">
        <v>1652</v>
      </c>
      <c r="R637" t="s">
        <v>3665</v>
      </c>
      <c r="T637" t="s">
        <v>57</v>
      </c>
    </row>
    <row r="638" ht="25.5" customHeight="1" spans="1:20">
      <c r="A638" t="s">
        <v>2944</v>
      </c>
      <c r="B638" t="s">
        <v>56</v>
      </c>
      <c r="C638" t="s">
        <v>3663</v>
      </c>
      <c r="D638" s="3"/>
      <c r="E638" s="2">
        <v>45678</v>
      </c>
      <c r="F638">
        <v>41700</v>
      </c>
      <c r="G638">
        <v>840</v>
      </c>
      <c r="H638">
        <v>7</v>
      </c>
      <c r="I638">
        <v>0</v>
      </c>
      <c r="J638">
        <v>1</v>
      </c>
      <c r="K638">
        <v>1</v>
      </c>
      <c r="L638" t="s">
        <v>3331</v>
      </c>
      <c r="M638" t="s">
        <v>3270</v>
      </c>
      <c r="N638" t="s">
        <v>1630</v>
      </c>
      <c r="O638" s="4">
        <v>45678.6212384259</v>
      </c>
      <c r="P638" t="s">
        <v>57</v>
      </c>
      <c r="Q638" t="s">
        <v>1652</v>
      </c>
      <c r="R638" t="s">
        <v>3665</v>
      </c>
      <c r="T638" t="s">
        <v>57</v>
      </c>
    </row>
    <row r="639" ht="25.5" customHeight="1" spans="1:20">
      <c r="A639" t="s">
        <v>2944</v>
      </c>
      <c r="B639" t="s">
        <v>56</v>
      </c>
      <c r="C639" t="s">
        <v>3663</v>
      </c>
      <c r="D639" s="3"/>
      <c r="E639" s="2">
        <v>45679</v>
      </c>
      <c r="F639">
        <v>41700</v>
      </c>
      <c r="G639">
        <v>843</v>
      </c>
      <c r="H639">
        <v>7</v>
      </c>
      <c r="I639">
        <v>0</v>
      </c>
      <c r="J639">
        <v>1</v>
      </c>
      <c r="K639">
        <v>1</v>
      </c>
      <c r="L639" t="s">
        <v>3331</v>
      </c>
      <c r="M639" t="s">
        <v>3270</v>
      </c>
      <c r="N639" t="s">
        <v>1630</v>
      </c>
      <c r="O639" s="4">
        <v>45679.689375</v>
      </c>
      <c r="P639" t="s">
        <v>57</v>
      </c>
      <c r="Q639" t="s">
        <v>1652</v>
      </c>
      <c r="R639" t="s">
        <v>3665</v>
      </c>
      <c r="T639" t="s">
        <v>57</v>
      </c>
    </row>
    <row r="640" ht="25.5" customHeight="1" spans="1:20">
      <c r="A640" t="s">
        <v>2944</v>
      </c>
      <c r="B640" t="s">
        <v>56</v>
      </c>
      <c r="C640" t="s">
        <v>3663</v>
      </c>
      <c r="D640" s="3"/>
      <c r="E640" s="2">
        <v>45680</v>
      </c>
      <c r="F640">
        <v>41700</v>
      </c>
      <c r="G640">
        <v>845</v>
      </c>
      <c r="H640">
        <v>7</v>
      </c>
      <c r="I640">
        <v>0</v>
      </c>
      <c r="J640">
        <v>1</v>
      </c>
      <c r="K640">
        <v>1</v>
      </c>
      <c r="L640" t="s">
        <v>3331</v>
      </c>
      <c r="M640" t="s">
        <v>3270</v>
      </c>
      <c r="N640" t="s">
        <v>1630</v>
      </c>
      <c r="O640" s="4">
        <v>45680.6437152778</v>
      </c>
      <c r="P640" t="s">
        <v>57</v>
      </c>
      <c r="Q640" t="s">
        <v>1652</v>
      </c>
      <c r="R640" t="s">
        <v>3665</v>
      </c>
      <c r="T640" t="s">
        <v>57</v>
      </c>
    </row>
    <row r="641" ht="25.5" customHeight="1" spans="1:20">
      <c r="A641" t="s">
        <v>2944</v>
      </c>
      <c r="B641" t="s">
        <v>56</v>
      </c>
      <c r="C641" t="s">
        <v>3663</v>
      </c>
      <c r="D641" s="3"/>
      <c r="E641" s="2">
        <v>45681</v>
      </c>
      <c r="F641">
        <v>41700</v>
      </c>
      <c r="G641">
        <v>847</v>
      </c>
      <c r="H641">
        <v>7</v>
      </c>
      <c r="I641">
        <v>0</v>
      </c>
      <c r="J641">
        <v>1</v>
      </c>
      <c r="K641">
        <v>1</v>
      </c>
      <c r="L641" t="s">
        <v>3331</v>
      </c>
      <c r="M641" t="s">
        <v>3270</v>
      </c>
      <c r="N641" t="s">
        <v>1630</v>
      </c>
      <c r="O641" s="4">
        <v>45681.6033912037</v>
      </c>
      <c r="P641" t="s">
        <v>57</v>
      </c>
      <c r="Q641" t="s">
        <v>1652</v>
      </c>
      <c r="R641" t="s">
        <v>3665</v>
      </c>
      <c r="T641" t="s">
        <v>57</v>
      </c>
    </row>
    <row r="642" ht="25.5" customHeight="1" spans="1:20">
      <c r="A642" t="s">
        <v>2944</v>
      </c>
      <c r="B642" t="s">
        <v>56</v>
      </c>
      <c r="C642" t="s">
        <v>3663</v>
      </c>
      <c r="D642" s="3"/>
      <c r="E642" s="2">
        <v>45683</v>
      </c>
      <c r="F642">
        <v>41700</v>
      </c>
      <c r="G642">
        <v>849</v>
      </c>
      <c r="H642">
        <v>7</v>
      </c>
      <c r="I642">
        <v>0</v>
      </c>
      <c r="J642">
        <v>1</v>
      </c>
      <c r="K642">
        <v>1</v>
      </c>
      <c r="L642" t="s">
        <v>3331</v>
      </c>
      <c r="M642" t="s">
        <v>3270</v>
      </c>
      <c r="N642" t="s">
        <v>1630</v>
      </c>
      <c r="O642" s="4">
        <v>45683.7602083333</v>
      </c>
      <c r="P642" t="s">
        <v>57</v>
      </c>
      <c r="Q642" t="s">
        <v>1652</v>
      </c>
      <c r="R642" t="s">
        <v>3665</v>
      </c>
      <c r="T642" t="s">
        <v>57</v>
      </c>
    </row>
    <row r="643" ht="25.5" customHeight="1" spans="1:20">
      <c r="A643" t="s">
        <v>2944</v>
      </c>
      <c r="B643" t="s">
        <v>56</v>
      </c>
      <c r="C643" t="s">
        <v>3663</v>
      </c>
      <c r="D643" s="3"/>
      <c r="E643" s="2">
        <v>45684</v>
      </c>
      <c r="F643">
        <v>41700</v>
      </c>
      <c r="G643">
        <v>849</v>
      </c>
      <c r="H643">
        <v>7</v>
      </c>
      <c r="I643">
        <v>0</v>
      </c>
      <c r="J643">
        <v>1</v>
      </c>
      <c r="K643">
        <v>1</v>
      </c>
      <c r="L643" t="s">
        <v>3331</v>
      </c>
      <c r="M643" t="s">
        <v>3270</v>
      </c>
      <c r="N643" t="s">
        <v>1630</v>
      </c>
      <c r="O643" s="4">
        <v>45684.8285648148</v>
      </c>
      <c r="P643" t="s">
        <v>57</v>
      </c>
      <c r="Q643" t="s">
        <v>1652</v>
      </c>
      <c r="R643" t="s">
        <v>3665</v>
      </c>
      <c r="T643" t="s">
        <v>57</v>
      </c>
    </row>
    <row r="644" ht="25.5" customHeight="1" spans="1:20">
      <c r="A644" t="s">
        <v>2944</v>
      </c>
      <c r="B644" t="s">
        <v>56</v>
      </c>
      <c r="C644" t="s">
        <v>3663</v>
      </c>
      <c r="D644" s="3"/>
      <c r="E644" s="2">
        <v>45693</v>
      </c>
      <c r="F644">
        <v>42300</v>
      </c>
      <c r="G644">
        <v>887</v>
      </c>
      <c r="H644">
        <v>7</v>
      </c>
      <c r="I644">
        <v>0</v>
      </c>
      <c r="J644">
        <v>1</v>
      </c>
      <c r="K644">
        <v>1</v>
      </c>
      <c r="L644" t="s">
        <v>3331</v>
      </c>
      <c r="M644" t="s">
        <v>3270</v>
      </c>
      <c r="N644" t="s">
        <v>1630</v>
      </c>
      <c r="O644" s="4">
        <v>45693.8018981482</v>
      </c>
      <c r="P644" t="s">
        <v>57</v>
      </c>
      <c r="Q644" t="s">
        <v>1652</v>
      </c>
      <c r="R644" t="s">
        <v>3665</v>
      </c>
      <c r="T644" t="s">
        <v>57</v>
      </c>
    </row>
    <row r="645" ht="25.5" customHeight="1" spans="1:20">
      <c r="A645" t="s">
        <v>2944</v>
      </c>
      <c r="B645" t="s">
        <v>56</v>
      </c>
      <c r="C645" t="s">
        <v>3663</v>
      </c>
      <c r="D645" s="3"/>
      <c r="E645" s="2">
        <v>45694</v>
      </c>
      <c r="F645">
        <v>42300</v>
      </c>
      <c r="G645">
        <v>889</v>
      </c>
      <c r="H645">
        <v>7</v>
      </c>
      <c r="I645">
        <v>0</v>
      </c>
      <c r="J645">
        <v>1</v>
      </c>
      <c r="K645">
        <v>1</v>
      </c>
      <c r="L645" t="s">
        <v>3331</v>
      </c>
      <c r="M645" t="s">
        <v>3270</v>
      </c>
      <c r="N645" t="s">
        <v>1630</v>
      </c>
      <c r="O645" s="4">
        <v>45698.6216782407</v>
      </c>
      <c r="P645" t="s">
        <v>57</v>
      </c>
      <c r="Q645" t="s">
        <v>1652</v>
      </c>
      <c r="R645" t="s">
        <v>3665</v>
      </c>
      <c r="S645" t="s">
        <v>3180</v>
      </c>
      <c r="T645" t="s">
        <v>57</v>
      </c>
    </row>
    <row r="646" ht="25.5" customHeight="1" spans="1:20">
      <c r="A646" t="s">
        <v>2944</v>
      </c>
      <c r="B646" t="s">
        <v>56</v>
      </c>
      <c r="C646" t="s">
        <v>3663</v>
      </c>
      <c r="D646" s="3"/>
      <c r="E646" s="2">
        <v>45695</v>
      </c>
      <c r="F646">
        <v>42300</v>
      </c>
      <c r="G646">
        <v>890</v>
      </c>
      <c r="H646">
        <v>7</v>
      </c>
      <c r="I646">
        <v>0</v>
      </c>
      <c r="J646">
        <v>1</v>
      </c>
      <c r="K646">
        <v>1</v>
      </c>
      <c r="L646" t="s">
        <v>3331</v>
      </c>
      <c r="M646" t="s">
        <v>3270</v>
      </c>
      <c r="N646" t="s">
        <v>1630</v>
      </c>
      <c r="O646" s="4">
        <v>45695.7106597222</v>
      </c>
      <c r="P646" t="s">
        <v>57</v>
      </c>
      <c r="Q646" t="s">
        <v>1652</v>
      </c>
      <c r="R646" t="s">
        <v>3665</v>
      </c>
      <c r="T646" t="s">
        <v>57</v>
      </c>
    </row>
    <row r="647" ht="25.5" customHeight="1" spans="1:20">
      <c r="A647" t="s">
        <v>2225</v>
      </c>
      <c r="B647" t="s">
        <v>3564</v>
      </c>
      <c r="D647" s="3"/>
      <c r="E647" s="2"/>
      <c r="M647" t="s">
        <v>3400</v>
      </c>
      <c r="N647" t="s">
        <v>3277</v>
      </c>
      <c r="O647" s="4">
        <v>45670.743587963</v>
      </c>
      <c r="P647" t="s">
        <v>3567</v>
      </c>
      <c r="Q647" t="s">
        <v>3568</v>
      </c>
      <c r="R647" t="s">
        <v>3133</v>
      </c>
      <c r="T647" t="s">
        <v>3567</v>
      </c>
    </row>
    <row r="648" ht="25.5" customHeight="1" spans="1:20">
      <c r="A648" t="s">
        <v>2772</v>
      </c>
      <c r="B648" t="s">
        <v>56</v>
      </c>
      <c r="D648" s="3"/>
      <c r="E648" s="2"/>
      <c r="M648" t="s">
        <v>3666</v>
      </c>
      <c r="N648" t="s">
        <v>1645</v>
      </c>
      <c r="O648" s="4">
        <v>45670.743587963</v>
      </c>
      <c r="P648" t="s">
        <v>57</v>
      </c>
      <c r="R648" t="s">
        <v>3133</v>
      </c>
      <c r="T648" t="s">
        <v>57</v>
      </c>
    </row>
    <row r="649" ht="25.5" customHeight="1" spans="1:20">
      <c r="A649" t="s">
        <v>1898</v>
      </c>
      <c r="B649" t="s">
        <v>65</v>
      </c>
      <c r="C649" t="s">
        <v>3667</v>
      </c>
      <c r="D649" s="3" t="str">
        <f>HYPERLINK("https://www.instagram.com/gabzer.mp4/reels/","https://www.instagram.com/gabzer.mp4/reels/")</f>
        <v>https://www.instagram.com/gabzer.mp4/reels/</v>
      </c>
      <c r="E649" s="2">
        <v>45666</v>
      </c>
      <c r="F649">
        <v>361000</v>
      </c>
      <c r="G649">
        <v>20100</v>
      </c>
      <c r="H649">
        <v>586</v>
      </c>
      <c r="I649">
        <v>230</v>
      </c>
      <c r="L649" t="s">
        <v>3138</v>
      </c>
      <c r="M649" t="s">
        <v>3668</v>
      </c>
      <c r="N649" t="s">
        <v>1630</v>
      </c>
      <c r="O649" s="4">
        <v>45670.7738425926</v>
      </c>
      <c r="P649" t="s">
        <v>116</v>
      </c>
      <c r="Q649" t="s">
        <v>1779</v>
      </c>
      <c r="R649" t="s">
        <v>3669</v>
      </c>
      <c r="T649" t="s">
        <v>116</v>
      </c>
    </row>
    <row r="650" ht="25.5" customHeight="1" spans="1:20">
      <c r="A650" t="s">
        <v>1898</v>
      </c>
      <c r="B650" t="s">
        <v>65</v>
      </c>
      <c r="C650" t="s">
        <v>3667</v>
      </c>
      <c r="D650" s="3"/>
      <c r="E650" s="2">
        <v>45671</v>
      </c>
      <c r="F650">
        <v>361000</v>
      </c>
      <c r="G650">
        <v>20700</v>
      </c>
      <c r="H650">
        <v>603</v>
      </c>
      <c r="I650">
        <v>235</v>
      </c>
      <c r="L650" t="s">
        <v>3138</v>
      </c>
      <c r="M650" t="s">
        <v>3668</v>
      </c>
      <c r="N650" t="s">
        <v>1630</v>
      </c>
      <c r="O650" s="4">
        <v>45672.5030092593</v>
      </c>
      <c r="P650" t="s">
        <v>116</v>
      </c>
      <c r="Q650" t="s">
        <v>1779</v>
      </c>
      <c r="R650" t="s">
        <v>3670</v>
      </c>
      <c r="T650" t="s">
        <v>116</v>
      </c>
    </row>
    <row r="651" ht="25.5" customHeight="1" spans="1:20">
      <c r="A651" t="s">
        <v>1898</v>
      </c>
      <c r="B651" t="s">
        <v>65</v>
      </c>
      <c r="C651" t="s">
        <v>3667</v>
      </c>
      <c r="D651" s="3"/>
      <c r="E651" s="2">
        <v>45672</v>
      </c>
      <c r="F651">
        <v>361000</v>
      </c>
      <c r="G651">
        <v>21200</v>
      </c>
      <c r="H651">
        <v>616</v>
      </c>
      <c r="I651">
        <v>242</v>
      </c>
      <c r="L651" t="s">
        <v>3138</v>
      </c>
      <c r="M651" t="s">
        <v>3668</v>
      </c>
      <c r="N651" t="s">
        <v>1630</v>
      </c>
      <c r="O651" s="4">
        <v>45672.5060648148</v>
      </c>
      <c r="P651" t="s">
        <v>116</v>
      </c>
      <c r="Q651" t="s">
        <v>1779</v>
      </c>
      <c r="R651" t="s">
        <v>3671</v>
      </c>
      <c r="T651" t="s">
        <v>116</v>
      </c>
    </row>
    <row r="652" ht="25.5" customHeight="1" spans="1:20">
      <c r="A652" t="s">
        <v>1898</v>
      </c>
      <c r="B652" t="s">
        <v>65</v>
      </c>
      <c r="C652" t="s">
        <v>3667</v>
      </c>
      <c r="D652" s="3"/>
      <c r="E652" s="2">
        <v>45673</v>
      </c>
      <c r="F652">
        <v>362000</v>
      </c>
      <c r="G652">
        <v>21700</v>
      </c>
      <c r="H652">
        <v>624</v>
      </c>
      <c r="I652">
        <v>248</v>
      </c>
      <c r="L652" t="s">
        <v>3138</v>
      </c>
      <c r="M652" t="s">
        <v>3668</v>
      </c>
      <c r="N652" t="s">
        <v>1630</v>
      </c>
      <c r="O652" s="4">
        <v>45673.4883912037</v>
      </c>
      <c r="P652" t="s">
        <v>116</v>
      </c>
      <c r="Q652" t="s">
        <v>1779</v>
      </c>
      <c r="R652" t="s">
        <v>3672</v>
      </c>
      <c r="T652" t="s">
        <v>116</v>
      </c>
    </row>
    <row r="653" ht="25.5" customHeight="1" spans="1:20">
      <c r="A653" t="s">
        <v>1898</v>
      </c>
      <c r="B653" t="s">
        <v>65</v>
      </c>
      <c r="C653" t="s">
        <v>3667</v>
      </c>
      <c r="D653" s="3"/>
      <c r="E653" s="2">
        <v>45674</v>
      </c>
      <c r="F653">
        <v>362000</v>
      </c>
      <c r="G653">
        <v>22100</v>
      </c>
      <c r="H653">
        <v>632</v>
      </c>
      <c r="I653">
        <v>252</v>
      </c>
      <c r="L653" t="s">
        <v>3138</v>
      </c>
      <c r="M653" t="s">
        <v>3668</v>
      </c>
      <c r="N653" t="s">
        <v>1630</v>
      </c>
      <c r="O653" s="4">
        <v>45674.6241203704</v>
      </c>
      <c r="P653" t="s">
        <v>116</v>
      </c>
      <c r="Q653" t="s">
        <v>1779</v>
      </c>
      <c r="R653" t="s">
        <v>3673</v>
      </c>
      <c r="T653" t="s">
        <v>116</v>
      </c>
    </row>
    <row r="654" ht="25.5" customHeight="1" spans="1:20">
      <c r="A654" t="s">
        <v>1898</v>
      </c>
      <c r="B654" t="s">
        <v>65</v>
      </c>
      <c r="C654" t="s">
        <v>3667</v>
      </c>
      <c r="D654" s="3"/>
      <c r="E654" s="2">
        <v>45677</v>
      </c>
      <c r="F654">
        <v>362000</v>
      </c>
      <c r="G654">
        <v>23100</v>
      </c>
      <c r="H654">
        <v>648</v>
      </c>
      <c r="I654">
        <v>261</v>
      </c>
      <c r="L654" t="s">
        <v>3138</v>
      </c>
      <c r="M654" t="s">
        <v>3668</v>
      </c>
      <c r="N654" t="s">
        <v>1630</v>
      </c>
      <c r="O654" s="4">
        <v>45677.3906481481</v>
      </c>
      <c r="P654" t="s">
        <v>116</v>
      </c>
      <c r="Q654" t="s">
        <v>1779</v>
      </c>
      <c r="R654" t="s">
        <v>3674</v>
      </c>
      <c r="T654" t="s">
        <v>116</v>
      </c>
    </row>
    <row r="655" ht="25.5" customHeight="1" spans="1:20">
      <c r="A655" t="s">
        <v>1898</v>
      </c>
      <c r="B655" t="s">
        <v>65</v>
      </c>
      <c r="C655" t="s">
        <v>3667</v>
      </c>
      <c r="D655" s="3"/>
      <c r="E655" s="2">
        <v>45678</v>
      </c>
      <c r="F655">
        <v>363000</v>
      </c>
      <c r="G655">
        <v>23400</v>
      </c>
      <c r="H655">
        <v>652</v>
      </c>
      <c r="I655">
        <v>261</v>
      </c>
      <c r="L655" t="s">
        <v>3138</v>
      </c>
      <c r="M655" t="s">
        <v>3668</v>
      </c>
      <c r="N655" t="s">
        <v>1630</v>
      </c>
      <c r="O655" s="4">
        <v>45678.4977662037</v>
      </c>
      <c r="P655" t="s">
        <v>116</v>
      </c>
      <c r="Q655" t="s">
        <v>1779</v>
      </c>
      <c r="R655" t="s">
        <v>3675</v>
      </c>
      <c r="T655" t="s">
        <v>116</v>
      </c>
    </row>
    <row r="656" ht="25.5" customHeight="1" spans="1:20">
      <c r="A656" t="s">
        <v>1898</v>
      </c>
      <c r="B656" t="s">
        <v>65</v>
      </c>
      <c r="C656" t="s">
        <v>3667</v>
      </c>
      <c r="D656" s="3"/>
      <c r="E656" s="2">
        <v>45679</v>
      </c>
      <c r="F656">
        <v>363000</v>
      </c>
      <c r="G656">
        <v>23700</v>
      </c>
      <c r="H656">
        <v>657</v>
      </c>
      <c r="I656">
        <v>262</v>
      </c>
      <c r="L656" t="s">
        <v>3138</v>
      </c>
      <c r="M656" t="s">
        <v>3668</v>
      </c>
      <c r="N656" t="s">
        <v>1630</v>
      </c>
      <c r="O656" s="4">
        <v>45679.6598726852</v>
      </c>
      <c r="P656" t="s">
        <v>116</v>
      </c>
      <c r="Q656" t="s">
        <v>1779</v>
      </c>
      <c r="R656" t="s">
        <v>3676</v>
      </c>
      <c r="T656" t="s">
        <v>116</v>
      </c>
    </row>
    <row r="657" ht="25.5" customHeight="1" spans="1:20">
      <c r="A657" t="s">
        <v>1898</v>
      </c>
      <c r="B657" t="s">
        <v>65</v>
      </c>
      <c r="C657" t="s">
        <v>3667</v>
      </c>
      <c r="D657" s="3"/>
      <c r="E657" s="2">
        <v>45680</v>
      </c>
      <c r="F657">
        <v>363000</v>
      </c>
      <c r="G657">
        <v>23900</v>
      </c>
      <c r="H657">
        <v>658</v>
      </c>
      <c r="I657">
        <v>264</v>
      </c>
      <c r="L657" t="s">
        <v>3138</v>
      </c>
      <c r="M657" t="s">
        <v>3668</v>
      </c>
      <c r="N657" t="s">
        <v>1630</v>
      </c>
      <c r="O657" s="4">
        <v>45680.5100115741</v>
      </c>
      <c r="P657" t="s">
        <v>116</v>
      </c>
      <c r="Q657" t="s">
        <v>1779</v>
      </c>
      <c r="R657" t="s">
        <v>3677</v>
      </c>
      <c r="T657" t="s">
        <v>116</v>
      </c>
    </row>
    <row r="658" ht="25.5" customHeight="1" spans="1:20">
      <c r="A658" t="s">
        <v>1898</v>
      </c>
      <c r="B658" t="s">
        <v>65</v>
      </c>
      <c r="C658" t="s">
        <v>3667</v>
      </c>
      <c r="D658" s="3"/>
      <c r="E658" s="2">
        <v>45681</v>
      </c>
      <c r="F658">
        <v>363000</v>
      </c>
      <c r="G658">
        <v>24000</v>
      </c>
      <c r="H658">
        <v>660</v>
      </c>
      <c r="I658">
        <v>267</v>
      </c>
      <c r="L658" t="s">
        <v>3138</v>
      </c>
      <c r="M658" t="s">
        <v>3668</v>
      </c>
      <c r="N658" t="s">
        <v>1630</v>
      </c>
      <c r="O658" s="4">
        <v>45681.4841898148</v>
      </c>
      <c r="P658" t="s">
        <v>116</v>
      </c>
      <c r="Q658" t="s">
        <v>1779</v>
      </c>
      <c r="R658" t="s">
        <v>3678</v>
      </c>
      <c r="T658" t="s">
        <v>116</v>
      </c>
    </row>
    <row r="659" ht="25.5" customHeight="1" spans="1:20">
      <c r="A659" t="s">
        <v>1898</v>
      </c>
      <c r="B659" t="s">
        <v>65</v>
      </c>
      <c r="C659" t="s">
        <v>3667</v>
      </c>
      <c r="D659" s="3"/>
      <c r="E659" s="2">
        <v>45683</v>
      </c>
      <c r="F659">
        <v>363000</v>
      </c>
      <c r="G659">
        <v>24300</v>
      </c>
      <c r="H659">
        <v>665</v>
      </c>
      <c r="I659">
        <v>270</v>
      </c>
      <c r="L659" t="s">
        <v>3138</v>
      </c>
      <c r="M659" t="s">
        <v>3668</v>
      </c>
      <c r="N659" t="s">
        <v>1630</v>
      </c>
      <c r="O659" s="4">
        <v>45683.7115046296</v>
      </c>
      <c r="P659" t="s">
        <v>116</v>
      </c>
      <c r="Q659" t="s">
        <v>1779</v>
      </c>
      <c r="R659" t="s">
        <v>3679</v>
      </c>
      <c r="T659" t="s">
        <v>116</v>
      </c>
    </row>
    <row r="660" ht="25.5" customHeight="1" spans="1:20">
      <c r="A660" t="s">
        <v>1898</v>
      </c>
      <c r="B660" t="s">
        <v>65</v>
      </c>
      <c r="C660" t="s">
        <v>3667</v>
      </c>
      <c r="D660" s="3"/>
      <c r="E660" s="2">
        <v>45684</v>
      </c>
      <c r="F660">
        <v>364000</v>
      </c>
      <c r="G660">
        <v>24400</v>
      </c>
      <c r="H660">
        <v>668</v>
      </c>
      <c r="I660">
        <v>271</v>
      </c>
      <c r="L660" t="s">
        <v>3138</v>
      </c>
      <c r="M660" t="s">
        <v>3668</v>
      </c>
      <c r="N660" t="s">
        <v>1630</v>
      </c>
      <c r="O660" s="4">
        <v>45684.7733217593</v>
      </c>
      <c r="P660" t="s">
        <v>116</v>
      </c>
      <c r="Q660" t="s">
        <v>1779</v>
      </c>
      <c r="R660" t="s">
        <v>3680</v>
      </c>
      <c r="T660" t="s">
        <v>116</v>
      </c>
    </row>
    <row r="661" ht="25.5" customHeight="1" spans="1:20">
      <c r="A661" t="s">
        <v>1898</v>
      </c>
      <c r="B661" t="s">
        <v>65</v>
      </c>
      <c r="C661" t="s">
        <v>3667</v>
      </c>
      <c r="D661" s="3"/>
      <c r="E661" s="2">
        <v>45693</v>
      </c>
      <c r="F661">
        <v>365000</v>
      </c>
      <c r="G661">
        <v>25000</v>
      </c>
      <c r="H661">
        <v>680</v>
      </c>
      <c r="I661">
        <v>274</v>
      </c>
      <c r="L661" t="s">
        <v>3138</v>
      </c>
      <c r="M661" t="s">
        <v>3668</v>
      </c>
      <c r="N661" t="s">
        <v>1630</v>
      </c>
      <c r="O661" s="4">
        <v>45693.7730439815</v>
      </c>
      <c r="P661" t="s">
        <v>116</v>
      </c>
      <c r="Q661" t="s">
        <v>1779</v>
      </c>
      <c r="R661" t="s">
        <v>3681</v>
      </c>
      <c r="T661" t="s">
        <v>116</v>
      </c>
    </row>
    <row r="662" ht="25.5" customHeight="1" spans="1:20">
      <c r="A662" t="s">
        <v>1898</v>
      </c>
      <c r="B662" t="s">
        <v>65</v>
      </c>
      <c r="C662" t="s">
        <v>3667</v>
      </c>
      <c r="D662" s="3"/>
      <c r="E662" s="2">
        <v>45694</v>
      </c>
      <c r="F662">
        <v>365000</v>
      </c>
      <c r="G662">
        <v>25000</v>
      </c>
      <c r="H662">
        <v>681</v>
      </c>
      <c r="I662">
        <v>274</v>
      </c>
      <c r="L662" t="s">
        <v>3138</v>
      </c>
      <c r="M662" t="s">
        <v>3668</v>
      </c>
      <c r="N662" t="s">
        <v>1630</v>
      </c>
      <c r="O662" s="4">
        <v>45698.6216782407</v>
      </c>
      <c r="P662" t="s">
        <v>116</v>
      </c>
      <c r="Q662" t="s">
        <v>1779</v>
      </c>
      <c r="R662" t="s">
        <v>3682</v>
      </c>
      <c r="S662" t="s">
        <v>3245</v>
      </c>
      <c r="T662" t="s">
        <v>116</v>
      </c>
    </row>
    <row r="663" ht="25.5" customHeight="1" spans="1:20">
      <c r="A663" t="s">
        <v>1898</v>
      </c>
      <c r="B663" t="s">
        <v>65</v>
      </c>
      <c r="C663" t="s">
        <v>3667</v>
      </c>
      <c r="D663" s="3"/>
      <c r="E663" s="2">
        <v>45695</v>
      </c>
      <c r="F663">
        <v>365000</v>
      </c>
      <c r="G663">
        <v>25000</v>
      </c>
      <c r="H663">
        <v>681</v>
      </c>
      <c r="I663">
        <v>274</v>
      </c>
      <c r="L663" t="s">
        <v>3138</v>
      </c>
      <c r="M663" t="s">
        <v>3668</v>
      </c>
      <c r="N663" t="s">
        <v>1630</v>
      </c>
      <c r="O663" s="4">
        <v>45695.4821527778</v>
      </c>
      <c r="P663" t="s">
        <v>116</v>
      </c>
      <c r="Q663" t="s">
        <v>1779</v>
      </c>
      <c r="R663" t="s">
        <v>3682</v>
      </c>
      <c r="T663" t="s">
        <v>116</v>
      </c>
    </row>
    <row r="664" ht="25.5" customHeight="1" spans="1:20">
      <c r="A664" t="s">
        <v>2736</v>
      </c>
      <c r="B664" t="s">
        <v>56</v>
      </c>
      <c r="C664" t="s">
        <v>3683</v>
      </c>
      <c r="D664" s="3" t="str">
        <f>HYPERLINK("https://www.tiktok.com/@gabzer.mp4","https://www.tiktok.com/@gabzer.mp4")</f>
        <v>https://www.tiktok.com/@gabzer.mp4</v>
      </c>
      <c r="E664" s="2">
        <v>45666</v>
      </c>
      <c r="F664">
        <v>504800</v>
      </c>
      <c r="G664">
        <v>5688</v>
      </c>
      <c r="H664">
        <v>259</v>
      </c>
      <c r="I664">
        <v>26</v>
      </c>
      <c r="J664">
        <v>222</v>
      </c>
      <c r="K664">
        <v>66</v>
      </c>
      <c r="L664" t="s">
        <v>3258</v>
      </c>
      <c r="M664" t="s">
        <v>3249</v>
      </c>
      <c r="N664" t="s">
        <v>1630</v>
      </c>
      <c r="O664" s="4">
        <v>45670.8586689815</v>
      </c>
      <c r="P664" t="s">
        <v>57</v>
      </c>
      <c r="Q664" t="s">
        <v>1779</v>
      </c>
      <c r="R664" t="s">
        <v>3684</v>
      </c>
      <c r="T664" t="s">
        <v>57</v>
      </c>
    </row>
    <row r="665" ht="25.5" customHeight="1" spans="1:20">
      <c r="A665" t="s">
        <v>2736</v>
      </c>
      <c r="B665" t="s">
        <v>56</v>
      </c>
      <c r="C665" t="s">
        <v>3683</v>
      </c>
      <c r="D665" s="3"/>
      <c r="E665" s="2">
        <v>45671</v>
      </c>
      <c r="F665">
        <v>505000</v>
      </c>
      <c r="G665">
        <v>5913</v>
      </c>
      <c r="H665">
        <v>269</v>
      </c>
      <c r="I665">
        <v>26</v>
      </c>
      <c r="J665">
        <v>230</v>
      </c>
      <c r="K665">
        <v>71</v>
      </c>
      <c r="L665" t="s">
        <v>3258</v>
      </c>
      <c r="M665" t="s">
        <v>3249</v>
      </c>
      <c r="N665" t="s">
        <v>1630</v>
      </c>
      <c r="O665" s="4">
        <v>45672.5030092593</v>
      </c>
      <c r="P665" t="s">
        <v>57</v>
      </c>
      <c r="Q665" t="s">
        <v>1779</v>
      </c>
      <c r="R665" t="s">
        <v>3685</v>
      </c>
      <c r="T665" t="s">
        <v>57</v>
      </c>
    </row>
    <row r="666" ht="25.5" customHeight="1" spans="1:20">
      <c r="A666" t="s">
        <v>2736</v>
      </c>
      <c r="B666" t="s">
        <v>56</v>
      </c>
      <c r="C666" t="s">
        <v>3683</v>
      </c>
      <c r="D666" s="3"/>
      <c r="E666" s="2">
        <v>45672</v>
      </c>
      <c r="F666">
        <v>505700</v>
      </c>
      <c r="G666">
        <v>6252</v>
      </c>
      <c r="H666">
        <v>280</v>
      </c>
      <c r="I666">
        <v>27</v>
      </c>
      <c r="J666">
        <v>234</v>
      </c>
      <c r="K666">
        <v>74</v>
      </c>
      <c r="L666" t="s">
        <v>3258</v>
      </c>
      <c r="M666" t="s">
        <v>3249</v>
      </c>
      <c r="N666" t="s">
        <v>1630</v>
      </c>
      <c r="O666" s="4">
        <v>45672.5277893519</v>
      </c>
      <c r="P666" t="s">
        <v>57</v>
      </c>
      <c r="Q666" t="s">
        <v>1779</v>
      </c>
      <c r="R666" t="s">
        <v>3686</v>
      </c>
      <c r="T666" t="s">
        <v>57</v>
      </c>
    </row>
    <row r="667" ht="25.5" customHeight="1" spans="1:20">
      <c r="A667" t="s">
        <v>2736</v>
      </c>
      <c r="B667" t="s">
        <v>56</v>
      </c>
      <c r="C667" t="s">
        <v>3683</v>
      </c>
      <c r="D667" s="3"/>
      <c r="E667" s="2">
        <v>45673</v>
      </c>
      <c r="F667">
        <v>506900</v>
      </c>
      <c r="G667">
        <v>6818</v>
      </c>
      <c r="H667">
        <v>287</v>
      </c>
      <c r="I667">
        <v>29</v>
      </c>
      <c r="J667">
        <v>243</v>
      </c>
      <c r="K667">
        <v>83</v>
      </c>
      <c r="L667" t="s">
        <v>3258</v>
      </c>
      <c r="M667" t="s">
        <v>3249</v>
      </c>
      <c r="N667" t="s">
        <v>1630</v>
      </c>
      <c r="O667" s="4">
        <v>45673.6040277778</v>
      </c>
      <c r="P667" t="s">
        <v>57</v>
      </c>
      <c r="Q667" t="s">
        <v>1779</v>
      </c>
      <c r="R667" t="s">
        <v>3687</v>
      </c>
      <c r="T667" t="s">
        <v>57</v>
      </c>
    </row>
    <row r="668" ht="25.5" customHeight="1" spans="1:20">
      <c r="A668" t="s">
        <v>2736</v>
      </c>
      <c r="B668" t="s">
        <v>56</v>
      </c>
      <c r="C668" t="s">
        <v>3683</v>
      </c>
      <c r="D668" s="3"/>
      <c r="E668" s="2">
        <v>45674</v>
      </c>
      <c r="F668">
        <v>508600</v>
      </c>
      <c r="G668">
        <v>7275</v>
      </c>
      <c r="H668">
        <v>298</v>
      </c>
      <c r="I668">
        <v>33</v>
      </c>
      <c r="J668">
        <v>250</v>
      </c>
      <c r="K668">
        <v>85</v>
      </c>
      <c r="L668" t="s">
        <v>3258</v>
      </c>
      <c r="M668" t="s">
        <v>3249</v>
      </c>
      <c r="N668" t="s">
        <v>1630</v>
      </c>
      <c r="O668" s="4">
        <v>45674.6684837963</v>
      </c>
      <c r="P668" t="s">
        <v>57</v>
      </c>
      <c r="Q668" t="s">
        <v>1779</v>
      </c>
      <c r="R668" t="s">
        <v>3688</v>
      </c>
      <c r="T668" t="s">
        <v>57</v>
      </c>
    </row>
    <row r="669" ht="25.5" customHeight="1" spans="1:20">
      <c r="A669" t="s">
        <v>2736</v>
      </c>
      <c r="B669" t="s">
        <v>56</v>
      </c>
      <c r="C669" t="s">
        <v>3683</v>
      </c>
      <c r="D669" s="3"/>
      <c r="E669" s="2">
        <v>45677</v>
      </c>
      <c r="F669">
        <v>511300</v>
      </c>
      <c r="G669">
        <v>8417</v>
      </c>
      <c r="H669">
        <v>334</v>
      </c>
      <c r="I669">
        <v>37</v>
      </c>
      <c r="J669">
        <v>284</v>
      </c>
      <c r="K669">
        <v>97</v>
      </c>
      <c r="L669" t="s">
        <v>3258</v>
      </c>
      <c r="M669" t="s">
        <v>3249</v>
      </c>
      <c r="N669" t="s">
        <v>1630</v>
      </c>
      <c r="O669" s="4">
        <v>45677.425162037</v>
      </c>
      <c r="P669" t="s">
        <v>57</v>
      </c>
      <c r="Q669" t="s">
        <v>1779</v>
      </c>
      <c r="R669" t="s">
        <v>3689</v>
      </c>
      <c r="T669" t="s">
        <v>57</v>
      </c>
    </row>
    <row r="670" ht="25.5" customHeight="1" spans="1:20">
      <c r="A670" t="s">
        <v>2736</v>
      </c>
      <c r="B670" t="s">
        <v>56</v>
      </c>
      <c r="C670" t="s">
        <v>3683</v>
      </c>
      <c r="D670" s="3"/>
      <c r="E670" s="2">
        <v>45678</v>
      </c>
      <c r="F670">
        <v>512000</v>
      </c>
      <c r="G670">
        <v>8738</v>
      </c>
      <c r="H670">
        <v>342</v>
      </c>
      <c r="I670">
        <v>40</v>
      </c>
      <c r="J670">
        <v>289</v>
      </c>
      <c r="K670">
        <v>107</v>
      </c>
      <c r="L670" t="s">
        <v>3258</v>
      </c>
      <c r="M670" t="s">
        <v>3249</v>
      </c>
      <c r="N670" t="s">
        <v>1630</v>
      </c>
      <c r="O670" s="4">
        <v>45678.6218287037</v>
      </c>
      <c r="P670" t="s">
        <v>57</v>
      </c>
      <c r="Q670" t="s">
        <v>1779</v>
      </c>
      <c r="R670" t="s">
        <v>3690</v>
      </c>
      <c r="T670" t="s">
        <v>57</v>
      </c>
    </row>
    <row r="671" ht="25.5" customHeight="1" spans="1:20">
      <c r="A671" t="s">
        <v>2736</v>
      </c>
      <c r="B671" t="s">
        <v>56</v>
      </c>
      <c r="C671" t="s">
        <v>3683</v>
      </c>
      <c r="D671" s="3"/>
      <c r="E671" s="2">
        <v>45679</v>
      </c>
      <c r="F671">
        <v>512800</v>
      </c>
      <c r="G671">
        <v>8955</v>
      </c>
      <c r="H671">
        <v>346</v>
      </c>
      <c r="I671">
        <v>40</v>
      </c>
      <c r="J671">
        <v>294</v>
      </c>
      <c r="K671">
        <v>109</v>
      </c>
      <c r="L671" t="s">
        <v>3258</v>
      </c>
      <c r="M671" t="s">
        <v>3249</v>
      </c>
      <c r="N671" t="s">
        <v>1630</v>
      </c>
      <c r="O671" s="4">
        <v>45679.6896643518</v>
      </c>
      <c r="P671" t="s">
        <v>57</v>
      </c>
      <c r="Q671" t="s">
        <v>1779</v>
      </c>
      <c r="R671" t="s">
        <v>3691</v>
      </c>
      <c r="T671" t="s">
        <v>57</v>
      </c>
    </row>
    <row r="672" ht="25.5" customHeight="1" spans="1:20">
      <c r="A672" t="s">
        <v>2736</v>
      </c>
      <c r="B672" t="s">
        <v>56</v>
      </c>
      <c r="C672" t="s">
        <v>3683</v>
      </c>
      <c r="D672" s="3"/>
      <c r="E672" s="2">
        <v>45680</v>
      </c>
      <c r="F672">
        <v>513300</v>
      </c>
      <c r="G672">
        <v>9117</v>
      </c>
      <c r="H672">
        <v>349</v>
      </c>
      <c r="I672">
        <v>40</v>
      </c>
      <c r="J672">
        <v>296</v>
      </c>
      <c r="K672">
        <v>109</v>
      </c>
      <c r="L672" t="s">
        <v>3195</v>
      </c>
      <c r="M672" t="s">
        <v>3249</v>
      </c>
      <c r="N672" t="s">
        <v>1630</v>
      </c>
      <c r="O672" s="4">
        <v>45680.6440046296</v>
      </c>
      <c r="P672" t="s">
        <v>57</v>
      </c>
      <c r="Q672" t="s">
        <v>1779</v>
      </c>
      <c r="R672" t="s">
        <v>3692</v>
      </c>
      <c r="T672" t="s">
        <v>57</v>
      </c>
    </row>
    <row r="673" ht="25.5" customHeight="1" spans="1:20">
      <c r="A673" t="s">
        <v>2736</v>
      </c>
      <c r="B673" t="s">
        <v>56</v>
      </c>
      <c r="C673" t="s">
        <v>3683</v>
      </c>
      <c r="D673" s="3"/>
      <c r="E673" s="2">
        <v>45681</v>
      </c>
      <c r="F673">
        <v>513700</v>
      </c>
      <c r="G673">
        <v>9250</v>
      </c>
      <c r="H673">
        <v>350</v>
      </c>
      <c r="I673">
        <v>40</v>
      </c>
      <c r="J673">
        <v>299</v>
      </c>
      <c r="K673">
        <v>109</v>
      </c>
      <c r="L673" t="s">
        <v>3195</v>
      </c>
      <c r="M673" t="s">
        <v>3249</v>
      </c>
      <c r="N673" t="s">
        <v>1630</v>
      </c>
      <c r="O673" s="4">
        <v>45681.6036458333</v>
      </c>
      <c r="P673" t="s">
        <v>57</v>
      </c>
      <c r="Q673" t="s">
        <v>1779</v>
      </c>
      <c r="R673" t="s">
        <v>3693</v>
      </c>
      <c r="T673" t="s">
        <v>57</v>
      </c>
    </row>
    <row r="674" ht="25.5" customHeight="1" spans="1:20">
      <c r="A674" t="s">
        <v>2736</v>
      </c>
      <c r="B674" t="s">
        <v>56</v>
      </c>
      <c r="C674" t="s">
        <v>3683</v>
      </c>
      <c r="D674" s="3"/>
      <c r="E674" s="2">
        <v>45683</v>
      </c>
      <c r="F674">
        <v>514700</v>
      </c>
      <c r="G674">
        <v>9514</v>
      </c>
      <c r="H674">
        <v>354</v>
      </c>
      <c r="I674">
        <v>41</v>
      </c>
      <c r="J674">
        <v>300</v>
      </c>
      <c r="K674">
        <v>111</v>
      </c>
      <c r="L674" t="s">
        <v>3195</v>
      </c>
      <c r="M674" t="s">
        <v>3249</v>
      </c>
      <c r="N674" t="s">
        <v>1630</v>
      </c>
      <c r="O674" s="4">
        <v>45683.7618981482</v>
      </c>
      <c r="P674" t="s">
        <v>57</v>
      </c>
      <c r="Q674" t="s">
        <v>1779</v>
      </c>
      <c r="R674" t="s">
        <v>3694</v>
      </c>
      <c r="T674" t="s">
        <v>57</v>
      </c>
    </row>
    <row r="675" ht="25.5" customHeight="1" spans="1:20">
      <c r="A675" t="s">
        <v>2736</v>
      </c>
      <c r="B675" t="s">
        <v>56</v>
      </c>
      <c r="C675" t="s">
        <v>3683</v>
      </c>
      <c r="D675" s="3"/>
      <c r="E675" s="2">
        <v>45684</v>
      </c>
      <c r="F675">
        <v>515200</v>
      </c>
      <c r="G675">
        <v>9705</v>
      </c>
      <c r="H675">
        <v>357</v>
      </c>
      <c r="I675">
        <v>42</v>
      </c>
      <c r="J675">
        <v>300</v>
      </c>
      <c r="K675">
        <v>113</v>
      </c>
      <c r="L675" t="s">
        <v>3195</v>
      </c>
      <c r="M675" t="s">
        <v>3249</v>
      </c>
      <c r="N675" t="s">
        <v>1630</v>
      </c>
      <c r="O675" s="4">
        <v>45684.8288078704</v>
      </c>
      <c r="P675" t="s">
        <v>57</v>
      </c>
      <c r="Q675" t="s">
        <v>1779</v>
      </c>
      <c r="R675" t="s">
        <v>3695</v>
      </c>
      <c r="T675" t="s">
        <v>57</v>
      </c>
    </row>
    <row r="676" ht="25.5" customHeight="1" spans="1:20">
      <c r="A676" t="s">
        <v>2736</v>
      </c>
      <c r="B676" t="s">
        <v>56</v>
      </c>
      <c r="C676" t="s">
        <v>3683</v>
      </c>
      <c r="D676" s="3"/>
      <c r="E676" s="2">
        <v>45693</v>
      </c>
      <c r="F676">
        <v>518800</v>
      </c>
      <c r="G676">
        <v>11200</v>
      </c>
      <c r="H676">
        <v>379</v>
      </c>
      <c r="I676">
        <v>46</v>
      </c>
      <c r="J676">
        <v>318</v>
      </c>
      <c r="K676">
        <v>129</v>
      </c>
      <c r="L676" t="s">
        <v>3195</v>
      </c>
      <c r="M676" t="s">
        <v>3249</v>
      </c>
      <c r="N676" t="s">
        <v>1630</v>
      </c>
      <c r="O676" s="4">
        <v>45693.8024537037</v>
      </c>
      <c r="P676" t="s">
        <v>57</v>
      </c>
      <c r="Q676" t="s">
        <v>1779</v>
      </c>
      <c r="R676" t="s">
        <v>3672</v>
      </c>
      <c r="T676" t="s">
        <v>57</v>
      </c>
    </row>
    <row r="677" ht="25.5" customHeight="1" spans="1:20">
      <c r="A677" t="s">
        <v>2736</v>
      </c>
      <c r="B677" t="s">
        <v>56</v>
      </c>
      <c r="C677" t="s">
        <v>3683</v>
      </c>
      <c r="D677" s="3"/>
      <c r="E677" s="2">
        <v>45694</v>
      </c>
      <c r="F677">
        <v>519100</v>
      </c>
      <c r="G677">
        <v>11300</v>
      </c>
      <c r="H677">
        <v>383</v>
      </c>
      <c r="I677">
        <v>46</v>
      </c>
      <c r="J677">
        <v>321</v>
      </c>
      <c r="K677">
        <v>129</v>
      </c>
      <c r="L677" t="s">
        <v>3195</v>
      </c>
      <c r="M677" t="s">
        <v>3249</v>
      </c>
      <c r="N677" t="s">
        <v>1630</v>
      </c>
      <c r="O677" s="4">
        <v>45698.6216782407</v>
      </c>
      <c r="P677" t="s">
        <v>57</v>
      </c>
      <c r="Q677" t="s">
        <v>1779</v>
      </c>
      <c r="R677" t="s">
        <v>3696</v>
      </c>
      <c r="S677" t="s">
        <v>3169</v>
      </c>
      <c r="T677" t="s">
        <v>57</v>
      </c>
    </row>
    <row r="678" ht="25.5" customHeight="1" spans="1:20">
      <c r="A678" t="s">
        <v>1893</v>
      </c>
      <c r="B678" t="s">
        <v>269</v>
      </c>
      <c r="C678" t="s">
        <v>3697</v>
      </c>
      <c r="D678" s="3"/>
      <c r="E678" s="2">
        <v>45666</v>
      </c>
      <c r="F678">
        <v>2120</v>
      </c>
      <c r="G678">
        <v>579</v>
      </c>
      <c r="H678">
        <v>24</v>
      </c>
      <c r="I678">
        <v>2</v>
      </c>
      <c r="L678" t="s">
        <v>3331</v>
      </c>
      <c r="M678" t="s">
        <v>3522</v>
      </c>
      <c r="N678" t="s">
        <v>1630</v>
      </c>
      <c r="O678" s="4">
        <v>45670.7713425926</v>
      </c>
      <c r="P678" t="s">
        <v>423</v>
      </c>
      <c r="Q678" t="s">
        <v>1779</v>
      </c>
      <c r="R678" t="s">
        <v>3698</v>
      </c>
      <c r="T678" t="s">
        <v>423</v>
      </c>
    </row>
    <row r="679" ht="25.5" customHeight="1" spans="1:20">
      <c r="A679" t="s">
        <v>1893</v>
      </c>
      <c r="B679" t="s">
        <v>269</v>
      </c>
      <c r="C679" t="s">
        <v>3697</v>
      </c>
      <c r="D679" s="3"/>
      <c r="E679" s="2">
        <v>45674</v>
      </c>
      <c r="F679">
        <v>2140</v>
      </c>
      <c r="G679">
        <v>660</v>
      </c>
      <c r="H679">
        <v>25</v>
      </c>
      <c r="I679">
        <v>2</v>
      </c>
      <c r="L679" t="s">
        <v>3331</v>
      </c>
      <c r="M679" t="s">
        <v>3522</v>
      </c>
      <c r="N679" t="s">
        <v>1630</v>
      </c>
      <c r="O679" s="4">
        <v>45674.7136226852</v>
      </c>
      <c r="P679" t="s">
        <v>423</v>
      </c>
      <c r="Q679" t="s">
        <v>1779</v>
      </c>
      <c r="R679" t="s">
        <v>3699</v>
      </c>
      <c r="T679" t="s">
        <v>423</v>
      </c>
    </row>
    <row r="680" ht="25.5" customHeight="1" spans="1:20">
      <c r="A680" t="s">
        <v>1893</v>
      </c>
      <c r="B680" t="s">
        <v>269</v>
      </c>
      <c r="C680" t="s">
        <v>3697</v>
      </c>
      <c r="D680" s="3"/>
      <c r="E680" s="2">
        <v>45677</v>
      </c>
      <c r="F680">
        <v>2160</v>
      </c>
      <c r="G680">
        <v>478</v>
      </c>
      <c r="H680">
        <v>25</v>
      </c>
      <c r="I680">
        <v>2</v>
      </c>
      <c r="L680" t="s">
        <v>3331</v>
      </c>
      <c r="M680" t="s">
        <v>3522</v>
      </c>
      <c r="N680" t="s">
        <v>1630</v>
      </c>
      <c r="O680" s="4">
        <v>45677.4165625</v>
      </c>
      <c r="P680" t="s">
        <v>423</v>
      </c>
      <c r="Q680" t="s">
        <v>1779</v>
      </c>
      <c r="R680" t="s">
        <v>3699</v>
      </c>
      <c r="T680" t="s">
        <v>423</v>
      </c>
    </row>
    <row r="681" ht="25.5" customHeight="1" spans="1:20">
      <c r="A681" t="s">
        <v>1893</v>
      </c>
      <c r="B681" t="s">
        <v>269</v>
      </c>
      <c r="C681" t="s">
        <v>3697</v>
      </c>
      <c r="D681" s="3"/>
      <c r="E681" s="2">
        <v>45678</v>
      </c>
      <c r="F681">
        <v>2160</v>
      </c>
      <c r="G681">
        <v>479</v>
      </c>
      <c r="H681">
        <v>23</v>
      </c>
      <c r="I681">
        <v>2</v>
      </c>
      <c r="L681" t="s">
        <v>3331</v>
      </c>
      <c r="M681" t="s">
        <v>3522</v>
      </c>
      <c r="N681" t="s">
        <v>1630</v>
      </c>
      <c r="O681" s="4">
        <v>45678.5200347222</v>
      </c>
      <c r="P681" t="s">
        <v>423</v>
      </c>
      <c r="Q681" t="s">
        <v>1779</v>
      </c>
      <c r="R681" t="s">
        <v>3557</v>
      </c>
      <c r="T681" t="s">
        <v>423</v>
      </c>
    </row>
    <row r="682" ht="25.5" customHeight="1" spans="1:20">
      <c r="A682" t="s">
        <v>1893</v>
      </c>
      <c r="B682" t="s">
        <v>269</v>
      </c>
      <c r="C682" t="s">
        <v>3697</v>
      </c>
      <c r="D682" s="3"/>
      <c r="E682" s="2">
        <v>45679</v>
      </c>
      <c r="F682">
        <v>2170</v>
      </c>
      <c r="G682">
        <v>479</v>
      </c>
      <c r="H682">
        <v>25</v>
      </c>
      <c r="I682">
        <v>2</v>
      </c>
      <c r="L682" t="s">
        <v>3331</v>
      </c>
      <c r="M682" t="s">
        <v>3522</v>
      </c>
      <c r="N682" t="s">
        <v>1630</v>
      </c>
      <c r="O682" s="4">
        <v>45679.6802430556</v>
      </c>
      <c r="P682" t="s">
        <v>423</v>
      </c>
      <c r="Q682" t="s">
        <v>1779</v>
      </c>
      <c r="R682" t="s">
        <v>3699</v>
      </c>
      <c r="T682" t="s">
        <v>423</v>
      </c>
    </row>
    <row r="683" ht="25.5" customHeight="1" spans="1:20">
      <c r="A683" t="s">
        <v>1893</v>
      </c>
      <c r="B683" t="s">
        <v>269</v>
      </c>
      <c r="C683" t="s">
        <v>3697</v>
      </c>
      <c r="D683" s="3"/>
      <c r="E683" s="2">
        <v>45680</v>
      </c>
      <c r="F683">
        <v>2170</v>
      </c>
      <c r="G683">
        <v>480</v>
      </c>
      <c r="H683">
        <v>25</v>
      </c>
      <c r="I683">
        <v>2</v>
      </c>
      <c r="L683" t="s">
        <v>3331</v>
      </c>
      <c r="M683" t="s">
        <v>3522</v>
      </c>
      <c r="N683" t="s">
        <v>1630</v>
      </c>
      <c r="O683" s="4">
        <v>45680.6300578704</v>
      </c>
      <c r="P683" t="s">
        <v>423</v>
      </c>
      <c r="Q683" t="s">
        <v>1779</v>
      </c>
      <c r="R683" t="s">
        <v>3699</v>
      </c>
      <c r="T683" t="s">
        <v>423</v>
      </c>
    </row>
    <row r="684" ht="25.5" customHeight="1" spans="1:20">
      <c r="A684" t="s">
        <v>1893</v>
      </c>
      <c r="B684" t="s">
        <v>269</v>
      </c>
      <c r="C684" t="s">
        <v>3697</v>
      </c>
      <c r="D684" s="3"/>
      <c r="E684" s="2">
        <v>45681</v>
      </c>
      <c r="F684">
        <v>2170</v>
      </c>
      <c r="G684">
        <v>602</v>
      </c>
      <c r="H684">
        <v>25</v>
      </c>
      <c r="I684">
        <v>2</v>
      </c>
      <c r="L684" t="s">
        <v>3331</v>
      </c>
      <c r="M684" t="s">
        <v>3522</v>
      </c>
      <c r="N684" t="s">
        <v>1630</v>
      </c>
      <c r="O684" s="4">
        <v>45681.5315046296</v>
      </c>
      <c r="P684" t="s">
        <v>423</v>
      </c>
      <c r="Q684" t="s">
        <v>1779</v>
      </c>
      <c r="R684" t="s">
        <v>3699</v>
      </c>
      <c r="T684" t="s">
        <v>423</v>
      </c>
    </row>
    <row r="685" ht="25.5" customHeight="1" spans="1:20">
      <c r="A685" t="s">
        <v>1893</v>
      </c>
      <c r="B685" t="s">
        <v>269</v>
      </c>
      <c r="C685" t="s">
        <v>3697</v>
      </c>
      <c r="D685" s="3"/>
      <c r="E685" s="2">
        <v>45683</v>
      </c>
      <c r="F685">
        <v>2170</v>
      </c>
      <c r="G685">
        <v>604</v>
      </c>
      <c r="H685">
        <v>25</v>
      </c>
      <c r="I685">
        <v>2</v>
      </c>
      <c r="L685" t="s">
        <v>3331</v>
      </c>
      <c r="M685" t="s">
        <v>3522</v>
      </c>
      <c r="N685" t="s">
        <v>1630</v>
      </c>
      <c r="O685" s="4">
        <v>45683.743125</v>
      </c>
      <c r="P685" t="s">
        <v>423</v>
      </c>
      <c r="Q685" t="s">
        <v>1779</v>
      </c>
      <c r="R685" t="s">
        <v>3699</v>
      </c>
      <c r="T685" t="s">
        <v>423</v>
      </c>
    </row>
    <row r="686" ht="25.5" customHeight="1" spans="1:20">
      <c r="A686" t="s">
        <v>1893</v>
      </c>
      <c r="B686" t="s">
        <v>269</v>
      </c>
      <c r="C686" t="s">
        <v>3697</v>
      </c>
      <c r="D686" s="3"/>
      <c r="E686" s="2">
        <v>45684</v>
      </c>
      <c r="F686">
        <v>2180</v>
      </c>
      <c r="G686">
        <v>606</v>
      </c>
      <c r="H686">
        <v>25</v>
      </c>
      <c r="I686">
        <v>2</v>
      </c>
      <c r="L686" t="s">
        <v>3331</v>
      </c>
      <c r="M686" t="s">
        <v>3522</v>
      </c>
      <c r="N686" t="s">
        <v>1630</v>
      </c>
      <c r="O686" s="4">
        <v>45684.7918055556</v>
      </c>
      <c r="P686" t="s">
        <v>423</v>
      </c>
      <c r="Q686" t="s">
        <v>1779</v>
      </c>
      <c r="R686" t="s">
        <v>3699</v>
      </c>
      <c r="T686" t="s">
        <v>423</v>
      </c>
    </row>
    <row r="687" ht="25.5" customHeight="1" spans="1:20">
      <c r="A687" t="s">
        <v>1893</v>
      </c>
      <c r="B687" t="s">
        <v>269</v>
      </c>
      <c r="C687" t="s">
        <v>3697</v>
      </c>
      <c r="D687" s="3"/>
      <c r="E687" s="2">
        <v>45693</v>
      </c>
      <c r="F687">
        <v>2210</v>
      </c>
      <c r="G687">
        <v>612</v>
      </c>
      <c r="H687">
        <v>25</v>
      </c>
      <c r="I687">
        <v>2</v>
      </c>
      <c r="L687" t="s">
        <v>3331</v>
      </c>
      <c r="M687" t="s">
        <v>3522</v>
      </c>
      <c r="N687" t="s">
        <v>1630</v>
      </c>
      <c r="O687" s="4">
        <v>45693.7896527778</v>
      </c>
      <c r="P687" t="s">
        <v>423</v>
      </c>
      <c r="Q687" t="s">
        <v>1779</v>
      </c>
      <c r="R687" t="s">
        <v>3699</v>
      </c>
      <c r="T687" t="s">
        <v>423</v>
      </c>
    </row>
    <row r="688" ht="25.5" customHeight="1" spans="1:20">
      <c r="A688" t="s">
        <v>1893</v>
      </c>
      <c r="B688" t="s">
        <v>269</v>
      </c>
      <c r="C688" t="s">
        <v>3697</v>
      </c>
      <c r="D688" s="3"/>
      <c r="E688" s="2">
        <v>45694</v>
      </c>
      <c r="F688">
        <v>2210</v>
      </c>
      <c r="G688">
        <v>614</v>
      </c>
      <c r="H688">
        <v>25</v>
      </c>
      <c r="I688">
        <v>2</v>
      </c>
      <c r="L688" t="s">
        <v>3331</v>
      </c>
      <c r="M688" t="s">
        <v>3522</v>
      </c>
      <c r="N688" t="s">
        <v>1630</v>
      </c>
      <c r="O688" s="4">
        <v>45698.6216782407</v>
      </c>
      <c r="P688" t="s">
        <v>423</v>
      </c>
      <c r="Q688" t="s">
        <v>1779</v>
      </c>
      <c r="R688" t="s">
        <v>3699</v>
      </c>
      <c r="S688" t="s">
        <v>3301</v>
      </c>
      <c r="T688" t="s">
        <v>423</v>
      </c>
    </row>
    <row r="689" ht="25.5" customHeight="1" spans="1:20">
      <c r="A689" t="s">
        <v>1893</v>
      </c>
      <c r="B689" t="s">
        <v>269</v>
      </c>
      <c r="C689" t="s">
        <v>3697</v>
      </c>
      <c r="D689" s="3"/>
      <c r="E689" s="2">
        <v>45695</v>
      </c>
      <c r="F689">
        <v>2220</v>
      </c>
      <c r="G689">
        <v>617</v>
      </c>
      <c r="H689">
        <v>25</v>
      </c>
      <c r="I689">
        <v>2</v>
      </c>
      <c r="L689" t="s">
        <v>3331</v>
      </c>
      <c r="M689" t="s">
        <v>3522</v>
      </c>
      <c r="N689" t="s">
        <v>1630</v>
      </c>
      <c r="O689" s="4">
        <v>45696.424525463</v>
      </c>
      <c r="P689" t="s">
        <v>423</v>
      </c>
      <c r="Q689" t="s">
        <v>1779</v>
      </c>
      <c r="R689" t="s">
        <v>3699</v>
      </c>
      <c r="T689" t="s">
        <v>423</v>
      </c>
    </row>
    <row r="690" ht="25.5" customHeight="1" spans="1:20">
      <c r="A690" t="s">
        <v>2279</v>
      </c>
      <c r="B690" t="s">
        <v>65</v>
      </c>
      <c r="C690" t="s">
        <v>3700</v>
      </c>
      <c r="D690" s="3" t="str">
        <f>HYPERLINK("https://www.instagram.com/geekformante/reels/","https://www.instagram.com/geekformante/reels/")</f>
        <v>https://www.instagram.com/geekformante/reels/</v>
      </c>
      <c r="E690" s="2">
        <v>45678</v>
      </c>
      <c r="F690">
        <v>64200</v>
      </c>
      <c r="G690">
        <v>5501</v>
      </c>
      <c r="H690">
        <v>274</v>
      </c>
      <c r="I690">
        <v>10</v>
      </c>
      <c r="L690" t="s">
        <v>3138</v>
      </c>
      <c r="M690" t="s">
        <v>3493</v>
      </c>
      <c r="N690" t="s">
        <v>1630</v>
      </c>
      <c r="O690" s="4">
        <v>45678.498275463</v>
      </c>
      <c r="P690" t="s">
        <v>116</v>
      </c>
      <c r="Q690" t="s">
        <v>1753</v>
      </c>
      <c r="R690" t="s">
        <v>3701</v>
      </c>
      <c r="T690" t="s">
        <v>116</v>
      </c>
    </row>
    <row r="691" ht="25.5" customHeight="1" spans="1:20">
      <c r="A691" t="s">
        <v>2279</v>
      </c>
      <c r="B691" t="s">
        <v>65</v>
      </c>
      <c r="C691" t="s">
        <v>3700</v>
      </c>
      <c r="D691" s="3"/>
      <c r="E691" s="2">
        <v>45679</v>
      </c>
      <c r="F691">
        <v>64200</v>
      </c>
      <c r="G691">
        <v>7402</v>
      </c>
      <c r="H691">
        <v>358</v>
      </c>
      <c r="I691">
        <v>10</v>
      </c>
      <c r="L691" t="s">
        <v>3331</v>
      </c>
      <c r="M691" t="s">
        <v>3493</v>
      </c>
      <c r="N691" t="s">
        <v>1630</v>
      </c>
      <c r="O691" s="4">
        <v>45679.6600578704</v>
      </c>
      <c r="P691" t="s">
        <v>116</v>
      </c>
      <c r="Q691" t="s">
        <v>1753</v>
      </c>
      <c r="R691" t="s">
        <v>3483</v>
      </c>
      <c r="T691" t="s">
        <v>116</v>
      </c>
    </row>
    <row r="692" ht="25.5" customHeight="1" spans="1:20">
      <c r="A692" t="s">
        <v>2279</v>
      </c>
      <c r="B692" t="s">
        <v>65</v>
      </c>
      <c r="C692" t="s">
        <v>3700</v>
      </c>
      <c r="D692" s="3"/>
      <c r="E692" s="2">
        <v>45680</v>
      </c>
      <c r="F692">
        <v>64200</v>
      </c>
      <c r="G692">
        <v>7727</v>
      </c>
      <c r="H692">
        <v>371</v>
      </c>
      <c r="I692">
        <v>10</v>
      </c>
      <c r="L692" t="s">
        <v>3331</v>
      </c>
      <c r="M692" t="s">
        <v>3493</v>
      </c>
      <c r="N692" t="s">
        <v>1630</v>
      </c>
      <c r="O692" s="4">
        <v>45680.5103125</v>
      </c>
      <c r="P692" t="s">
        <v>116</v>
      </c>
      <c r="Q692" t="s">
        <v>1753</v>
      </c>
      <c r="R692" t="s">
        <v>3702</v>
      </c>
      <c r="T692" t="s">
        <v>116</v>
      </c>
    </row>
    <row r="693" ht="25.5" customHeight="1" spans="1:20">
      <c r="A693" t="s">
        <v>2279</v>
      </c>
      <c r="B693" t="s">
        <v>65</v>
      </c>
      <c r="C693" t="s">
        <v>3700</v>
      </c>
      <c r="D693" s="3"/>
      <c r="E693" s="2">
        <v>45681</v>
      </c>
      <c r="F693">
        <v>64100</v>
      </c>
      <c r="G693">
        <v>7891</v>
      </c>
      <c r="H693">
        <v>376</v>
      </c>
      <c r="I693">
        <v>10</v>
      </c>
      <c r="L693" t="s">
        <v>3331</v>
      </c>
      <c r="M693" t="s">
        <v>3493</v>
      </c>
      <c r="N693" t="s">
        <v>1630</v>
      </c>
      <c r="O693" s="4">
        <v>45681.4855208333</v>
      </c>
      <c r="P693" t="s">
        <v>116</v>
      </c>
      <c r="Q693" t="s">
        <v>1753</v>
      </c>
      <c r="R693" t="s">
        <v>3703</v>
      </c>
      <c r="T693" t="s">
        <v>116</v>
      </c>
    </row>
    <row r="694" ht="25.5" customHeight="1" spans="1:20">
      <c r="A694" t="s">
        <v>2279</v>
      </c>
      <c r="B694" t="s">
        <v>65</v>
      </c>
      <c r="C694" t="s">
        <v>3700</v>
      </c>
      <c r="D694" s="3"/>
      <c r="E694" s="2">
        <v>45683</v>
      </c>
      <c r="F694">
        <v>64100</v>
      </c>
      <c r="G694">
        <v>8096</v>
      </c>
      <c r="H694">
        <v>385</v>
      </c>
      <c r="I694">
        <v>10</v>
      </c>
      <c r="L694" t="s">
        <v>3331</v>
      </c>
      <c r="M694" t="s">
        <v>3493</v>
      </c>
      <c r="N694" t="s">
        <v>1630</v>
      </c>
      <c r="O694" s="4">
        <v>45683.7117476852</v>
      </c>
      <c r="P694" t="s">
        <v>116</v>
      </c>
      <c r="Q694" t="s">
        <v>1753</v>
      </c>
      <c r="R694" t="s">
        <v>3704</v>
      </c>
      <c r="T694" t="s">
        <v>116</v>
      </c>
    </row>
    <row r="695" ht="25.5" customHeight="1" spans="1:20">
      <c r="A695" t="s">
        <v>2279</v>
      </c>
      <c r="B695" t="s">
        <v>65</v>
      </c>
      <c r="C695" t="s">
        <v>3700</v>
      </c>
      <c r="D695" s="3"/>
      <c r="E695" s="2">
        <v>45684</v>
      </c>
      <c r="F695">
        <v>64100</v>
      </c>
      <c r="G695">
        <v>8153</v>
      </c>
      <c r="H695">
        <v>385</v>
      </c>
      <c r="I695">
        <v>10</v>
      </c>
      <c r="L695" t="s">
        <v>3331</v>
      </c>
      <c r="M695" t="s">
        <v>3493</v>
      </c>
      <c r="N695" t="s">
        <v>1630</v>
      </c>
      <c r="O695" s="4">
        <v>45684.7735648148</v>
      </c>
      <c r="P695" t="s">
        <v>116</v>
      </c>
      <c r="Q695" t="s">
        <v>1753</v>
      </c>
      <c r="R695" t="s">
        <v>3704</v>
      </c>
      <c r="T695" t="s">
        <v>116</v>
      </c>
    </row>
    <row r="696" ht="25.5" customHeight="1" spans="1:20">
      <c r="A696" t="s">
        <v>2279</v>
      </c>
      <c r="B696" t="s">
        <v>65</v>
      </c>
      <c r="C696" t="s">
        <v>3700</v>
      </c>
      <c r="D696" s="3"/>
      <c r="E696" s="2">
        <v>45693</v>
      </c>
      <c r="F696">
        <v>64000</v>
      </c>
      <c r="G696">
        <v>8748</v>
      </c>
      <c r="H696">
        <v>400</v>
      </c>
      <c r="I696">
        <v>10</v>
      </c>
      <c r="L696" t="s">
        <v>3331</v>
      </c>
      <c r="M696" t="s">
        <v>3493</v>
      </c>
      <c r="N696" t="s">
        <v>1630</v>
      </c>
      <c r="O696" s="4">
        <v>45693.7733564815</v>
      </c>
      <c r="P696" t="s">
        <v>116</v>
      </c>
      <c r="Q696" t="s">
        <v>1753</v>
      </c>
      <c r="R696" t="s">
        <v>3379</v>
      </c>
      <c r="T696" t="s">
        <v>116</v>
      </c>
    </row>
    <row r="697" ht="25.5" customHeight="1" spans="1:20">
      <c r="A697" t="s">
        <v>2279</v>
      </c>
      <c r="B697" t="s">
        <v>65</v>
      </c>
      <c r="C697" t="s">
        <v>3700</v>
      </c>
      <c r="D697" s="3"/>
      <c r="E697" s="2">
        <v>45694</v>
      </c>
      <c r="F697">
        <v>64000</v>
      </c>
      <c r="G697">
        <v>8756</v>
      </c>
      <c r="H697">
        <v>400</v>
      </c>
      <c r="I697">
        <v>10</v>
      </c>
      <c r="L697" t="s">
        <v>3331</v>
      </c>
      <c r="M697" t="s">
        <v>3493</v>
      </c>
      <c r="N697" t="s">
        <v>1630</v>
      </c>
      <c r="O697" s="4">
        <v>45698.6216782407</v>
      </c>
      <c r="P697" t="s">
        <v>116</v>
      </c>
      <c r="Q697" t="s">
        <v>1753</v>
      </c>
      <c r="R697" t="s">
        <v>3379</v>
      </c>
      <c r="S697" t="s">
        <v>3180</v>
      </c>
      <c r="T697" t="s">
        <v>116</v>
      </c>
    </row>
    <row r="698" ht="25.5" customHeight="1" spans="1:20">
      <c r="A698" t="s">
        <v>2279</v>
      </c>
      <c r="B698" t="s">
        <v>65</v>
      </c>
      <c r="C698" t="s">
        <v>3700</v>
      </c>
      <c r="D698" s="3"/>
      <c r="E698" s="2">
        <v>45695</v>
      </c>
      <c r="F698">
        <v>64000</v>
      </c>
      <c r="G698">
        <v>8768</v>
      </c>
      <c r="H698">
        <v>400</v>
      </c>
      <c r="I698">
        <v>10</v>
      </c>
      <c r="L698" t="s">
        <v>3331</v>
      </c>
      <c r="M698" t="s">
        <v>3493</v>
      </c>
      <c r="N698" t="s">
        <v>1630</v>
      </c>
      <c r="O698" s="4">
        <v>45695.4826967593</v>
      </c>
      <c r="P698" t="s">
        <v>116</v>
      </c>
      <c r="Q698" t="s">
        <v>1753</v>
      </c>
      <c r="R698" t="s">
        <v>3379</v>
      </c>
      <c r="T698" t="s">
        <v>116</v>
      </c>
    </row>
    <row r="699" ht="25.5" customHeight="1" spans="1:20">
      <c r="A699" t="s">
        <v>2279</v>
      </c>
      <c r="B699" t="s">
        <v>65</v>
      </c>
      <c r="C699" t="s">
        <v>3700</v>
      </c>
      <c r="D699" s="3"/>
      <c r="E699" s="2">
        <v>45696</v>
      </c>
      <c r="F699">
        <v>64000</v>
      </c>
      <c r="G699">
        <v>8782</v>
      </c>
      <c r="H699">
        <v>400</v>
      </c>
      <c r="I699">
        <v>10</v>
      </c>
      <c r="L699" t="s">
        <v>3331</v>
      </c>
      <c r="M699" t="s">
        <v>3493</v>
      </c>
      <c r="N699" t="s">
        <v>1630</v>
      </c>
      <c r="O699" s="4">
        <v>45696.4470138889</v>
      </c>
      <c r="P699" t="s">
        <v>116</v>
      </c>
      <c r="Q699" t="s">
        <v>1753</v>
      </c>
      <c r="R699" t="s">
        <v>3379</v>
      </c>
      <c r="T699" t="s">
        <v>116</v>
      </c>
    </row>
    <row r="700" ht="25.5" customHeight="1" spans="1:20">
      <c r="A700" t="s">
        <v>2831</v>
      </c>
      <c r="B700" t="s">
        <v>56</v>
      </c>
      <c r="C700" t="s">
        <v>3705</v>
      </c>
      <c r="D700" s="3" t="str">
        <f>HYPERLINK("https://www.tiktok.com/@rensyschneider","https://www.tiktok.com/@rensyschneider")</f>
        <v>https://www.tiktok.com/@rensyschneider</v>
      </c>
      <c r="E700" s="2">
        <v>45665</v>
      </c>
      <c r="F700">
        <v>265900</v>
      </c>
      <c r="G700">
        <v>13900</v>
      </c>
      <c r="H700">
        <v>1345</v>
      </c>
      <c r="I700">
        <v>10</v>
      </c>
      <c r="J700">
        <v>202</v>
      </c>
      <c r="K700">
        <v>68</v>
      </c>
      <c r="L700" t="s">
        <v>3260</v>
      </c>
      <c r="M700" t="s">
        <v>3132</v>
      </c>
      <c r="N700" t="s">
        <v>1630</v>
      </c>
      <c r="O700" s="4">
        <v>45673.6067708333</v>
      </c>
      <c r="P700" t="s">
        <v>57</v>
      </c>
      <c r="Q700" t="s">
        <v>1887</v>
      </c>
      <c r="R700" t="s">
        <v>3706</v>
      </c>
      <c r="T700" t="s">
        <v>57</v>
      </c>
    </row>
    <row r="701" ht="25.5" customHeight="1" spans="1:20">
      <c r="A701" t="s">
        <v>2831</v>
      </c>
      <c r="B701" t="s">
        <v>56</v>
      </c>
      <c r="C701" t="s">
        <v>3705</v>
      </c>
      <c r="D701" s="3"/>
      <c r="E701" s="2">
        <v>45670</v>
      </c>
      <c r="F701">
        <v>266700</v>
      </c>
      <c r="G701">
        <v>16700</v>
      </c>
      <c r="H701">
        <v>1432</v>
      </c>
      <c r="I701">
        <v>12</v>
      </c>
      <c r="J701">
        <v>280</v>
      </c>
      <c r="K701">
        <v>69</v>
      </c>
      <c r="L701" t="s">
        <v>3230</v>
      </c>
      <c r="M701" t="s">
        <v>3132</v>
      </c>
      <c r="N701" t="s">
        <v>1630</v>
      </c>
      <c r="O701" s="4">
        <v>45672.5030092593</v>
      </c>
      <c r="P701" t="s">
        <v>57</v>
      </c>
      <c r="Q701" t="s">
        <v>1887</v>
      </c>
      <c r="R701" t="s">
        <v>3707</v>
      </c>
      <c r="T701" t="s">
        <v>57</v>
      </c>
    </row>
    <row r="702" ht="25.5" customHeight="1" spans="1:20">
      <c r="A702" t="s">
        <v>2831</v>
      </c>
      <c r="B702" t="s">
        <v>56</v>
      </c>
      <c r="C702" t="s">
        <v>3705</v>
      </c>
      <c r="D702" s="3"/>
      <c r="E702" s="2">
        <v>45671</v>
      </c>
      <c r="F702">
        <v>267100</v>
      </c>
      <c r="G702">
        <v>17200</v>
      </c>
      <c r="H702">
        <v>1445</v>
      </c>
      <c r="I702">
        <v>12</v>
      </c>
      <c r="J702">
        <v>282</v>
      </c>
      <c r="K702">
        <v>69</v>
      </c>
      <c r="L702" t="s">
        <v>3230</v>
      </c>
      <c r="M702" t="s">
        <v>3132</v>
      </c>
      <c r="N702" t="s">
        <v>1630</v>
      </c>
      <c r="O702" s="4">
        <v>45672.5030092593</v>
      </c>
      <c r="P702" t="s">
        <v>57</v>
      </c>
      <c r="Q702" t="s">
        <v>1887</v>
      </c>
      <c r="R702" t="s">
        <v>3708</v>
      </c>
      <c r="T702" t="s">
        <v>57</v>
      </c>
    </row>
    <row r="703" ht="25.5" customHeight="1" spans="1:20">
      <c r="A703" t="s">
        <v>2831</v>
      </c>
      <c r="B703" t="s">
        <v>56</v>
      </c>
      <c r="C703" t="s">
        <v>3705</v>
      </c>
      <c r="D703" s="3"/>
      <c r="E703" s="2">
        <v>45672</v>
      </c>
      <c r="F703">
        <v>267400</v>
      </c>
      <c r="G703">
        <v>17600</v>
      </c>
      <c r="H703">
        <v>1453</v>
      </c>
      <c r="I703">
        <v>12</v>
      </c>
      <c r="J703">
        <v>282</v>
      </c>
      <c r="K703">
        <v>69</v>
      </c>
      <c r="L703" t="s">
        <v>3230</v>
      </c>
      <c r="M703" t="s">
        <v>3132</v>
      </c>
      <c r="N703" t="s">
        <v>1630</v>
      </c>
      <c r="O703" s="4">
        <v>45672.5281134259</v>
      </c>
      <c r="P703" t="s">
        <v>57</v>
      </c>
      <c r="Q703" t="s">
        <v>1887</v>
      </c>
      <c r="R703" t="s">
        <v>3162</v>
      </c>
      <c r="T703" t="s">
        <v>57</v>
      </c>
    </row>
    <row r="704" ht="25.5" customHeight="1" spans="1:20">
      <c r="A704" t="s">
        <v>2831</v>
      </c>
      <c r="B704" t="s">
        <v>56</v>
      </c>
      <c r="C704" t="s">
        <v>3705</v>
      </c>
      <c r="D704" s="3"/>
      <c r="E704" s="2">
        <v>45673</v>
      </c>
      <c r="F704">
        <v>267500</v>
      </c>
      <c r="G704">
        <v>17900</v>
      </c>
      <c r="H704">
        <v>1463</v>
      </c>
      <c r="I704">
        <v>12</v>
      </c>
      <c r="J704">
        <v>282</v>
      </c>
      <c r="K704">
        <v>70</v>
      </c>
      <c r="L704" t="s">
        <v>3230</v>
      </c>
      <c r="M704" t="s">
        <v>3132</v>
      </c>
      <c r="N704" t="s">
        <v>1630</v>
      </c>
      <c r="O704" s="4">
        <v>45673.6051967593</v>
      </c>
      <c r="P704" t="s">
        <v>57</v>
      </c>
      <c r="Q704" t="s">
        <v>1887</v>
      </c>
      <c r="R704" t="s">
        <v>3709</v>
      </c>
      <c r="T704" t="s">
        <v>57</v>
      </c>
    </row>
    <row r="705" ht="25.5" customHeight="1" spans="1:20">
      <c r="A705" t="s">
        <v>2831</v>
      </c>
      <c r="B705" t="s">
        <v>56</v>
      </c>
      <c r="C705" t="s">
        <v>3705</v>
      </c>
      <c r="D705" s="3"/>
      <c r="E705" s="2">
        <v>45674</v>
      </c>
      <c r="F705">
        <v>267600</v>
      </c>
      <c r="G705">
        <v>18100</v>
      </c>
      <c r="H705">
        <v>1470</v>
      </c>
      <c r="I705">
        <v>12</v>
      </c>
      <c r="J705">
        <v>286</v>
      </c>
      <c r="K705">
        <v>70</v>
      </c>
      <c r="L705" t="s">
        <v>3230</v>
      </c>
      <c r="M705" t="s">
        <v>3132</v>
      </c>
      <c r="N705" t="s">
        <v>1630</v>
      </c>
      <c r="O705" s="4">
        <v>45674.66875</v>
      </c>
      <c r="P705" t="s">
        <v>57</v>
      </c>
      <c r="Q705" t="s">
        <v>1887</v>
      </c>
      <c r="R705" t="s">
        <v>3710</v>
      </c>
      <c r="T705" t="s">
        <v>57</v>
      </c>
    </row>
    <row r="706" ht="25.5" customHeight="1" spans="1:20">
      <c r="A706" t="s">
        <v>2831</v>
      </c>
      <c r="B706" t="s">
        <v>56</v>
      </c>
      <c r="C706" t="s">
        <v>3705</v>
      </c>
      <c r="D706" s="3"/>
      <c r="E706" s="2">
        <v>45677</v>
      </c>
      <c r="F706">
        <v>267700</v>
      </c>
      <c r="G706">
        <v>18500</v>
      </c>
      <c r="H706">
        <v>1488</v>
      </c>
      <c r="I706">
        <v>12</v>
      </c>
      <c r="J706">
        <v>290</v>
      </c>
      <c r="K706">
        <v>71</v>
      </c>
      <c r="L706" t="s">
        <v>3317</v>
      </c>
      <c r="M706" t="s">
        <v>3132</v>
      </c>
      <c r="N706" t="s">
        <v>1630</v>
      </c>
      <c r="O706" s="4">
        <v>45677.4254050926</v>
      </c>
      <c r="P706" t="s">
        <v>57</v>
      </c>
      <c r="Q706" t="s">
        <v>1887</v>
      </c>
      <c r="R706" t="s">
        <v>3711</v>
      </c>
      <c r="T706" t="s">
        <v>57</v>
      </c>
    </row>
    <row r="707" ht="25.5" customHeight="1" spans="1:20">
      <c r="A707" t="s">
        <v>2831</v>
      </c>
      <c r="B707" t="s">
        <v>56</v>
      </c>
      <c r="C707" t="s">
        <v>3705</v>
      </c>
      <c r="D707" s="3"/>
      <c r="E707" s="2">
        <v>45678</v>
      </c>
      <c r="F707">
        <v>267800</v>
      </c>
      <c r="G707">
        <v>18700</v>
      </c>
      <c r="H707">
        <v>1492</v>
      </c>
      <c r="I707">
        <v>12</v>
      </c>
      <c r="J707">
        <v>290</v>
      </c>
      <c r="K707">
        <v>72</v>
      </c>
      <c r="L707" t="s">
        <v>3317</v>
      </c>
      <c r="M707" t="s">
        <v>3132</v>
      </c>
      <c r="N707" t="s">
        <v>1630</v>
      </c>
      <c r="O707" s="4">
        <v>45678.6220486111</v>
      </c>
      <c r="P707" t="s">
        <v>57</v>
      </c>
      <c r="Q707" t="s">
        <v>1887</v>
      </c>
      <c r="R707" t="s">
        <v>3165</v>
      </c>
      <c r="T707" t="s">
        <v>57</v>
      </c>
    </row>
    <row r="708" ht="25.5" customHeight="1" spans="1:20">
      <c r="A708" t="s">
        <v>2831</v>
      </c>
      <c r="B708" t="s">
        <v>56</v>
      </c>
      <c r="C708" t="s">
        <v>3705</v>
      </c>
      <c r="D708" s="3"/>
      <c r="E708" s="2">
        <v>45679</v>
      </c>
      <c r="F708">
        <v>268900</v>
      </c>
      <c r="G708">
        <v>18800</v>
      </c>
      <c r="H708">
        <v>1499</v>
      </c>
      <c r="I708">
        <v>12</v>
      </c>
      <c r="J708">
        <v>292</v>
      </c>
      <c r="K708">
        <v>72</v>
      </c>
      <c r="L708" t="s">
        <v>3317</v>
      </c>
      <c r="M708" t="s">
        <v>3132</v>
      </c>
      <c r="N708" t="s">
        <v>1630</v>
      </c>
      <c r="O708" s="4">
        <v>45679.6898842593</v>
      </c>
      <c r="P708" t="s">
        <v>57</v>
      </c>
      <c r="Q708" t="s">
        <v>1887</v>
      </c>
      <c r="R708" t="s">
        <v>3712</v>
      </c>
      <c r="T708" t="s">
        <v>57</v>
      </c>
    </row>
    <row r="709" ht="25.5" customHeight="1" spans="1:20">
      <c r="A709" t="s">
        <v>2831</v>
      </c>
      <c r="B709" t="s">
        <v>56</v>
      </c>
      <c r="C709" t="s">
        <v>3705</v>
      </c>
      <c r="D709" s="3"/>
      <c r="E709" s="2">
        <v>45680</v>
      </c>
      <c r="F709">
        <v>269600</v>
      </c>
      <c r="G709">
        <v>19000</v>
      </c>
      <c r="H709">
        <v>1504</v>
      </c>
      <c r="I709">
        <v>12</v>
      </c>
      <c r="J709">
        <v>294</v>
      </c>
      <c r="K709">
        <v>72</v>
      </c>
      <c r="L709" t="s">
        <v>3317</v>
      </c>
      <c r="M709" t="s">
        <v>3132</v>
      </c>
      <c r="N709" t="s">
        <v>1630</v>
      </c>
      <c r="O709" s="4">
        <v>45680.6445138889</v>
      </c>
      <c r="P709" t="s">
        <v>57</v>
      </c>
      <c r="Q709" t="s">
        <v>1887</v>
      </c>
      <c r="R709" t="s">
        <v>3168</v>
      </c>
      <c r="T709" t="s">
        <v>57</v>
      </c>
    </row>
    <row r="710" ht="25.5" customHeight="1" spans="1:20">
      <c r="A710" t="s">
        <v>2831</v>
      </c>
      <c r="B710" t="s">
        <v>56</v>
      </c>
      <c r="C710" t="s">
        <v>3705</v>
      </c>
      <c r="D710" s="3"/>
      <c r="E710" s="2">
        <v>45681</v>
      </c>
      <c r="F710">
        <v>270000</v>
      </c>
      <c r="G710">
        <v>19300</v>
      </c>
      <c r="H710">
        <v>1512</v>
      </c>
      <c r="I710">
        <v>13</v>
      </c>
      <c r="J710">
        <v>294</v>
      </c>
      <c r="K710">
        <v>72</v>
      </c>
      <c r="L710" t="s">
        <v>3317</v>
      </c>
      <c r="M710" t="s">
        <v>3132</v>
      </c>
      <c r="N710" t="s">
        <v>1630</v>
      </c>
      <c r="O710" s="4">
        <v>45681.6038773148</v>
      </c>
      <c r="P710" t="s">
        <v>57</v>
      </c>
      <c r="Q710" t="s">
        <v>1887</v>
      </c>
      <c r="R710" t="s">
        <v>3713</v>
      </c>
      <c r="T710" t="s">
        <v>57</v>
      </c>
    </row>
    <row r="711" ht="25.5" customHeight="1" spans="1:20">
      <c r="A711" t="s">
        <v>2831</v>
      </c>
      <c r="B711" t="s">
        <v>56</v>
      </c>
      <c r="C711" t="s">
        <v>3705</v>
      </c>
      <c r="D711" s="3"/>
      <c r="E711" s="2">
        <v>45683</v>
      </c>
      <c r="F711">
        <v>270700</v>
      </c>
      <c r="G711">
        <v>19900</v>
      </c>
      <c r="H711">
        <v>1523</v>
      </c>
      <c r="I711">
        <v>13</v>
      </c>
      <c r="J711">
        <v>298</v>
      </c>
      <c r="K711">
        <v>72</v>
      </c>
      <c r="L711" t="s">
        <v>3317</v>
      </c>
      <c r="M711" t="s">
        <v>3132</v>
      </c>
      <c r="N711" t="s">
        <v>1630</v>
      </c>
      <c r="O711" s="4">
        <v>45683.7623263889</v>
      </c>
      <c r="P711" t="s">
        <v>57</v>
      </c>
      <c r="Q711" t="s">
        <v>1887</v>
      </c>
      <c r="R711" t="s">
        <v>3714</v>
      </c>
      <c r="T711" t="s">
        <v>57</v>
      </c>
    </row>
    <row r="712" ht="25.5" customHeight="1" spans="1:20">
      <c r="A712" t="s">
        <v>2831</v>
      </c>
      <c r="B712" t="s">
        <v>56</v>
      </c>
      <c r="C712" t="s">
        <v>3705</v>
      </c>
      <c r="D712" s="3"/>
      <c r="E712" s="2">
        <v>45684</v>
      </c>
      <c r="F712">
        <v>270800</v>
      </c>
      <c r="G712">
        <v>20100</v>
      </c>
      <c r="H712">
        <v>1531</v>
      </c>
      <c r="I712">
        <v>13</v>
      </c>
      <c r="J712">
        <v>298</v>
      </c>
      <c r="K712">
        <v>72</v>
      </c>
      <c r="L712" t="s">
        <v>3317</v>
      </c>
      <c r="M712" t="s">
        <v>3132</v>
      </c>
      <c r="N712" t="s">
        <v>1630</v>
      </c>
      <c r="O712" s="4">
        <v>45684.8290277778</v>
      </c>
      <c r="P712" t="s">
        <v>57</v>
      </c>
      <c r="Q712" t="s">
        <v>1887</v>
      </c>
      <c r="R712" t="s">
        <v>3715</v>
      </c>
      <c r="T712" t="s">
        <v>57</v>
      </c>
    </row>
    <row r="713" ht="25.5" customHeight="1" spans="1:20">
      <c r="A713" t="s">
        <v>2831</v>
      </c>
      <c r="B713" t="s">
        <v>56</v>
      </c>
      <c r="C713" t="s">
        <v>3705</v>
      </c>
      <c r="D713" s="3"/>
      <c r="E713" s="2">
        <v>45693</v>
      </c>
      <c r="F713">
        <v>275000</v>
      </c>
      <c r="G713">
        <v>21000</v>
      </c>
      <c r="H713">
        <v>1550</v>
      </c>
      <c r="I713">
        <v>13</v>
      </c>
      <c r="J713">
        <v>300</v>
      </c>
      <c r="K713">
        <v>72</v>
      </c>
      <c r="L713" t="s">
        <v>3317</v>
      </c>
      <c r="M713" t="s">
        <v>3132</v>
      </c>
      <c r="N713" t="s">
        <v>1630</v>
      </c>
      <c r="O713" s="4">
        <v>45693.8026967593</v>
      </c>
      <c r="P713" t="s">
        <v>57</v>
      </c>
      <c r="Q713" t="s">
        <v>1887</v>
      </c>
      <c r="R713" t="s">
        <v>3716</v>
      </c>
      <c r="T713" t="s">
        <v>57</v>
      </c>
    </row>
    <row r="714" ht="25.5" customHeight="1" spans="1:20">
      <c r="A714" t="s">
        <v>2831</v>
      </c>
      <c r="B714" t="s">
        <v>56</v>
      </c>
      <c r="C714" t="s">
        <v>3705</v>
      </c>
      <c r="D714" s="3"/>
      <c r="E714" s="2">
        <v>45694</v>
      </c>
      <c r="F714">
        <v>275000</v>
      </c>
      <c r="G714">
        <v>21000</v>
      </c>
      <c r="H714">
        <v>1552</v>
      </c>
      <c r="I714">
        <v>13</v>
      </c>
      <c r="J714">
        <v>300</v>
      </c>
      <c r="K714">
        <v>72</v>
      </c>
      <c r="L714" t="s">
        <v>3317</v>
      </c>
      <c r="M714" t="s">
        <v>3132</v>
      </c>
      <c r="N714" t="s">
        <v>1630</v>
      </c>
      <c r="O714" s="4">
        <v>45698.6216782407</v>
      </c>
      <c r="P714" t="s">
        <v>57</v>
      </c>
      <c r="Q714" t="s">
        <v>1887</v>
      </c>
      <c r="R714" t="s">
        <v>3717</v>
      </c>
      <c r="S714" t="s">
        <v>3245</v>
      </c>
      <c r="T714" t="s">
        <v>57</v>
      </c>
    </row>
    <row r="715" ht="25.5" customHeight="1" spans="1:20">
      <c r="A715" t="s">
        <v>2152</v>
      </c>
      <c r="B715" t="s">
        <v>1816</v>
      </c>
      <c r="C715" t="s">
        <v>3718</v>
      </c>
      <c r="D715" s="3"/>
      <c r="E715" s="2">
        <v>45664</v>
      </c>
      <c r="F715">
        <v>378500</v>
      </c>
      <c r="G715">
        <v>54100</v>
      </c>
      <c r="H715">
        <v>165</v>
      </c>
      <c r="I715">
        <v>33</v>
      </c>
      <c r="J715">
        <v>293</v>
      </c>
      <c r="K715">
        <v>38</v>
      </c>
      <c r="L715" t="s">
        <v>3138</v>
      </c>
      <c r="M715" t="s">
        <v>3719</v>
      </c>
      <c r="N715" t="s">
        <v>1630</v>
      </c>
      <c r="O715" s="4">
        <v>45670.7565393519</v>
      </c>
      <c r="P715" t="s">
        <v>1817</v>
      </c>
      <c r="Q715" t="s">
        <v>1631</v>
      </c>
      <c r="R715" t="s">
        <v>3720</v>
      </c>
      <c r="T715" t="s">
        <v>1817</v>
      </c>
    </row>
    <row r="716" ht="25.5" customHeight="1" spans="1:20">
      <c r="A716" t="s">
        <v>2152</v>
      </c>
      <c r="B716" t="s">
        <v>1816</v>
      </c>
      <c r="C716" t="s">
        <v>3718</v>
      </c>
      <c r="D716" s="3"/>
      <c r="E716" s="2">
        <v>45665</v>
      </c>
      <c r="F716">
        <v>379200</v>
      </c>
      <c r="G716">
        <v>62800</v>
      </c>
      <c r="H716">
        <v>184</v>
      </c>
      <c r="I716">
        <v>34</v>
      </c>
      <c r="J716">
        <v>351</v>
      </c>
      <c r="K716">
        <v>41</v>
      </c>
      <c r="L716" t="s">
        <v>3138</v>
      </c>
      <c r="M716" t="s">
        <v>3719</v>
      </c>
      <c r="N716" t="s">
        <v>1630</v>
      </c>
      <c r="O716" s="4">
        <v>45672.5030092593</v>
      </c>
      <c r="P716" t="s">
        <v>1817</v>
      </c>
      <c r="Q716" t="s">
        <v>1631</v>
      </c>
      <c r="R716" t="s">
        <v>3721</v>
      </c>
      <c r="T716" t="s">
        <v>1817</v>
      </c>
    </row>
    <row r="717" ht="25.5" customHeight="1" spans="1:20">
      <c r="A717" t="s">
        <v>2152</v>
      </c>
      <c r="B717" t="s">
        <v>1816</v>
      </c>
      <c r="C717" t="s">
        <v>3718</v>
      </c>
      <c r="D717" s="3"/>
      <c r="E717" s="2">
        <v>45670</v>
      </c>
      <c r="F717">
        <v>382400</v>
      </c>
      <c r="G717">
        <v>69700</v>
      </c>
      <c r="H717">
        <v>200</v>
      </c>
      <c r="I717">
        <v>35</v>
      </c>
      <c r="J717">
        <v>385</v>
      </c>
      <c r="K717">
        <v>44</v>
      </c>
      <c r="L717" t="s">
        <v>3138</v>
      </c>
      <c r="M717" t="s">
        <v>3719</v>
      </c>
      <c r="N717" t="s">
        <v>1630</v>
      </c>
      <c r="O717" s="4">
        <v>45672.5030092593</v>
      </c>
      <c r="P717" t="s">
        <v>1817</v>
      </c>
      <c r="Q717" t="s">
        <v>1631</v>
      </c>
      <c r="R717" t="s">
        <v>3722</v>
      </c>
      <c r="T717" t="s">
        <v>1817</v>
      </c>
    </row>
    <row r="718" ht="25.5" customHeight="1" spans="1:20">
      <c r="A718" t="s">
        <v>2152</v>
      </c>
      <c r="B718" t="s">
        <v>1816</v>
      </c>
      <c r="C718" t="s">
        <v>3718</v>
      </c>
      <c r="D718" s="3"/>
      <c r="E718" s="2">
        <v>45671</v>
      </c>
      <c r="F718">
        <v>382400</v>
      </c>
      <c r="G718">
        <v>69800</v>
      </c>
      <c r="H718">
        <v>201</v>
      </c>
      <c r="I718">
        <v>35</v>
      </c>
      <c r="J718">
        <v>384</v>
      </c>
      <c r="K718">
        <v>43</v>
      </c>
      <c r="L718" t="s">
        <v>3138</v>
      </c>
      <c r="M718" t="s">
        <v>3719</v>
      </c>
      <c r="N718" t="s">
        <v>1630</v>
      </c>
      <c r="O718" s="4">
        <v>45672.5030092593</v>
      </c>
      <c r="P718" t="s">
        <v>1817</v>
      </c>
      <c r="Q718" t="s">
        <v>1631</v>
      </c>
      <c r="R718" t="s">
        <v>3723</v>
      </c>
      <c r="T718" t="s">
        <v>1817</v>
      </c>
    </row>
    <row r="719" ht="25.5" customHeight="1" spans="1:20">
      <c r="A719" t="s">
        <v>2152</v>
      </c>
      <c r="B719" t="s">
        <v>1816</v>
      </c>
      <c r="C719" t="s">
        <v>3718</v>
      </c>
      <c r="D719" s="3"/>
      <c r="E719" s="2">
        <v>45672</v>
      </c>
      <c r="F719">
        <v>382500</v>
      </c>
      <c r="G719">
        <v>69900</v>
      </c>
      <c r="H719">
        <v>202</v>
      </c>
      <c r="I719">
        <v>35</v>
      </c>
      <c r="J719">
        <v>385</v>
      </c>
      <c r="K719">
        <v>44</v>
      </c>
      <c r="L719" t="s">
        <v>3138</v>
      </c>
      <c r="M719" t="s">
        <v>3719</v>
      </c>
      <c r="N719" t="s">
        <v>1630</v>
      </c>
      <c r="O719" s="4">
        <v>45672.7126388889</v>
      </c>
      <c r="P719" t="s">
        <v>1817</v>
      </c>
      <c r="Q719" t="s">
        <v>1631</v>
      </c>
      <c r="R719" t="s">
        <v>3688</v>
      </c>
      <c r="T719" t="s">
        <v>1817</v>
      </c>
    </row>
    <row r="720" ht="25.5" customHeight="1" spans="1:20">
      <c r="A720" t="s">
        <v>2152</v>
      </c>
      <c r="B720" t="s">
        <v>1816</v>
      </c>
      <c r="C720" t="s">
        <v>3718</v>
      </c>
      <c r="D720" s="3"/>
      <c r="E720" s="2">
        <v>45673</v>
      </c>
      <c r="F720">
        <v>382500</v>
      </c>
      <c r="G720">
        <v>70000</v>
      </c>
      <c r="H720">
        <v>202</v>
      </c>
      <c r="I720">
        <v>35</v>
      </c>
      <c r="J720">
        <v>385</v>
      </c>
      <c r="K720">
        <v>44</v>
      </c>
      <c r="L720" t="s">
        <v>3138</v>
      </c>
      <c r="M720" t="s">
        <v>3719</v>
      </c>
      <c r="N720" t="s">
        <v>1630</v>
      </c>
      <c r="O720" s="4">
        <v>45673.6271296296</v>
      </c>
      <c r="P720" t="s">
        <v>1817</v>
      </c>
      <c r="Q720" t="s">
        <v>1631</v>
      </c>
      <c r="R720" t="s">
        <v>3688</v>
      </c>
      <c r="T720" t="s">
        <v>1817</v>
      </c>
    </row>
    <row r="721" ht="25.5" customHeight="1" spans="1:20">
      <c r="A721" t="s">
        <v>2152</v>
      </c>
      <c r="B721" t="s">
        <v>1816</v>
      </c>
      <c r="C721" t="s">
        <v>3718</v>
      </c>
      <c r="D721" s="3"/>
      <c r="E721" s="2">
        <v>45674</v>
      </c>
      <c r="F721">
        <v>382600</v>
      </c>
      <c r="G721">
        <v>70000</v>
      </c>
      <c r="H721">
        <v>202</v>
      </c>
      <c r="I721">
        <v>35</v>
      </c>
      <c r="J721">
        <v>385</v>
      </c>
      <c r="K721">
        <v>44</v>
      </c>
      <c r="L721" t="s">
        <v>3138</v>
      </c>
      <c r="M721" t="s">
        <v>3719</v>
      </c>
      <c r="N721" t="s">
        <v>1630</v>
      </c>
      <c r="O721" s="4">
        <v>45674.6819212963</v>
      </c>
      <c r="P721" t="s">
        <v>1817</v>
      </c>
      <c r="Q721" t="s">
        <v>1631</v>
      </c>
      <c r="R721" t="s">
        <v>3688</v>
      </c>
      <c r="T721" t="s">
        <v>1817</v>
      </c>
    </row>
    <row r="722" ht="25.5" customHeight="1" spans="1:20">
      <c r="A722" t="s">
        <v>2152</v>
      </c>
      <c r="B722" t="s">
        <v>1816</v>
      </c>
      <c r="C722" t="s">
        <v>3718</v>
      </c>
      <c r="D722" s="3"/>
      <c r="E722" s="2">
        <v>45677</v>
      </c>
      <c r="F722">
        <v>382900</v>
      </c>
      <c r="G722">
        <v>70100</v>
      </c>
      <c r="H722">
        <v>203</v>
      </c>
      <c r="I722">
        <v>35</v>
      </c>
      <c r="J722">
        <v>384</v>
      </c>
      <c r="K722">
        <v>44</v>
      </c>
      <c r="L722" t="s">
        <v>3138</v>
      </c>
      <c r="M722" t="s">
        <v>3719</v>
      </c>
      <c r="N722" t="s">
        <v>1630</v>
      </c>
      <c r="O722" s="4">
        <v>45677.4408912037</v>
      </c>
      <c r="P722" t="s">
        <v>1817</v>
      </c>
      <c r="Q722" t="s">
        <v>1631</v>
      </c>
      <c r="R722" t="s">
        <v>3688</v>
      </c>
      <c r="T722" t="s">
        <v>1817</v>
      </c>
    </row>
    <row r="723" ht="25.5" customHeight="1" spans="1:20">
      <c r="A723" t="s">
        <v>2152</v>
      </c>
      <c r="B723" t="s">
        <v>1816</v>
      </c>
      <c r="C723" t="s">
        <v>3718</v>
      </c>
      <c r="D723" s="3"/>
      <c r="E723" s="2">
        <v>45678</v>
      </c>
      <c r="F723">
        <v>382800</v>
      </c>
      <c r="G723">
        <v>70100</v>
      </c>
      <c r="H723">
        <v>203</v>
      </c>
      <c r="I723">
        <v>35</v>
      </c>
      <c r="J723">
        <v>384</v>
      </c>
      <c r="K723">
        <v>44</v>
      </c>
      <c r="L723" t="s">
        <v>3138</v>
      </c>
      <c r="M723" t="s">
        <v>3719</v>
      </c>
      <c r="N723" t="s">
        <v>1630</v>
      </c>
      <c r="O723" s="4">
        <v>45678.6654861111</v>
      </c>
      <c r="P723" t="s">
        <v>1817</v>
      </c>
      <c r="Q723" t="s">
        <v>1631</v>
      </c>
      <c r="R723" t="s">
        <v>3688</v>
      </c>
      <c r="T723" t="s">
        <v>1817</v>
      </c>
    </row>
    <row r="724" ht="25.5" customHeight="1" spans="1:20">
      <c r="A724" t="s">
        <v>2152</v>
      </c>
      <c r="B724" t="s">
        <v>1816</v>
      </c>
      <c r="C724" t="s">
        <v>3718</v>
      </c>
      <c r="D724" s="3"/>
      <c r="E724" s="2">
        <v>45679</v>
      </c>
      <c r="F724">
        <v>382700</v>
      </c>
      <c r="G724">
        <v>70100</v>
      </c>
      <c r="H724">
        <v>203</v>
      </c>
      <c r="I724">
        <v>35</v>
      </c>
      <c r="J724">
        <v>384</v>
      </c>
      <c r="K724">
        <v>44</v>
      </c>
      <c r="L724" t="s">
        <v>3138</v>
      </c>
      <c r="M724" t="s">
        <v>3719</v>
      </c>
      <c r="N724" t="s">
        <v>1630</v>
      </c>
      <c r="O724" s="4">
        <v>45679.6513310185</v>
      </c>
      <c r="P724" t="s">
        <v>1817</v>
      </c>
      <c r="Q724" t="s">
        <v>1631</v>
      </c>
      <c r="R724" t="s">
        <v>3688</v>
      </c>
      <c r="T724" t="s">
        <v>1817</v>
      </c>
    </row>
    <row r="725" ht="25.5" customHeight="1" spans="1:20">
      <c r="A725" t="s">
        <v>2152</v>
      </c>
      <c r="B725" t="s">
        <v>1816</v>
      </c>
      <c r="C725" t="s">
        <v>3718</v>
      </c>
      <c r="D725" s="3"/>
      <c r="E725" s="2">
        <v>45680</v>
      </c>
      <c r="F725">
        <v>382700</v>
      </c>
      <c r="G725">
        <v>70100</v>
      </c>
      <c r="H725">
        <v>203</v>
      </c>
      <c r="I725">
        <v>35</v>
      </c>
      <c r="J725">
        <v>384</v>
      </c>
      <c r="K725">
        <v>44</v>
      </c>
      <c r="L725" t="s">
        <v>3138</v>
      </c>
      <c r="M725" t="s">
        <v>3719</v>
      </c>
      <c r="N725" t="s">
        <v>1630</v>
      </c>
      <c r="O725" s="4">
        <v>45680.6666898148</v>
      </c>
      <c r="P725" t="s">
        <v>1817</v>
      </c>
      <c r="Q725" t="s">
        <v>1631</v>
      </c>
      <c r="R725" t="s">
        <v>3688</v>
      </c>
      <c r="T725" t="s">
        <v>1817</v>
      </c>
    </row>
    <row r="726" ht="25.5" customHeight="1" spans="1:20">
      <c r="A726" t="s">
        <v>2152</v>
      </c>
      <c r="B726" t="s">
        <v>1816</v>
      </c>
      <c r="C726" t="s">
        <v>3718</v>
      </c>
      <c r="D726" s="3"/>
      <c r="E726" s="2">
        <v>45681</v>
      </c>
      <c r="F726">
        <v>383400</v>
      </c>
      <c r="G726">
        <v>70100</v>
      </c>
      <c r="H726">
        <v>203</v>
      </c>
      <c r="I726">
        <v>35</v>
      </c>
      <c r="J726">
        <v>383</v>
      </c>
      <c r="K726">
        <v>44</v>
      </c>
      <c r="L726" t="s">
        <v>3138</v>
      </c>
      <c r="M726" t="s">
        <v>3719</v>
      </c>
      <c r="N726" t="s">
        <v>1630</v>
      </c>
      <c r="O726" s="4">
        <v>45681.6518865741</v>
      </c>
      <c r="P726" t="s">
        <v>1817</v>
      </c>
      <c r="Q726" t="s">
        <v>1631</v>
      </c>
      <c r="R726" t="s">
        <v>3724</v>
      </c>
      <c r="T726" t="s">
        <v>1817</v>
      </c>
    </row>
    <row r="727" ht="25.5" customHeight="1" spans="1:20">
      <c r="A727" t="s">
        <v>2152</v>
      </c>
      <c r="B727" t="s">
        <v>1816</v>
      </c>
      <c r="C727" t="s">
        <v>3718</v>
      </c>
      <c r="D727" s="3"/>
      <c r="E727" s="2">
        <v>45683</v>
      </c>
      <c r="F727">
        <v>383600</v>
      </c>
      <c r="G727">
        <v>70200</v>
      </c>
      <c r="H727">
        <v>203</v>
      </c>
      <c r="I727">
        <v>35</v>
      </c>
      <c r="J727">
        <v>382</v>
      </c>
      <c r="K727">
        <v>43</v>
      </c>
      <c r="L727" t="s">
        <v>3138</v>
      </c>
      <c r="M727" t="s">
        <v>3719</v>
      </c>
      <c r="N727" t="s">
        <v>1630</v>
      </c>
      <c r="O727" s="4">
        <v>45683.7934490741</v>
      </c>
      <c r="P727" t="s">
        <v>1817</v>
      </c>
      <c r="Q727" t="s">
        <v>1631</v>
      </c>
      <c r="R727" t="s">
        <v>3723</v>
      </c>
      <c r="T727" t="s">
        <v>1817</v>
      </c>
    </row>
    <row r="728" ht="25.5" customHeight="1" spans="1:20">
      <c r="A728" t="s">
        <v>2152</v>
      </c>
      <c r="B728" t="s">
        <v>1816</v>
      </c>
      <c r="C728" t="s">
        <v>3718</v>
      </c>
      <c r="D728" s="3"/>
      <c r="E728" s="2">
        <v>45684</v>
      </c>
      <c r="F728">
        <v>383700</v>
      </c>
      <c r="G728">
        <v>70200</v>
      </c>
      <c r="H728">
        <v>203</v>
      </c>
      <c r="I728">
        <v>35</v>
      </c>
      <c r="J728">
        <v>381</v>
      </c>
      <c r="K728">
        <v>44</v>
      </c>
      <c r="L728" t="s">
        <v>3138</v>
      </c>
      <c r="M728" t="s">
        <v>3719</v>
      </c>
      <c r="N728" t="s">
        <v>1630</v>
      </c>
      <c r="O728" s="4">
        <v>45684.7530208333</v>
      </c>
      <c r="P728" t="s">
        <v>1817</v>
      </c>
      <c r="Q728" t="s">
        <v>1631</v>
      </c>
      <c r="R728" t="s">
        <v>3723</v>
      </c>
      <c r="T728" t="s">
        <v>1817</v>
      </c>
    </row>
    <row r="729" ht="25.5" customHeight="1" spans="1:20">
      <c r="A729" t="s">
        <v>2152</v>
      </c>
      <c r="B729" t="s">
        <v>1816</v>
      </c>
      <c r="C729" t="s">
        <v>3718</v>
      </c>
      <c r="D729" s="3"/>
      <c r="E729" s="2">
        <v>45693</v>
      </c>
      <c r="F729">
        <v>384600</v>
      </c>
      <c r="G729">
        <v>70200</v>
      </c>
      <c r="H729">
        <v>200</v>
      </c>
      <c r="I729">
        <v>35</v>
      </c>
      <c r="J729">
        <v>378</v>
      </c>
      <c r="K729">
        <v>44</v>
      </c>
      <c r="L729" t="s">
        <v>3138</v>
      </c>
      <c r="M729" t="s">
        <v>3719</v>
      </c>
      <c r="N729" t="s">
        <v>1630</v>
      </c>
      <c r="O729" s="4">
        <v>45693.8360763889</v>
      </c>
      <c r="P729" t="s">
        <v>1817</v>
      </c>
      <c r="Q729" t="s">
        <v>1631</v>
      </c>
      <c r="R729" t="s">
        <v>3725</v>
      </c>
      <c r="T729" t="s">
        <v>1817</v>
      </c>
    </row>
    <row r="730" ht="25.5" customHeight="1" spans="1:20">
      <c r="A730" t="s">
        <v>2152</v>
      </c>
      <c r="B730" t="s">
        <v>1816</v>
      </c>
      <c r="C730" t="s">
        <v>3718</v>
      </c>
      <c r="D730" s="3"/>
      <c r="E730" s="2">
        <v>45694</v>
      </c>
      <c r="F730">
        <v>384500</v>
      </c>
      <c r="G730">
        <v>70200</v>
      </c>
      <c r="H730">
        <v>201</v>
      </c>
      <c r="I730">
        <v>35</v>
      </c>
      <c r="J730">
        <v>378</v>
      </c>
      <c r="K730">
        <v>44</v>
      </c>
      <c r="L730" t="s">
        <v>3138</v>
      </c>
      <c r="M730" t="s">
        <v>3719</v>
      </c>
      <c r="N730" t="s">
        <v>1630</v>
      </c>
      <c r="O730" s="4">
        <v>45698.6216782407</v>
      </c>
      <c r="P730" t="s">
        <v>1817</v>
      </c>
      <c r="Q730" t="s">
        <v>1631</v>
      </c>
      <c r="R730" t="s">
        <v>3726</v>
      </c>
      <c r="S730" t="s">
        <v>3245</v>
      </c>
      <c r="T730" t="s">
        <v>1817</v>
      </c>
    </row>
    <row r="731" ht="25.5" customHeight="1" spans="1:20">
      <c r="A731" t="s">
        <v>2152</v>
      </c>
      <c r="B731" t="s">
        <v>1816</v>
      </c>
      <c r="C731" t="s">
        <v>3718</v>
      </c>
      <c r="D731" s="3"/>
      <c r="E731" s="2">
        <v>45695</v>
      </c>
      <c r="M731" t="s">
        <v>3719</v>
      </c>
      <c r="N731" t="s">
        <v>1630</v>
      </c>
      <c r="O731" s="4">
        <v>45694.5177893518</v>
      </c>
      <c r="P731" t="s">
        <v>1817</v>
      </c>
      <c r="Q731" t="s">
        <v>1631</v>
      </c>
      <c r="R731" t="s">
        <v>3133</v>
      </c>
      <c r="T731" t="s">
        <v>1817</v>
      </c>
    </row>
    <row r="732" ht="25.5" customHeight="1" spans="1:20">
      <c r="A732" t="s">
        <v>1814</v>
      </c>
      <c r="B732" t="s">
        <v>1816</v>
      </c>
      <c r="C732" t="s">
        <v>3727</v>
      </c>
      <c r="D732" s="3"/>
      <c r="E732" s="2">
        <v>45664</v>
      </c>
      <c r="F732">
        <v>164900</v>
      </c>
      <c r="G732">
        <v>118700</v>
      </c>
      <c r="H732">
        <v>686</v>
      </c>
      <c r="I732">
        <v>8</v>
      </c>
      <c r="J732">
        <v>1300</v>
      </c>
      <c r="K732">
        <v>73</v>
      </c>
      <c r="L732" t="s">
        <v>3138</v>
      </c>
      <c r="M732" t="s">
        <v>3414</v>
      </c>
      <c r="N732" t="s">
        <v>1630</v>
      </c>
      <c r="O732" s="4">
        <v>45671.7872685185</v>
      </c>
      <c r="P732" t="s">
        <v>1817</v>
      </c>
      <c r="Q732" t="s">
        <v>1631</v>
      </c>
      <c r="R732" t="s">
        <v>3728</v>
      </c>
      <c r="T732" t="s">
        <v>1817</v>
      </c>
    </row>
    <row r="733" ht="25.5" customHeight="1" spans="1:20">
      <c r="A733" t="s">
        <v>1814</v>
      </c>
      <c r="B733" t="s">
        <v>1816</v>
      </c>
      <c r="C733" t="s">
        <v>3727</v>
      </c>
      <c r="D733" s="3"/>
      <c r="E733" s="2">
        <v>45665</v>
      </c>
      <c r="F733">
        <v>165000</v>
      </c>
      <c r="G733">
        <v>159100</v>
      </c>
      <c r="H733">
        <v>786</v>
      </c>
      <c r="I733">
        <v>8</v>
      </c>
      <c r="J733">
        <v>1400</v>
      </c>
      <c r="K733">
        <v>87</v>
      </c>
      <c r="L733" t="s">
        <v>3331</v>
      </c>
      <c r="M733" t="s">
        <v>3414</v>
      </c>
      <c r="N733" t="s">
        <v>1630</v>
      </c>
      <c r="O733" s="4">
        <v>45672.5030092593</v>
      </c>
      <c r="P733" t="s">
        <v>1817</v>
      </c>
      <c r="Q733" t="s">
        <v>1631</v>
      </c>
      <c r="R733" t="s">
        <v>3729</v>
      </c>
      <c r="T733" t="s">
        <v>1817</v>
      </c>
    </row>
    <row r="734" ht="25.5" customHeight="1" spans="1:20">
      <c r="A734" t="s">
        <v>1814</v>
      </c>
      <c r="B734" t="s">
        <v>1816</v>
      </c>
      <c r="C734" t="s">
        <v>3727</v>
      </c>
      <c r="D734" s="3"/>
      <c r="E734" s="2">
        <v>45670</v>
      </c>
      <c r="F734">
        <v>165000</v>
      </c>
      <c r="G734">
        <v>1300000</v>
      </c>
      <c r="H734">
        <v>900</v>
      </c>
      <c r="I734">
        <v>10</v>
      </c>
      <c r="J734">
        <v>1600</v>
      </c>
      <c r="K734">
        <v>104</v>
      </c>
      <c r="L734" t="s">
        <v>3331</v>
      </c>
      <c r="M734" t="s">
        <v>3414</v>
      </c>
      <c r="N734" t="s">
        <v>1630</v>
      </c>
      <c r="O734" s="4">
        <v>45672.5030092593</v>
      </c>
      <c r="P734" t="s">
        <v>1817</v>
      </c>
      <c r="Q734" t="s">
        <v>1631</v>
      </c>
      <c r="R734" t="s">
        <v>3730</v>
      </c>
      <c r="T734" t="s">
        <v>1817</v>
      </c>
    </row>
    <row r="735" ht="25.5" customHeight="1" spans="1:20">
      <c r="A735" t="s">
        <v>1814</v>
      </c>
      <c r="B735" t="s">
        <v>1816</v>
      </c>
      <c r="C735" t="s">
        <v>3727</v>
      </c>
      <c r="D735" s="3"/>
      <c r="E735" s="2">
        <v>45671</v>
      </c>
      <c r="F735">
        <v>165000</v>
      </c>
      <c r="G735">
        <v>1300000</v>
      </c>
      <c r="H735">
        <v>910</v>
      </c>
      <c r="I735">
        <v>10</v>
      </c>
      <c r="J735">
        <v>1700</v>
      </c>
      <c r="K735">
        <v>103</v>
      </c>
      <c r="L735" t="s">
        <v>3331</v>
      </c>
      <c r="M735" t="s">
        <v>3414</v>
      </c>
      <c r="N735" t="s">
        <v>1630</v>
      </c>
      <c r="O735" s="4">
        <v>45672.5030092593</v>
      </c>
      <c r="P735" t="s">
        <v>1817</v>
      </c>
      <c r="Q735" t="s">
        <v>1631</v>
      </c>
      <c r="R735" t="s">
        <v>3731</v>
      </c>
      <c r="T735" t="s">
        <v>1817</v>
      </c>
    </row>
    <row r="736" ht="25.5" customHeight="1" spans="1:20">
      <c r="A736" t="s">
        <v>1814</v>
      </c>
      <c r="B736" t="s">
        <v>1816</v>
      </c>
      <c r="C736" t="s">
        <v>3727</v>
      </c>
      <c r="D736" s="3"/>
      <c r="E736" s="2">
        <v>45672</v>
      </c>
      <c r="F736">
        <v>165000</v>
      </c>
      <c r="G736">
        <v>1300000</v>
      </c>
      <c r="H736">
        <v>919</v>
      </c>
      <c r="I736">
        <v>10</v>
      </c>
      <c r="J736">
        <v>1700</v>
      </c>
      <c r="K736">
        <v>103</v>
      </c>
      <c r="L736" t="s">
        <v>3331</v>
      </c>
      <c r="M736" t="s">
        <v>3414</v>
      </c>
      <c r="N736" t="s">
        <v>1630</v>
      </c>
      <c r="O736" s="4">
        <v>45672.7132407407</v>
      </c>
      <c r="P736" t="s">
        <v>1817</v>
      </c>
      <c r="Q736" t="s">
        <v>1631</v>
      </c>
      <c r="R736" t="s">
        <v>3732</v>
      </c>
      <c r="T736" t="s">
        <v>1817</v>
      </c>
    </row>
    <row r="737" ht="25.5" customHeight="1" spans="1:20">
      <c r="A737" t="s">
        <v>1814</v>
      </c>
      <c r="B737" t="s">
        <v>1816</v>
      </c>
      <c r="C737" t="s">
        <v>3727</v>
      </c>
      <c r="D737" s="3"/>
      <c r="E737" s="2">
        <v>45673</v>
      </c>
      <c r="F737">
        <v>165000</v>
      </c>
      <c r="G737">
        <v>1300000</v>
      </c>
      <c r="H737">
        <v>920</v>
      </c>
      <c r="I737">
        <v>10</v>
      </c>
      <c r="J737">
        <v>1700</v>
      </c>
      <c r="K737">
        <v>104</v>
      </c>
      <c r="L737" t="s">
        <v>3331</v>
      </c>
      <c r="M737" t="s">
        <v>3414</v>
      </c>
      <c r="N737" t="s">
        <v>1630</v>
      </c>
      <c r="O737" s="4">
        <v>45673.6273263889</v>
      </c>
      <c r="P737" t="s">
        <v>1817</v>
      </c>
      <c r="Q737" t="s">
        <v>1631</v>
      </c>
      <c r="R737" t="s">
        <v>3733</v>
      </c>
      <c r="T737" t="s">
        <v>1817</v>
      </c>
    </row>
    <row r="738" ht="25.5" customHeight="1" spans="1:20">
      <c r="A738" t="s">
        <v>1814</v>
      </c>
      <c r="B738" t="s">
        <v>1816</v>
      </c>
      <c r="C738" t="s">
        <v>3727</v>
      </c>
      <c r="D738" s="3"/>
      <c r="E738" s="2">
        <v>45674</v>
      </c>
      <c r="F738">
        <v>165000</v>
      </c>
      <c r="G738">
        <v>1300000</v>
      </c>
      <c r="H738">
        <v>921</v>
      </c>
      <c r="I738">
        <v>10</v>
      </c>
      <c r="J738">
        <v>1700</v>
      </c>
      <c r="K738">
        <v>104</v>
      </c>
      <c r="L738" t="s">
        <v>3331</v>
      </c>
      <c r="M738" t="s">
        <v>3414</v>
      </c>
      <c r="N738" t="s">
        <v>1630</v>
      </c>
      <c r="O738" s="4">
        <v>45674.6821064815</v>
      </c>
      <c r="P738" t="s">
        <v>1817</v>
      </c>
      <c r="Q738" t="s">
        <v>1631</v>
      </c>
      <c r="R738" t="s">
        <v>3734</v>
      </c>
      <c r="T738" t="s">
        <v>1817</v>
      </c>
    </row>
    <row r="739" ht="25.5" customHeight="1" spans="1:20">
      <c r="A739" t="s">
        <v>1814</v>
      </c>
      <c r="B739" t="s">
        <v>1816</v>
      </c>
      <c r="C739" t="s">
        <v>3727</v>
      </c>
      <c r="D739" s="3"/>
      <c r="E739" s="2">
        <v>45677</v>
      </c>
      <c r="F739">
        <v>165100</v>
      </c>
      <c r="G739">
        <v>1300000</v>
      </c>
      <c r="H739">
        <v>924</v>
      </c>
      <c r="I739">
        <v>10</v>
      </c>
      <c r="J739">
        <v>1700</v>
      </c>
      <c r="K739">
        <v>104</v>
      </c>
      <c r="L739" t="s">
        <v>3331</v>
      </c>
      <c r="M739" t="s">
        <v>3414</v>
      </c>
      <c r="N739" t="s">
        <v>1630</v>
      </c>
      <c r="O739" s="4">
        <v>45677.4411111111</v>
      </c>
      <c r="P739" t="s">
        <v>1817</v>
      </c>
      <c r="Q739" t="s">
        <v>1631</v>
      </c>
      <c r="R739" t="s">
        <v>3735</v>
      </c>
      <c r="T739" t="s">
        <v>1817</v>
      </c>
    </row>
    <row r="740" ht="25.5" customHeight="1" spans="1:20">
      <c r="A740" t="s">
        <v>1814</v>
      </c>
      <c r="B740" t="s">
        <v>1816</v>
      </c>
      <c r="C740" t="s">
        <v>3727</v>
      </c>
      <c r="D740" s="3"/>
      <c r="E740" s="2">
        <v>45678</v>
      </c>
      <c r="F740">
        <v>165100</v>
      </c>
      <c r="G740">
        <v>1300000</v>
      </c>
      <c r="H740">
        <v>925</v>
      </c>
      <c r="I740">
        <v>10</v>
      </c>
      <c r="J740">
        <v>1700</v>
      </c>
      <c r="K740">
        <v>104</v>
      </c>
      <c r="L740" t="s">
        <v>3331</v>
      </c>
      <c r="M740" t="s">
        <v>3414</v>
      </c>
      <c r="N740" t="s">
        <v>1630</v>
      </c>
      <c r="O740" s="4">
        <v>45678.6658564815</v>
      </c>
      <c r="P740" t="s">
        <v>1817</v>
      </c>
      <c r="Q740" t="s">
        <v>1631</v>
      </c>
      <c r="R740" t="s">
        <v>3736</v>
      </c>
      <c r="T740" t="s">
        <v>1817</v>
      </c>
    </row>
    <row r="741" ht="25.5" customHeight="1" spans="1:20">
      <c r="A741" t="s">
        <v>1814</v>
      </c>
      <c r="B741" t="s">
        <v>1816</v>
      </c>
      <c r="C741" t="s">
        <v>3727</v>
      </c>
      <c r="D741" s="3"/>
      <c r="E741" s="2">
        <v>45679</v>
      </c>
      <c r="F741">
        <v>165100</v>
      </c>
      <c r="G741">
        <v>1300000</v>
      </c>
      <c r="H741">
        <v>924</v>
      </c>
      <c r="I741">
        <v>10</v>
      </c>
      <c r="J741">
        <v>1700</v>
      </c>
      <c r="K741">
        <v>104</v>
      </c>
      <c r="L741" t="s">
        <v>3331</v>
      </c>
      <c r="M741" t="s">
        <v>3414</v>
      </c>
      <c r="N741" t="s">
        <v>1630</v>
      </c>
      <c r="O741" s="4">
        <v>45679.6514930556</v>
      </c>
      <c r="P741" t="s">
        <v>1817</v>
      </c>
      <c r="Q741" t="s">
        <v>1631</v>
      </c>
      <c r="R741" t="s">
        <v>3735</v>
      </c>
      <c r="T741" t="s">
        <v>1817</v>
      </c>
    </row>
    <row r="742" ht="25.5" customHeight="1" spans="1:20">
      <c r="A742" t="s">
        <v>1814</v>
      </c>
      <c r="B742" t="s">
        <v>1816</v>
      </c>
      <c r="C742" t="s">
        <v>3727</v>
      </c>
      <c r="D742" s="3"/>
      <c r="E742" s="2">
        <v>45680</v>
      </c>
      <c r="F742">
        <v>165100</v>
      </c>
      <c r="G742">
        <v>1300000</v>
      </c>
      <c r="H742">
        <v>923</v>
      </c>
      <c r="I742">
        <v>10</v>
      </c>
      <c r="J742">
        <v>1700</v>
      </c>
      <c r="K742">
        <v>103</v>
      </c>
      <c r="L742" t="s">
        <v>3331</v>
      </c>
      <c r="M742" t="s">
        <v>3414</v>
      </c>
      <c r="N742" t="s">
        <v>1630</v>
      </c>
      <c r="O742" s="4">
        <v>45680.6668634259</v>
      </c>
      <c r="P742" t="s">
        <v>1817</v>
      </c>
      <c r="Q742" t="s">
        <v>1631</v>
      </c>
      <c r="R742" t="s">
        <v>3737</v>
      </c>
      <c r="T742" t="s">
        <v>1817</v>
      </c>
    </row>
    <row r="743" ht="25.5" customHeight="1" spans="1:20">
      <c r="A743" t="s">
        <v>1814</v>
      </c>
      <c r="B743" t="s">
        <v>1816</v>
      </c>
      <c r="C743" t="s">
        <v>3727</v>
      </c>
      <c r="D743" s="3"/>
      <c r="E743" s="2">
        <v>45681</v>
      </c>
      <c r="F743">
        <v>165200</v>
      </c>
      <c r="G743">
        <v>1300000</v>
      </c>
      <c r="H743">
        <v>924</v>
      </c>
      <c r="I743">
        <v>10</v>
      </c>
      <c r="J743">
        <v>1700</v>
      </c>
      <c r="K743">
        <v>105</v>
      </c>
      <c r="L743" t="s">
        <v>3331</v>
      </c>
      <c r="M743" t="s">
        <v>3414</v>
      </c>
      <c r="N743" t="s">
        <v>1630</v>
      </c>
      <c r="O743" s="4">
        <v>45681.6520833333</v>
      </c>
      <c r="P743" t="s">
        <v>1817</v>
      </c>
      <c r="Q743" t="s">
        <v>1631</v>
      </c>
      <c r="R743" t="s">
        <v>3736</v>
      </c>
      <c r="T743" t="s">
        <v>1817</v>
      </c>
    </row>
    <row r="744" ht="25.5" customHeight="1" spans="1:20">
      <c r="A744" t="s">
        <v>1814</v>
      </c>
      <c r="B744" t="s">
        <v>1816</v>
      </c>
      <c r="C744" t="s">
        <v>3727</v>
      </c>
      <c r="D744" s="3"/>
      <c r="E744" s="2">
        <v>45683</v>
      </c>
      <c r="F744">
        <v>165300</v>
      </c>
      <c r="G744">
        <v>1300000</v>
      </c>
      <c r="H744">
        <v>925</v>
      </c>
      <c r="I744">
        <v>10</v>
      </c>
      <c r="J744">
        <v>1700</v>
      </c>
      <c r="K744">
        <v>105</v>
      </c>
      <c r="L744" t="s">
        <v>3331</v>
      </c>
      <c r="M744" t="s">
        <v>3414</v>
      </c>
      <c r="N744" t="s">
        <v>1630</v>
      </c>
      <c r="O744" s="4">
        <v>45683.7936458333</v>
      </c>
      <c r="P744" t="s">
        <v>1817</v>
      </c>
      <c r="Q744" t="s">
        <v>1631</v>
      </c>
      <c r="R744" t="s">
        <v>3738</v>
      </c>
      <c r="T744" t="s">
        <v>1817</v>
      </c>
    </row>
    <row r="745" ht="25.5" customHeight="1" spans="1:20">
      <c r="A745" t="s">
        <v>1814</v>
      </c>
      <c r="B745" t="s">
        <v>1816</v>
      </c>
      <c r="C745" t="s">
        <v>3727</v>
      </c>
      <c r="D745" s="3"/>
      <c r="E745" s="2">
        <v>45684</v>
      </c>
      <c r="F745">
        <v>165300</v>
      </c>
      <c r="G745">
        <v>1300000</v>
      </c>
      <c r="H745">
        <v>923</v>
      </c>
      <c r="I745">
        <v>10</v>
      </c>
      <c r="J745">
        <v>1700</v>
      </c>
      <c r="K745">
        <v>105</v>
      </c>
      <c r="L745" t="s">
        <v>3331</v>
      </c>
      <c r="M745" t="s">
        <v>3414</v>
      </c>
      <c r="N745" t="s">
        <v>1630</v>
      </c>
      <c r="O745" s="4">
        <v>45684.753125</v>
      </c>
      <c r="P745" t="s">
        <v>1817</v>
      </c>
      <c r="Q745" t="s">
        <v>1631</v>
      </c>
      <c r="R745" t="s">
        <v>3735</v>
      </c>
      <c r="T745" t="s">
        <v>1817</v>
      </c>
    </row>
    <row r="746" ht="25.5" customHeight="1" spans="1:20">
      <c r="A746" t="s">
        <v>1814</v>
      </c>
      <c r="B746" t="s">
        <v>1816</v>
      </c>
      <c r="C746" t="s">
        <v>3727</v>
      </c>
      <c r="D746" s="3"/>
      <c r="E746" s="2">
        <v>45693</v>
      </c>
      <c r="F746">
        <v>168400</v>
      </c>
      <c r="G746">
        <v>1300000</v>
      </c>
      <c r="H746">
        <v>922</v>
      </c>
      <c r="I746">
        <v>10</v>
      </c>
      <c r="J746">
        <v>1700</v>
      </c>
      <c r="K746">
        <v>105</v>
      </c>
      <c r="L746" t="s">
        <v>3331</v>
      </c>
      <c r="M746" t="s">
        <v>3414</v>
      </c>
      <c r="N746" t="s">
        <v>1630</v>
      </c>
      <c r="O746" s="4">
        <v>45693.8362731481</v>
      </c>
      <c r="P746" t="s">
        <v>1817</v>
      </c>
      <c r="Q746" t="s">
        <v>1631</v>
      </c>
      <c r="R746" t="s">
        <v>3739</v>
      </c>
      <c r="T746" t="s">
        <v>1817</v>
      </c>
    </row>
    <row r="747" ht="25.5" customHeight="1" spans="1:20">
      <c r="A747" t="s">
        <v>1814</v>
      </c>
      <c r="B747" t="s">
        <v>1816</v>
      </c>
      <c r="C747" t="s">
        <v>3727</v>
      </c>
      <c r="D747" s="3"/>
      <c r="E747" s="2">
        <v>45694</v>
      </c>
      <c r="F747">
        <v>168500</v>
      </c>
      <c r="G747">
        <v>1300000</v>
      </c>
      <c r="H747">
        <v>920</v>
      </c>
      <c r="I747">
        <v>10</v>
      </c>
      <c r="J747">
        <v>1700</v>
      </c>
      <c r="K747">
        <v>105</v>
      </c>
      <c r="L747" t="s">
        <v>3331</v>
      </c>
      <c r="M747" t="s">
        <v>3414</v>
      </c>
      <c r="N747" t="s">
        <v>1630</v>
      </c>
      <c r="O747" s="4">
        <v>45698.6216782407</v>
      </c>
      <c r="P747" t="s">
        <v>1817</v>
      </c>
      <c r="Q747" t="s">
        <v>1631</v>
      </c>
      <c r="R747" t="s">
        <v>3734</v>
      </c>
      <c r="S747" t="s">
        <v>3245</v>
      </c>
      <c r="T747" t="s">
        <v>1817</v>
      </c>
    </row>
    <row r="748" ht="25.5" customHeight="1" spans="1:20">
      <c r="A748" t="s">
        <v>2546</v>
      </c>
      <c r="B748" t="s">
        <v>56</v>
      </c>
      <c r="C748" t="s">
        <v>3740</v>
      </c>
      <c r="D748" s="3"/>
      <c r="E748" s="2">
        <v>45680</v>
      </c>
      <c r="F748">
        <v>286500</v>
      </c>
      <c r="G748">
        <v>4539</v>
      </c>
      <c r="H748">
        <v>222</v>
      </c>
      <c r="I748">
        <v>4</v>
      </c>
      <c r="J748">
        <v>162</v>
      </c>
      <c r="K748">
        <v>65</v>
      </c>
      <c r="L748" t="s">
        <v>3258</v>
      </c>
      <c r="M748" t="s">
        <v>3741</v>
      </c>
      <c r="N748" t="s">
        <v>1630</v>
      </c>
      <c r="O748" s="4">
        <v>45680.6450925926</v>
      </c>
      <c r="P748" t="s">
        <v>57</v>
      </c>
      <c r="Q748" t="s">
        <v>1652</v>
      </c>
      <c r="R748" t="s">
        <v>3742</v>
      </c>
      <c r="T748" t="s">
        <v>57</v>
      </c>
    </row>
    <row r="749" ht="25.5" customHeight="1" spans="1:20">
      <c r="A749" t="s">
        <v>2546</v>
      </c>
      <c r="B749" t="s">
        <v>56</v>
      </c>
      <c r="C749" t="s">
        <v>3740</v>
      </c>
      <c r="D749" s="3"/>
      <c r="E749" s="2">
        <v>45681</v>
      </c>
      <c r="F749">
        <v>286500</v>
      </c>
      <c r="G749">
        <v>4751</v>
      </c>
      <c r="H749">
        <v>236</v>
      </c>
      <c r="I749">
        <v>4</v>
      </c>
      <c r="J749">
        <v>171</v>
      </c>
      <c r="K749">
        <v>69</v>
      </c>
      <c r="L749" t="s">
        <v>3248</v>
      </c>
      <c r="M749" t="s">
        <v>3741</v>
      </c>
      <c r="N749" t="s">
        <v>1630</v>
      </c>
      <c r="O749" s="4">
        <v>45681.6040509259</v>
      </c>
      <c r="P749" t="s">
        <v>57</v>
      </c>
      <c r="Q749" t="s">
        <v>1652</v>
      </c>
      <c r="R749" t="s">
        <v>3149</v>
      </c>
      <c r="T749" t="s">
        <v>57</v>
      </c>
    </row>
    <row r="750" ht="25.5" customHeight="1" spans="1:20">
      <c r="A750" t="s">
        <v>2546</v>
      </c>
      <c r="B750" t="s">
        <v>56</v>
      </c>
      <c r="C750" t="s">
        <v>3740</v>
      </c>
      <c r="D750" s="3"/>
      <c r="E750" s="2">
        <v>45683</v>
      </c>
      <c r="F750">
        <v>286700</v>
      </c>
      <c r="G750">
        <v>5077</v>
      </c>
      <c r="H750">
        <v>255</v>
      </c>
      <c r="I750">
        <v>4</v>
      </c>
      <c r="J750">
        <v>182</v>
      </c>
      <c r="K750">
        <v>73</v>
      </c>
      <c r="L750" t="s">
        <v>3248</v>
      </c>
      <c r="M750" t="s">
        <v>3741</v>
      </c>
      <c r="N750" t="s">
        <v>1630</v>
      </c>
      <c r="O750" s="4">
        <v>45683.7625115741</v>
      </c>
      <c r="P750" t="s">
        <v>57</v>
      </c>
      <c r="Q750" t="s">
        <v>1652</v>
      </c>
      <c r="R750" t="s">
        <v>3743</v>
      </c>
      <c r="T750" t="s">
        <v>57</v>
      </c>
    </row>
    <row r="751" ht="25.5" customHeight="1" spans="1:20">
      <c r="A751" t="s">
        <v>2546</v>
      </c>
      <c r="B751" t="s">
        <v>56</v>
      </c>
      <c r="C751" t="s">
        <v>3740</v>
      </c>
      <c r="D751" s="3"/>
      <c r="E751" s="2">
        <v>45684</v>
      </c>
      <c r="F751">
        <v>286700</v>
      </c>
      <c r="G751">
        <v>5273</v>
      </c>
      <c r="H751">
        <v>268</v>
      </c>
      <c r="I751">
        <v>4</v>
      </c>
      <c r="J751">
        <v>191</v>
      </c>
      <c r="K751">
        <v>77</v>
      </c>
      <c r="L751" t="s">
        <v>3248</v>
      </c>
      <c r="M751" t="s">
        <v>3741</v>
      </c>
      <c r="N751" t="s">
        <v>1630</v>
      </c>
      <c r="O751" s="4">
        <v>45684.8292361111</v>
      </c>
      <c r="P751" t="s">
        <v>57</v>
      </c>
      <c r="Q751" t="s">
        <v>1652</v>
      </c>
      <c r="R751" t="s">
        <v>3744</v>
      </c>
      <c r="T751" t="s">
        <v>57</v>
      </c>
    </row>
    <row r="752" ht="25.5" customHeight="1" spans="1:20">
      <c r="A752" t="s">
        <v>2546</v>
      </c>
      <c r="B752" t="s">
        <v>56</v>
      </c>
      <c r="C752" t="s">
        <v>3740</v>
      </c>
      <c r="D752" s="3"/>
      <c r="E752" s="2">
        <v>45693</v>
      </c>
      <c r="F752">
        <v>288900</v>
      </c>
      <c r="G752">
        <v>7278</v>
      </c>
      <c r="H752">
        <v>339</v>
      </c>
      <c r="I752">
        <v>7</v>
      </c>
      <c r="J752">
        <v>259</v>
      </c>
      <c r="K752">
        <v>108</v>
      </c>
      <c r="L752" t="s">
        <v>3258</v>
      </c>
      <c r="M752" t="s">
        <v>3741</v>
      </c>
      <c r="N752" t="s">
        <v>1630</v>
      </c>
      <c r="O752" s="4">
        <v>45693.8029398148</v>
      </c>
      <c r="P752" t="s">
        <v>57</v>
      </c>
      <c r="Q752" t="s">
        <v>1652</v>
      </c>
      <c r="R752" t="s">
        <v>3745</v>
      </c>
      <c r="T752" t="s">
        <v>57</v>
      </c>
    </row>
    <row r="753" ht="25.5" customHeight="1" spans="1:20">
      <c r="A753" t="s">
        <v>2546</v>
      </c>
      <c r="B753" t="s">
        <v>56</v>
      </c>
      <c r="C753" t="s">
        <v>3740</v>
      </c>
      <c r="D753" s="3"/>
      <c r="E753" s="2">
        <v>45694</v>
      </c>
      <c r="F753">
        <v>289300</v>
      </c>
      <c r="G753">
        <v>7499</v>
      </c>
      <c r="H753">
        <v>346</v>
      </c>
      <c r="I753">
        <v>7</v>
      </c>
      <c r="J753">
        <v>265</v>
      </c>
      <c r="K753">
        <v>108</v>
      </c>
      <c r="L753" t="s">
        <v>3258</v>
      </c>
      <c r="M753" t="s">
        <v>3741</v>
      </c>
      <c r="N753" t="s">
        <v>1630</v>
      </c>
      <c r="O753" s="4">
        <v>45698.6216782407</v>
      </c>
      <c r="P753" t="s">
        <v>57</v>
      </c>
      <c r="Q753" t="s">
        <v>1652</v>
      </c>
      <c r="R753" t="s">
        <v>3746</v>
      </c>
      <c r="S753" t="s">
        <v>3245</v>
      </c>
      <c r="T753" t="s">
        <v>57</v>
      </c>
    </row>
    <row r="754" ht="25.5" customHeight="1" spans="1:20">
      <c r="A754" t="s">
        <v>2546</v>
      </c>
      <c r="B754" t="s">
        <v>56</v>
      </c>
      <c r="C754" t="s">
        <v>3740</v>
      </c>
      <c r="D754" s="3"/>
      <c r="E754" s="2">
        <v>45695</v>
      </c>
      <c r="F754">
        <v>289600</v>
      </c>
      <c r="G754">
        <v>7703</v>
      </c>
      <c r="H754">
        <v>354</v>
      </c>
      <c r="I754">
        <v>7</v>
      </c>
      <c r="J754">
        <v>274</v>
      </c>
      <c r="K754">
        <v>111</v>
      </c>
      <c r="L754" t="s">
        <v>3258</v>
      </c>
      <c r="M754" t="s">
        <v>3741</v>
      </c>
      <c r="N754" t="s">
        <v>1630</v>
      </c>
      <c r="O754" s="4">
        <v>45695.7110185185</v>
      </c>
      <c r="P754" t="s">
        <v>57</v>
      </c>
      <c r="Q754" t="s">
        <v>1652</v>
      </c>
      <c r="R754" t="s">
        <v>3747</v>
      </c>
      <c r="T754" t="s">
        <v>57</v>
      </c>
    </row>
    <row r="755" ht="25.5" customHeight="1" spans="1:20">
      <c r="A755" t="s">
        <v>2546</v>
      </c>
      <c r="B755" t="s">
        <v>56</v>
      </c>
      <c r="C755" t="s">
        <v>3740</v>
      </c>
      <c r="D755" s="3"/>
      <c r="E755" s="2">
        <v>45696</v>
      </c>
      <c r="F755">
        <v>289700</v>
      </c>
      <c r="G755">
        <v>7814</v>
      </c>
      <c r="H755">
        <v>358</v>
      </c>
      <c r="I755">
        <v>7</v>
      </c>
      <c r="J755">
        <v>278</v>
      </c>
      <c r="K755">
        <v>113</v>
      </c>
      <c r="L755" t="s">
        <v>3258</v>
      </c>
      <c r="M755" t="s">
        <v>3741</v>
      </c>
      <c r="N755" t="s">
        <v>1630</v>
      </c>
      <c r="O755" s="4">
        <v>45696.4339351852</v>
      </c>
      <c r="P755" t="s">
        <v>57</v>
      </c>
      <c r="Q755" t="s">
        <v>1652</v>
      </c>
      <c r="R755" t="s">
        <v>3748</v>
      </c>
      <c r="T755" t="s">
        <v>57</v>
      </c>
    </row>
    <row r="756" ht="25.5" customHeight="1" spans="1:20">
      <c r="A756" t="s">
        <v>2023</v>
      </c>
      <c r="B756" t="s">
        <v>65</v>
      </c>
      <c r="C756" t="s">
        <v>3749</v>
      </c>
      <c r="D756" s="3" t="str">
        <f>HYPERLINK("https://www.instagram.com/iaenlinea/reels/","https://www.instagram.com/iaenlinea/reels/")</f>
        <v>https://www.instagram.com/iaenlinea/reels/</v>
      </c>
      <c r="E756" s="2">
        <v>45677</v>
      </c>
      <c r="F756">
        <v>323000</v>
      </c>
      <c r="G756">
        <v>30500</v>
      </c>
      <c r="H756">
        <v>878</v>
      </c>
      <c r="I756">
        <v>884</v>
      </c>
      <c r="L756" t="s">
        <v>3331</v>
      </c>
      <c r="M756" t="s">
        <v>3139</v>
      </c>
      <c r="N756" t="s">
        <v>1630</v>
      </c>
      <c r="O756" s="4">
        <v>45678.4985069444</v>
      </c>
      <c r="P756" t="s">
        <v>116</v>
      </c>
      <c r="Q756" t="s">
        <v>1652</v>
      </c>
      <c r="R756" t="s">
        <v>3750</v>
      </c>
      <c r="T756" t="s">
        <v>116</v>
      </c>
    </row>
    <row r="757" ht="25.5" customHeight="1" spans="1:20">
      <c r="A757" t="s">
        <v>2023</v>
      </c>
      <c r="B757" t="s">
        <v>65</v>
      </c>
      <c r="C757" t="s">
        <v>3749</v>
      </c>
      <c r="D757" s="3"/>
      <c r="E757" s="2">
        <v>45678</v>
      </c>
      <c r="F757">
        <v>324000</v>
      </c>
      <c r="G757">
        <v>32800</v>
      </c>
      <c r="H757">
        <v>940</v>
      </c>
      <c r="I757">
        <v>964</v>
      </c>
      <c r="L757" t="s">
        <v>3331</v>
      </c>
      <c r="M757" t="s">
        <v>3139</v>
      </c>
      <c r="N757" t="s">
        <v>1630</v>
      </c>
      <c r="O757" s="4">
        <v>45678.49875</v>
      </c>
      <c r="P757" t="s">
        <v>116</v>
      </c>
      <c r="Q757" t="s">
        <v>1652</v>
      </c>
      <c r="R757" t="s">
        <v>3751</v>
      </c>
      <c r="T757" t="s">
        <v>116</v>
      </c>
    </row>
    <row r="758" ht="25.5" customHeight="1" spans="1:20">
      <c r="A758" t="s">
        <v>2023</v>
      </c>
      <c r="B758" t="s">
        <v>65</v>
      </c>
      <c r="C758" t="s">
        <v>3749</v>
      </c>
      <c r="D758" s="3"/>
      <c r="E758" s="2">
        <v>45679</v>
      </c>
      <c r="F758">
        <v>324000</v>
      </c>
      <c r="G758">
        <v>35100</v>
      </c>
      <c r="H758">
        <v>997</v>
      </c>
      <c r="I758">
        <v>1025</v>
      </c>
      <c r="L758" t="s">
        <v>3331</v>
      </c>
      <c r="M758" t="s">
        <v>3139</v>
      </c>
      <c r="N758" t="s">
        <v>1630</v>
      </c>
      <c r="O758" s="4">
        <v>45679.6605092593</v>
      </c>
      <c r="P758" t="s">
        <v>116</v>
      </c>
      <c r="Q758" t="s">
        <v>1652</v>
      </c>
      <c r="R758" t="s">
        <v>3752</v>
      </c>
      <c r="T758" t="s">
        <v>116</v>
      </c>
    </row>
    <row r="759" ht="25.5" customHeight="1" spans="1:20">
      <c r="A759" t="s">
        <v>2023</v>
      </c>
      <c r="B759" t="s">
        <v>65</v>
      </c>
      <c r="C759" t="s">
        <v>3749</v>
      </c>
      <c r="D759" s="3"/>
      <c r="E759" s="2">
        <v>45680</v>
      </c>
      <c r="F759">
        <v>324000</v>
      </c>
      <c r="G759">
        <v>36300</v>
      </c>
      <c r="H759">
        <v>1030</v>
      </c>
      <c r="I759">
        <v>1067</v>
      </c>
      <c r="L759" t="s">
        <v>3331</v>
      </c>
      <c r="M759" t="s">
        <v>3139</v>
      </c>
      <c r="N759" t="s">
        <v>1630</v>
      </c>
      <c r="O759" s="4">
        <v>45680.5106134259</v>
      </c>
      <c r="P759" t="s">
        <v>116</v>
      </c>
      <c r="Q759" t="s">
        <v>1652</v>
      </c>
      <c r="R759" t="s">
        <v>3753</v>
      </c>
      <c r="T759" t="s">
        <v>116</v>
      </c>
    </row>
    <row r="760" ht="25.5" customHeight="1" spans="1:20">
      <c r="A760" t="s">
        <v>2023</v>
      </c>
      <c r="B760" t="s">
        <v>65</v>
      </c>
      <c r="C760" t="s">
        <v>3749</v>
      </c>
      <c r="D760" s="3"/>
      <c r="E760" s="2">
        <v>45681</v>
      </c>
      <c r="F760">
        <v>324000</v>
      </c>
      <c r="G760">
        <v>38000</v>
      </c>
      <c r="H760">
        <v>1074</v>
      </c>
      <c r="I760">
        <v>1106</v>
      </c>
      <c r="L760" t="s">
        <v>3331</v>
      </c>
      <c r="M760" t="s">
        <v>3139</v>
      </c>
      <c r="N760" t="s">
        <v>1630</v>
      </c>
      <c r="O760" s="4">
        <v>45681.4857523148</v>
      </c>
      <c r="P760" t="s">
        <v>116</v>
      </c>
      <c r="Q760" t="s">
        <v>1652</v>
      </c>
      <c r="R760" t="s">
        <v>3754</v>
      </c>
      <c r="T760" t="s">
        <v>116</v>
      </c>
    </row>
    <row r="761" ht="25.5" customHeight="1" spans="1:20">
      <c r="A761" t="s">
        <v>2023</v>
      </c>
      <c r="B761" t="s">
        <v>65</v>
      </c>
      <c r="C761" t="s">
        <v>3749</v>
      </c>
      <c r="D761" s="3"/>
      <c r="E761" s="2">
        <v>45683</v>
      </c>
      <c r="F761">
        <v>325000</v>
      </c>
      <c r="G761">
        <v>41400</v>
      </c>
      <c r="H761">
        <v>1161</v>
      </c>
      <c r="I761">
        <v>1181</v>
      </c>
      <c r="L761" t="s">
        <v>3331</v>
      </c>
      <c r="M761" t="s">
        <v>3139</v>
      </c>
      <c r="N761" t="s">
        <v>1630</v>
      </c>
      <c r="O761" s="4">
        <v>45683.7118865741</v>
      </c>
      <c r="P761" t="s">
        <v>116</v>
      </c>
      <c r="Q761" t="s">
        <v>1652</v>
      </c>
      <c r="R761" t="s">
        <v>3755</v>
      </c>
      <c r="T761" t="s">
        <v>116</v>
      </c>
    </row>
    <row r="762" ht="25.5" customHeight="1" spans="1:20">
      <c r="A762" t="s">
        <v>2023</v>
      </c>
      <c r="B762" t="s">
        <v>65</v>
      </c>
      <c r="C762" t="s">
        <v>3749</v>
      </c>
      <c r="D762" s="3"/>
      <c r="E762" s="2">
        <v>45684</v>
      </c>
      <c r="F762">
        <v>325000</v>
      </c>
      <c r="G762">
        <v>43000</v>
      </c>
      <c r="H762">
        <v>1207</v>
      </c>
      <c r="I762">
        <v>1192</v>
      </c>
      <c r="L762" t="s">
        <v>3331</v>
      </c>
      <c r="M762" t="s">
        <v>3139</v>
      </c>
      <c r="N762" t="s">
        <v>1630</v>
      </c>
      <c r="O762" s="4">
        <v>45684.7737847222</v>
      </c>
      <c r="P762" t="s">
        <v>116</v>
      </c>
      <c r="Q762" t="s">
        <v>1652</v>
      </c>
      <c r="R762" t="s">
        <v>3756</v>
      </c>
      <c r="T762" t="s">
        <v>116</v>
      </c>
    </row>
    <row r="763" ht="25.5" customHeight="1" spans="1:20">
      <c r="A763" t="s">
        <v>2023</v>
      </c>
      <c r="B763" t="s">
        <v>65</v>
      </c>
      <c r="C763" t="s">
        <v>3749</v>
      </c>
      <c r="D763" s="3"/>
      <c r="E763" s="2">
        <v>45693</v>
      </c>
      <c r="F763">
        <v>328000</v>
      </c>
      <c r="G763">
        <v>62000</v>
      </c>
      <c r="H763">
        <v>1739</v>
      </c>
      <c r="I763">
        <v>1519</v>
      </c>
      <c r="L763" t="s">
        <v>3331</v>
      </c>
      <c r="M763" t="s">
        <v>3139</v>
      </c>
      <c r="N763" t="s">
        <v>1630</v>
      </c>
      <c r="O763" s="4">
        <v>45693.7738310185</v>
      </c>
      <c r="P763" t="s">
        <v>116</v>
      </c>
      <c r="Q763" t="s">
        <v>1652</v>
      </c>
      <c r="R763" t="s">
        <v>3757</v>
      </c>
      <c r="T763" t="s">
        <v>116</v>
      </c>
    </row>
    <row r="764" ht="25.5" customHeight="1" spans="1:20">
      <c r="A764" t="s">
        <v>2023</v>
      </c>
      <c r="B764" t="s">
        <v>65</v>
      </c>
      <c r="C764" t="s">
        <v>3749</v>
      </c>
      <c r="D764" s="3"/>
      <c r="E764" s="2">
        <v>45694</v>
      </c>
      <c r="F764">
        <v>328000</v>
      </c>
      <c r="G764">
        <v>65500</v>
      </c>
      <c r="H764">
        <v>1824</v>
      </c>
      <c r="I764">
        <v>1547</v>
      </c>
      <c r="L764" t="s">
        <v>3331</v>
      </c>
      <c r="M764" t="s">
        <v>3139</v>
      </c>
      <c r="N764" t="s">
        <v>1630</v>
      </c>
      <c r="O764" s="4">
        <v>45698.6216782407</v>
      </c>
      <c r="P764" t="s">
        <v>116</v>
      </c>
      <c r="Q764" t="s">
        <v>1652</v>
      </c>
      <c r="R764" t="s">
        <v>3758</v>
      </c>
      <c r="S764" t="s">
        <v>3245</v>
      </c>
      <c r="T764" t="s">
        <v>116</v>
      </c>
    </row>
    <row r="765" ht="25.5" customHeight="1" spans="1:20">
      <c r="A765" t="s">
        <v>2023</v>
      </c>
      <c r="B765" t="s">
        <v>65</v>
      </c>
      <c r="C765" t="s">
        <v>3749</v>
      </c>
      <c r="D765" s="3"/>
      <c r="E765" s="2">
        <v>45695</v>
      </c>
      <c r="F765">
        <v>328000</v>
      </c>
      <c r="G765">
        <v>69600</v>
      </c>
      <c r="H765">
        <v>1959</v>
      </c>
      <c r="I765">
        <v>1587</v>
      </c>
      <c r="L765" t="s">
        <v>3331</v>
      </c>
      <c r="M765" t="s">
        <v>3139</v>
      </c>
      <c r="N765" t="s">
        <v>1630</v>
      </c>
      <c r="O765" s="4">
        <v>45695.4834953704</v>
      </c>
      <c r="P765" t="s">
        <v>116</v>
      </c>
      <c r="Q765" t="s">
        <v>1652</v>
      </c>
      <c r="R765" t="s">
        <v>3424</v>
      </c>
      <c r="T765" t="s">
        <v>116</v>
      </c>
    </row>
    <row r="766" ht="25.5" customHeight="1" spans="1:20">
      <c r="A766" t="s">
        <v>2023</v>
      </c>
      <c r="B766" t="s">
        <v>65</v>
      </c>
      <c r="C766" t="s">
        <v>3749</v>
      </c>
      <c r="D766" s="3"/>
      <c r="E766" s="2">
        <v>45696</v>
      </c>
      <c r="F766">
        <v>329000</v>
      </c>
      <c r="G766">
        <v>73300</v>
      </c>
      <c r="H766">
        <v>2069</v>
      </c>
      <c r="I766">
        <v>1622</v>
      </c>
      <c r="L766" t="s">
        <v>3331</v>
      </c>
      <c r="M766" t="s">
        <v>3139</v>
      </c>
      <c r="N766" t="s">
        <v>1630</v>
      </c>
      <c r="O766" s="4">
        <v>45696.4472569444</v>
      </c>
      <c r="P766" t="s">
        <v>116</v>
      </c>
      <c r="Q766" t="s">
        <v>1652</v>
      </c>
      <c r="R766" t="s">
        <v>3759</v>
      </c>
      <c r="T766" t="s">
        <v>116</v>
      </c>
    </row>
    <row r="767" ht="25.5" customHeight="1" spans="1:20">
      <c r="A767" t="s">
        <v>2471</v>
      </c>
      <c r="B767" t="s">
        <v>56</v>
      </c>
      <c r="D767" s="3"/>
      <c r="E767" s="2"/>
      <c r="M767" t="s">
        <v>3378</v>
      </c>
      <c r="N767" t="s">
        <v>2081</v>
      </c>
      <c r="O767" s="4">
        <v>45670.743587963</v>
      </c>
      <c r="P767" t="s">
        <v>57</v>
      </c>
      <c r="R767" t="s">
        <v>3133</v>
      </c>
      <c r="T767" t="s">
        <v>57</v>
      </c>
    </row>
    <row r="768" ht="25.5" customHeight="1" spans="1:20">
      <c r="A768" t="s">
        <v>2471</v>
      </c>
      <c r="B768" t="s">
        <v>56</v>
      </c>
      <c r="D768" s="3"/>
      <c r="E768" s="2"/>
      <c r="M768" t="s">
        <v>3378</v>
      </c>
      <c r="N768" t="s">
        <v>2081</v>
      </c>
      <c r="O768" s="4">
        <v>45670.743587963</v>
      </c>
      <c r="P768" t="s">
        <v>57</v>
      </c>
      <c r="R768" t="s">
        <v>3133</v>
      </c>
      <c r="T768" t="s">
        <v>57</v>
      </c>
    </row>
    <row r="769" ht="25.5" customHeight="1" spans="1:20">
      <c r="A769" t="s">
        <v>2466</v>
      </c>
      <c r="B769" t="s">
        <v>1816</v>
      </c>
      <c r="C769" t="s">
        <v>3760</v>
      </c>
      <c r="D769" s="3"/>
      <c r="E769" s="2">
        <v>45664</v>
      </c>
      <c r="F769">
        <v>154800</v>
      </c>
      <c r="G769">
        <v>16900</v>
      </c>
      <c r="H769">
        <v>63</v>
      </c>
      <c r="I769">
        <v>23</v>
      </c>
      <c r="J769">
        <v>84</v>
      </c>
      <c r="K769">
        <v>14</v>
      </c>
      <c r="L769" t="s">
        <v>3138</v>
      </c>
      <c r="M769" t="s">
        <v>3378</v>
      </c>
      <c r="N769" t="s">
        <v>1630</v>
      </c>
      <c r="O769" s="4">
        <v>45671.7872685185</v>
      </c>
      <c r="P769" t="s">
        <v>1817</v>
      </c>
      <c r="Q769" t="s">
        <v>1631</v>
      </c>
      <c r="R769" t="s">
        <v>3761</v>
      </c>
      <c r="T769" t="s">
        <v>1817</v>
      </c>
    </row>
    <row r="770" ht="25.5" customHeight="1" spans="1:20">
      <c r="A770" t="s">
        <v>2466</v>
      </c>
      <c r="B770" t="s">
        <v>1816</v>
      </c>
      <c r="C770" t="s">
        <v>3760</v>
      </c>
      <c r="D770" s="3"/>
      <c r="E770" s="2">
        <v>45665</v>
      </c>
      <c r="F770">
        <v>154900</v>
      </c>
      <c r="G770">
        <v>18500</v>
      </c>
      <c r="H770">
        <v>68</v>
      </c>
      <c r="I770">
        <v>25</v>
      </c>
      <c r="J770">
        <v>93</v>
      </c>
      <c r="K770">
        <v>14</v>
      </c>
      <c r="L770" t="s">
        <v>3138</v>
      </c>
      <c r="M770" t="s">
        <v>3378</v>
      </c>
      <c r="N770" t="s">
        <v>1630</v>
      </c>
      <c r="O770" s="4">
        <v>45672.5030092593</v>
      </c>
      <c r="P770" t="s">
        <v>1817</v>
      </c>
      <c r="Q770" t="s">
        <v>1631</v>
      </c>
      <c r="R770" t="s">
        <v>3762</v>
      </c>
      <c r="T770" t="s">
        <v>1817</v>
      </c>
    </row>
    <row r="771" ht="25.5" customHeight="1" spans="1:20">
      <c r="A771" t="s">
        <v>2466</v>
      </c>
      <c r="B771" t="s">
        <v>1816</v>
      </c>
      <c r="C771" t="s">
        <v>3760</v>
      </c>
      <c r="D771" s="3"/>
      <c r="E771" s="2">
        <v>45670</v>
      </c>
      <c r="F771">
        <v>155200</v>
      </c>
      <c r="G771">
        <v>19100</v>
      </c>
      <c r="H771">
        <v>69</v>
      </c>
      <c r="I771">
        <v>25</v>
      </c>
      <c r="J771">
        <v>92</v>
      </c>
      <c r="K771">
        <v>13</v>
      </c>
      <c r="L771" t="s">
        <v>3138</v>
      </c>
      <c r="M771" t="s">
        <v>3378</v>
      </c>
      <c r="N771" t="s">
        <v>1630</v>
      </c>
      <c r="O771" s="4">
        <v>45672.5030092593</v>
      </c>
      <c r="P771" t="s">
        <v>1817</v>
      </c>
      <c r="Q771" t="s">
        <v>1631</v>
      </c>
      <c r="R771" t="s">
        <v>3763</v>
      </c>
      <c r="T771" t="s">
        <v>1817</v>
      </c>
    </row>
    <row r="772" ht="25.5" customHeight="1" spans="1:20">
      <c r="A772" t="s">
        <v>2466</v>
      </c>
      <c r="B772" t="s">
        <v>1816</v>
      </c>
      <c r="C772" t="s">
        <v>3760</v>
      </c>
      <c r="D772" s="3"/>
      <c r="E772" s="2">
        <v>45671</v>
      </c>
      <c r="F772">
        <v>155200</v>
      </c>
      <c r="G772">
        <v>19100</v>
      </c>
      <c r="H772">
        <v>69</v>
      </c>
      <c r="I772">
        <v>25</v>
      </c>
      <c r="J772">
        <v>91</v>
      </c>
      <c r="K772">
        <v>13</v>
      </c>
      <c r="L772" t="s">
        <v>3138</v>
      </c>
      <c r="M772" t="s">
        <v>3378</v>
      </c>
      <c r="N772" t="s">
        <v>1630</v>
      </c>
      <c r="O772" s="4">
        <v>45672.5030092593</v>
      </c>
      <c r="P772" t="s">
        <v>1817</v>
      </c>
      <c r="Q772" t="s">
        <v>1631</v>
      </c>
      <c r="R772" t="s">
        <v>3764</v>
      </c>
      <c r="T772" t="s">
        <v>1817</v>
      </c>
    </row>
    <row r="773" ht="25.5" customHeight="1" spans="1:20">
      <c r="A773" t="s">
        <v>2466</v>
      </c>
      <c r="B773" t="s">
        <v>1816</v>
      </c>
      <c r="C773" t="s">
        <v>3760</v>
      </c>
      <c r="D773" s="3"/>
      <c r="E773" s="2">
        <v>45672</v>
      </c>
      <c r="F773">
        <v>155200</v>
      </c>
      <c r="G773">
        <v>19100</v>
      </c>
      <c r="H773">
        <v>69</v>
      </c>
      <c r="I773">
        <v>25</v>
      </c>
      <c r="J773">
        <v>91</v>
      </c>
      <c r="K773">
        <v>13</v>
      </c>
      <c r="L773" t="s">
        <v>3138</v>
      </c>
      <c r="M773" t="s">
        <v>3378</v>
      </c>
      <c r="N773" t="s">
        <v>1630</v>
      </c>
      <c r="O773" s="4">
        <v>45672.7134259259</v>
      </c>
      <c r="P773" t="s">
        <v>1817</v>
      </c>
      <c r="Q773" t="s">
        <v>1631</v>
      </c>
      <c r="R773" t="s">
        <v>3764</v>
      </c>
      <c r="T773" t="s">
        <v>1817</v>
      </c>
    </row>
    <row r="774" ht="25.5" customHeight="1" spans="1:20">
      <c r="A774" t="s">
        <v>2466</v>
      </c>
      <c r="B774" t="s">
        <v>1816</v>
      </c>
      <c r="C774" t="s">
        <v>3760</v>
      </c>
      <c r="D774" s="3"/>
      <c r="E774" s="2">
        <v>45673</v>
      </c>
      <c r="F774">
        <v>155200</v>
      </c>
      <c r="G774">
        <v>19100</v>
      </c>
      <c r="H774">
        <v>68</v>
      </c>
      <c r="I774">
        <v>25</v>
      </c>
      <c r="J774">
        <v>91</v>
      </c>
      <c r="K774">
        <v>13</v>
      </c>
      <c r="L774" t="s">
        <v>3138</v>
      </c>
      <c r="M774" t="s">
        <v>3378</v>
      </c>
      <c r="N774" t="s">
        <v>1630</v>
      </c>
      <c r="O774" s="4">
        <v>45673.6275231481</v>
      </c>
      <c r="P774" t="s">
        <v>1817</v>
      </c>
      <c r="Q774" t="s">
        <v>1631</v>
      </c>
      <c r="R774" t="s">
        <v>3187</v>
      </c>
      <c r="T774" t="s">
        <v>1817</v>
      </c>
    </row>
    <row r="775" ht="25.5" customHeight="1" spans="1:20">
      <c r="A775" t="s">
        <v>2466</v>
      </c>
      <c r="B775" t="s">
        <v>1816</v>
      </c>
      <c r="C775" t="s">
        <v>3760</v>
      </c>
      <c r="D775" s="3"/>
      <c r="E775" s="2">
        <v>45674</v>
      </c>
      <c r="F775">
        <v>155200</v>
      </c>
      <c r="G775">
        <v>19200</v>
      </c>
      <c r="H775">
        <v>68</v>
      </c>
      <c r="I775">
        <v>25</v>
      </c>
      <c r="J775">
        <v>91</v>
      </c>
      <c r="K775">
        <v>13</v>
      </c>
      <c r="L775" t="s">
        <v>3138</v>
      </c>
      <c r="M775" t="s">
        <v>3378</v>
      </c>
      <c r="N775" t="s">
        <v>1630</v>
      </c>
      <c r="O775" s="4">
        <v>45674.6823148148</v>
      </c>
      <c r="P775" t="s">
        <v>1817</v>
      </c>
      <c r="Q775" t="s">
        <v>1631</v>
      </c>
      <c r="R775" t="s">
        <v>3187</v>
      </c>
      <c r="T775" t="s">
        <v>1817</v>
      </c>
    </row>
    <row r="776" ht="25.5" customHeight="1" spans="1:20">
      <c r="A776" t="s">
        <v>2466</v>
      </c>
      <c r="B776" t="s">
        <v>1816</v>
      </c>
      <c r="C776" t="s">
        <v>3760</v>
      </c>
      <c r="D776" s="3"/>
      <c r="E776" s="2">
        <v>45677</v>
      </c>
      <c r="F776">
        <v>155200</v>
      </c>
      <c r="G776">
        <v>19200</v>
      </c>
      <c r="H776">
        <v>68</v>
      </c>
      <c r="I776">
        <v>25</v>
      </c>
      <c r="J776">
        <v>91</v>
      </c>
      <c r="K776">
        <v>13</v>
      </c>
      <c r="L776" t="s">
        <v>3138</v>
      </c>
      <c r="M776" t="s">
        <v>3378</v>
      </c>
      <c r="N776" t="s">
        <v>1630</v>
      </c>
      <c r="O776" s="4">
        <v>45677.44125</v>
      </c>
      <c r="P776" t="s">
        <v>1817</v>
      </c>
      <c r="Q776" t="s">
        <v>1631</v>
      </c>
      <c r="R776" t="s">
        <v>3187</v>
      </c>
      <c r="T776" t="s">
        <v>1817</v>
      </c>
    </row>
    <row r="777" ht="25.5" customHeight="1" spans="1:20">
      <c r="A777" t="s">
        <v>2466</v>
      </c>
      <c r="B777" t="s">
        <v>1816</v>
      </c>
      <c r="C777" t="s">
        <v>3760</v>
      </c>
      <c r="D777" s="3"/>
      <c r="E777" s="2">
        <v>45678</v>
      </c>
      <c r="F777">
        <v>155100</v>
      </c>
      <c r="G777">
        <v>19200</v>
      </c>
      <c r="H777">
        <v>68</v>
      </c>
      <c r="I777">
        <v>25</v>
      </c>
      <c r="J777">
        <v>91</v>
      </c>
      <c r="K777">
        <v>13</v>
      </c>
      <c r="L777" t="s">
        <v>3138</v>
      </c>
      <c r="M777" t="s">
        <v>3378</v>
      </c>
      <c r="N777" t="s">
        <v>1630</v>
      </c>
      <c r="O777" s="4">
        <v>45678.6665972222</v>
      </c>
      <c r="P777" t="s">
        <v>1817</v>
      </c>
      <c r="Q777" t="s">
        <v>1631</v>
      </c>
      <c r="R777" t="s">
        <v>3187</v>
      </c>
      <c r="T777" t="s">
        <v>1817</v>
      </c>
    </row>
    <row r="778" ht="25.5" customHeight="1" spans="1:20">
      <c r="A778" t="s">
        <v>2466</v>
      </c>
      <c r="B778" t="s">
        <v>1816</v>
      </c>
      <c r="C778" t="s">
        <v>3760</v>
      </c>
      <c r="D778" s="3"/>
      <c r="E778" s="2">
        <v>45679</v>
      </c>
      <c r="F778">
        <v>155000</v>
      </c>
      <c r="G778">
        <v>19200</v>
      </c>
      <c r="H778">
        <v>68</v>
      </c>
      <c r="I778">
        <v>25</v>
      </c>
      <c r="J778">
        <v>91</v>
      </c>
      <c r="K778">
        <v>13</v>
      </c>
      <c r="L778" t="s">
        <v>3138</v>
      </c>
      <c r="M778" t="s">
        <v>3378</v>
      </c>
      <c r="N778" t="s">
        <v>1630</v>
      </c>
      <c r="O778" s="4">
        <v>45679.6516782407</v>
      </c>
      <c r="P778" t="s">
        <v>1817</v>
      </c>
      <c r="Q778" t="s">
        <v>1631</v>
      </c>
      <c r="R778" t="s">
        <v>3187</v>
      </c>
      <c r="T778" t="s">
        <v>1817</v>
      </c>
    </row>
    <row r="779" ht="25.5" customHeight="1" spans="1:20">
      <c r="A779" t="s">
        <v>2466</v>
      </c>
      <c r="B779" t="s">
        <v>1816</v>
      </c>
      <c r="C779" t="s">
        <v>3760</v>
      </c>
      <c r="D779" s="3"/>
      <c r="E779" s="2">
        <v>45680</v>
      </c>
      <c r="F779">
        <v>155000</v>
      </c>
      <c r="G779">
        <v>19200</v>
      </c>
      <c r="H779">
        <v>69</v>
      </c>
      <c r="I779">
        <v>25</v>
      </c>
      <c r="J779">
        <v>91</v>
      </c>
      <c r="K779">
        <v>13</v>
      </c>
      <c r="L779" t="s">
        <v>3138</v>
      </c>
      <c r="M779" t="s">
        <v>3378</v>
      </c>
      <c r="N779" t="s">
        <v>1630</v>
      </c>
      <c r="O779" s="4">
        <v>45680.6670833333</v>
      </c>
      <c r="P779" t="s">
        <v>1817</v>
      </c>
      <c r="Q779" t="s">
        <v>1631</v>
      </c>
      <c r="R779" t="s">
        <v>3764</v>
      </c>
      <c r="T779" t="s">
        <v>1817</v>
      </c>
    </row>
    <row r="780" ht="25.5" customHeight="1" spans="1:20">
      <c r="A780" t="s">
        <v>2466</v>
      </c>
      <c r="B780" t="s">
        <v>1816</v>
      </c>
      <c r="C780" t="s">
        <v>3760</v>
      </c>
      <c r="D780" s="3"/>
      <c r="E780" s="2">
        <v>45681</v>
      </c>
      <c r="F780">
        <v>155100</v>
      </c>
      <c r="G780">
        <v>19200</v>
      </c>
      <c r="H780">
        <v>69</v>
      </c>
      <c r="I780">
        <v>25</v>
      </c>
      <c r="J780">
        <v>90</v>
      </c>
      <c r="K780">
        <v>13</v>
      </c>
      <c r="L780" t="s">
        <v>3138</v>
      </c>
      <c r="M780" t="s">
        <v>3378</v>
      </c>
      <c r="N780" t="s">
        <v>1630</v>
      </c>
      <c r="O780" s="4">
        <v>45681.6522569444</v>
      </c>
      <c r="P780" t="s">
        <v>1817</v>
      </c>
      <c r="Q780" t="s">
        <v>1631</v>
      </c>
      <c r="R780" t="s">
        <v>3187</v>
      </c>
      <c r="T780" t="s">
        <v>1817</v>
      </c>
    </row>
    <row r="781" ht="25.5" customHeight="1" spans="1:20">
      <c r="A781" t="s">
        <v>2466</v>
      </c>
      <c r="B781" t="s">
        <v>1816</v>
      </c>
      <c r="C781" t="s">
        <v>3760</v>
      </c>
      <c r="D781" s="3"/>
      <c r="E781" s="2">
        <v>45683</v>
      </c>
      <c r="F781">
        <v>155000</v>
      </c>
      <c r="G781">
        <v>19200</v>
      </c>
      <c r="H781">
        <v>69</v>
      </c>
      <c r="I781">
        <v>25</v>
      </c>
      <c r="J781">
        <v>90</v>
      </c>
      <c r="K781">
        <v>13</v>
      </c>
      <c r="L781" t="s">
        <v>3138</v>
      </c>
      <c r="M781" t="s">
        <v>3378</v>
      </c>
      <c r="N781" t="s">
        <v>1630</v>
      </c>
      <c r="O781" s="4">
        <v>45683.7938541667</v>
      </c>
      <c r="P781" t="s">
        <v>1817</v>
      </c>
      <c r="Q781" t="s">
        <v>1631</v>
      </c>
      <c r="R781" t="s">
        <v>3187</v>
      </c>
      <c r="T781" t="s">
        <v>1817</v>
      </c>
    </row>
    <row r="782" ht="25.5" customHeight="1" spans="1:20">
      <c r="A782" t="s">
        <v>2466</v>
      </c>
      <c r="B782" t="s">
        <v>1816</v>
      </c>
      <c r="C782" t="s">
        <v>3760</v>
      </c>
      <c r="D782" s="3"/>
      <c r="E782" s="2">
        <v>45684</v>
      </c>
      <c r="F782">
        <v>155000</v>
      </c>
      <c r="G782">
        <v>19200</v>
      </c>
      <c r="H782">
        <v>68</v>
      </c>
      <c r="I782">
        <v>25</v>
      </c>
      <c r="J782">
        <v>90</v>
      </c>
      <c r="K782">
        <v>13</v>
      </c>
      <c r="L782" t="s">
        <v>3138</v>
      </c>
      <c r="M782" t="s">
        <v>3378</v>
      </c>
      <c r="N782" t="s">
        <v>1630</v>
      </c>
      <c r="O782" s="4">
        <v>45684.7532175926</v>
      </c>
      <c r="P782" t="s">
        <v>1817</v>
      </c>
      <c r="Q782" t="s">
        <v>1631</v>
      </c>
      <c r="R782" t="s">
        <v>3765</v>
      </c>
      <c r="T782" t="s">
        <v>1817</v>
      </c>
    </row>
    <row r="783" ht="25.5" customHeight="1" spans="1:20">
      <c r="A783" t="s">
        <v>2466</v>
      </c>
      <c r="B783" t="s">
        <v>1816</v>
      </c>
      <c r="C783" t="s">
        <v>3760</v>
      </c>
      <c r="D783" s="3"/>
      <c r="E783" s="2">
        <v>45693</v>
      </c>
      <c r="F783">
        <v>155000</v>
      </c>
      <c r="G783">
        <v>19200</v>
      </c>
      <c r="H783">
        <v>68</v>
      </c>
      <c r="I783">
        <v>25</v>
      </c>
      <c r="J783">
        <v>90</v>
      </c>
      <c r="K783">
        <v>13</v>
      </c>
      <c r="L783" t="s">
        <v>3138</v>
      </c>
      <c r="M783" t="s">
        <v>3378</v>
      </c>
      <c r="N783" t="s">
        <v>1630</v>
      </c>
      <c r="O783" s="4">
        <v>45693.8363310185</v>
      </c>
      <c r="P783" t="s">
        <v>1817</v>
      </c>
      <c r="Q783" t="s">
        <v>1631</v>
      </c>
      <c r="R783" t="s">
        <v>3765</v>
      </c>
      <c r="T783" t="s">
        <v>1817</v>
      </c>
    </row>
    <row r="784" ht="25.5" customHeight="1" spans="1:20">
      <c r="A784" t="s">
        <v>2466</v>
      </c>
      <c r="B784" t="s">
        <v>1816</v>
      </c>
      <c r="C784" t="s">
        <v>3760</v>
      </c>
      <c r="D784" s="3"/>
      <c r="E784" s="2">
        <v>45694</v>
      </c>
      <c r="F784">
        <v>156700</v>
      </c>
      <c r="G784">
        <v>19200</v>
      </c>
      <c r="H784">
        <v>68</v>
      </c>
      <c r="I784">
        <v>25</v>
      </c>
      <c r="J784">
        <v>90</v>
      </c>
      <c r="K784">
        <v>13</v>
      </c>
      <c r="L784" t="s">
        <v>3138</v>
      </c>
      <c r="M784" t="s">
        <v>3378</v>
      </c>
      <c r="N784" t="s">
        <v>1630</v>
      </c>
      <c r="O784" s="4">
        <v>45698.6216782407</v>
      </c>
      <c r="P784" t="s">
        <v>1817</v>
      </c>
      <c r="Q784" t="s">
        <v>1631</v>
      </c>
      <c r="R784" t="s">
        <v>3765</v>
      </c>
      <c r="S784" t="s">
        <v>3245</v>
      </c>
      <c r="T784" t="s">
        <v>1817</v>
      </c>
    </row>
    <row r="785" ht="25.5" customHeight="1" spans="1:20">
      <c r="A785" t="s">
        <v>1979</v>
      </c>
      <c r="B785" t="s">
        <v>65</v>
      </c>
      <c r="C785" t="s">
        <v>3766</v>
      </c>
      <c r="D785" s="3" t="str">
        <f>HYPERLINK("https://www.instagram.com/1nfinitetech/reels/","https://www.instagram.com/1nfinitetech/reels/")</f>
        <v>https://www.instagram.com/1nfinitetech/reels/</v>
      </c>
      <c r="E785" s="2">
        <v>45677</v>
      </c>
      <c r="F785">
        <v>84500</v>
      </c>
      <c r="G785">
        <v>4107</v>
      </c>
      <c r="H785">
        <v>67</v>
      </c>
      <c r="I785">
        <v>6</v>
      </c>
      <c r="L785" t="s">
        <v>3138</v>
      </c>
      <c r="M785" t="s">
        <v>3493</v>
      </c>
      <c r="N785" t="s">
        <v>1630</v>
      </c>
      <c r="O785" s="4">
        <v>45678.4990277778</v>
      </c>
      <c r="P785" t="s">
        <v>116</v>
      </c>
      <c r="Q785" t="s">
        <v>1913</v>
      </c>
      <c r="R785" t="s">
        <v>3767</v>
      </c>
      <c r="T785" t="s">
        <v>116</v>
      </c>
    </row>
    <row r="786" ht="25.5" customHeight="1" spans="1:20">
      <c r="A786" t="s">
        <v>1979</v>
      </c>
      <c r="B786" t="s">
        <v>65</v>
      </c>
      <c r="C786" t="s">
        <v>3766</v>
      </c>
      <c r="D786" s="3"/>
      <c r="E786" s="2">
        <v>45678</v>
      </c>
      <c r="F786">
        <v>84600</v>
      </c>
      <c r="G786">
        <v>4517</v>
      </c>
      <c r="H786">
        <v>72</v>
      </c>
      <c r="I786">
        <v>5</v>
      </c>
      <c r="L786" t="s">
        <v>3138</v>
      </c>
      <c r="M786" t="s">
        <v>3493</v>
      </c>
      <c r="N786" t="s">
        <v>1630</v>
      </c>
      <c r="O786" s="4">
        <v>45678.4991087963</v>
      </c>
      <c r="P786" t="s">
        <v>116</v>
      </c>
      <c r="Q786" t="s">
        <v>1913</v>
      </c>
      <c r="R786" t="s">
        <v>3768</v>
      </c>
      <c r="T786" t="s">
        <v>116</v>
      </c>
    </row>
    <row r="787" ht="25.5" customHeight="1" spans="1:20">
      <c r="A787" t="s">
        <v>1979</v>
      </c>
      <c r="B787" t="s">
        <v>65</v>
      </c>
      <c r="C787" t="s">
        <v>3766</v>
      </c>
      <c r="D787" s="3"/>
      <c r="E787" s="2">
        <v>45679</v>
      </c>
      <c r="F787">
        <v>84700</v>
      </c>
      <c r="G787">
        <v>4604</v>
      </c>
      <c r="H787">
        <v>77</v>
      </c>
      <c r="I787">
        <v>5</v>
      </c>
      <c r="L787" t="s">
        <v>3138</v>
      </c>
      <c r="M787" t="s">
        <v>3493</v>
      </c>
      <c r="N787" t="s">
        <v>1630</v>
      </c>
      <c r="O787" s="4">
        <v>45679.6608217593</v>
      </c>
      <c r="P787" t="s">
        <v>116</v>
      </c>
      <c r="Q787" t="s">
        <v>1913</v>
      </c>
      <c r="R787" t="s">
        <v>3769</v>
      </c>
      <c r="T787" t="s">
        <v>116</v>
      </c>
    </row>
    <row r="788" ht="25.5" customHeight="1" spans="1:20">
      <c r="A788" t="s">
        <v>1979</v>
      </c>
      <c r="B788" t="s">
        <v>65</v>
      </c>
      <c r="C788" t="s">
        <v>3766</v>
      </c>
      <c r="D788" s="3"/>
      <c r="E788" s="2">
        <v>45680</v>
      </c>
      <c r="F788">
        <v>84700</v>
      </c>
      <c r="G788">
        <v>4676</v>
      </c>
      <c r="H788">
        <v>78</v>
      </c>
      <c r="I788">
        <v>5</v>
      </c>
      <c r="L788" t="s">
        <v>3138</v>
      </c>
      <c r="M788" t="s">
        <v>3493</v>
      </c>
      <c r="N788" t="s">
        <v>1630</v>
      </c>
      <c r="O788" s="4">
        <v>45680.510787037</v>
      </c>
      <c r="P788" t="s">
        <v>116</v>
      </c>
      <c r="Q788" t="s">
        <v>1913</v>
      </c>
      <c r="R788" t="s">
        <v>3770</v>
      </c>
      <c r="T788" t="s">
        <v>116</v>
      </c>
    </row>
    <row r="789" ht="25.5" customHeight="1" spans="1:20">
      <c r="A789" t="s">
        <v>1979</v>
      </c>
      <c r="B789" t="s">
        <v>65</v>
      </c>
      <c r="C789" t="s">
        <v>3766</v>
      </c>
      <c r="D789" s="3"/>
      <c r="E789" s="2">
        <v>45681</v>
      </c>
      <c r="F789">
        <v>84700</v>
      </c>
      <c r="G789">
        <v>4749</v>
      </c>
      <c r="H789">
        <v>79</v>
      </c>
      <c r="I789">
        <v>5</v>
      </c>
      <c r="L789" t="s">
        <v>3138</v>
      </c>
      <c r="M789" t="s">
        <v>3493</v>
      </c>
      <c r="N789" t="s">
        <v>1630</v>
      </c>
      <c r="O789" s="4">
        <v>45681.4861805556</v>
      </c>
      <c r="P789" t="s">
        <v>116</v>
      </c>
      <c r="Q789" t="s">
        <v>1913</v>
      </c>
      <c r="R789" t="s">
        <v>3771</v>
      </c>
      <c r="T789" t="s">
        <v>116</v>
      </c>
    </row>
    <row r="790" ht="25.5" customHeight="1" spans="1:20">
      <c r="A790" t="s">
        <v>1979</v>
      </c>
      <c r="B790" t="s">
        <v>65</v>
      </c>
      <c r="C790" t="s">
        <v>3766</v>
      </c>
      <c r="D790" s="3"/>
      <c r="E790" s="2">
        <v>45683</v>
      </c>
      <c r="F790">
        <v>84700</v>
      </c>
      <c r="G790">
        <v>4909</v>
      </c>
      <c r="H790">
        <v>86</v>
      </c>
      <c r="I790">
        <v>5</v>
      </c>
      <c r="L790" t="s">
        <v>3138</v>
      </c>
      <c r="M790" t="s">
        <v>3493</v>
      </c>
      <c r="N790" t="s">
        <v>1630</v>
      </c>
      <c r="O790" s="4">
        <v>45683.712037037</v>
      </c>
      <c r="P790" t="s">
        <v>116</v>
      </c>
      <c r="Q790" t="s">
        <v>1913</v>
      </c>
      <c r="R790" t="s">
        <v>3772</v>
      </c>
      <c r="T790" t="s">
        <v>116</v>
      </c>
    </row>
    <row r="791" ht="25.5" customHeight="1" spans="1:20">
      <c r="A791" t="s">
        <v>1979</v>
      </c>
      <c r="B791" t="s">
        <v>65</v>
      </c>
      <c r="C791" t="s">
        <v>3766</v>
      </c>
      <c r="D791" s="3"/>
      <c r="E791" s="2">
        <v>45684</v>
      </c>
      <c r="F791">
        <v>84900</v>
      </c>
      <c r="G791">
        <v>4966</v>
      </c>
      <c r="H791">
        <v>87</v>
      </c>
      <c r="I791">
        <v>5</v>
      </c>
      <c r="L791" t="s">
        <v>3138</v>
      </c>
      <c r="M791" t="s">
        <v>3493</v>
      </c>
      <c r="N791" t="s">
        <v>1630</v>
      </c>
      <c r="O791" s="4">
        <v>45684.7739930556</v>
      </c>
      <c r="P791" t="s">
        <v>116</v>
      </c>
      <c r="Q791" t="s">
        <v>1913</v>
      </c>
      <c r="R791" t="s">
        <v>3340</v>
      </c>
      <c r="T791" t="s">
        <v>116</v>
      </c>
    </row>
    <row r="792" ht="25.5" customHeight="1" spans="1:20">
      <c r="A792" t="s">
        <v>1979</v>
      </c>
      <c r="B792" t="s">
        <v>65</v>
      </c>
      <c r="C792" t="s">
        <v>3766</v>
      </c>
      <c r="D792" s="3" t="str">
        <f>HYPERLINK("https://www.instagram.com/infinitetechh/reels/","https://www.instagram.com/infinitetechh/reels/")</f>
        <v>https://www.instagram.com/infinitetechh/reels/</v>
      </c>
      <c r="E792" s="2">
        <v>45693</v>
      </c>
      <c r="F792">
        <v>85000</v>
      </c>
      <c r="G792">
        <v>5331</v>
      </c>
      <c r="H792">
        <v>94</v>
      </c>
      <c r="I792">
        <v>6</v>
      </c>
      <c r="L792" t="s">
        <v>3138</v>
      </c>
      <c r="M792" t="s">
        <v>3493</v>
      </c>
      <c r="N792" t="s">
        <v>1630</v>
      </c>
      <c r="O792" s="4">
        <v>45693.7741782407</v>
      </c>
      <c r="P792" t="s">
        <v>116</v>
      </c>
      <c r="Q792" t="s">
        <v>1913</v>
      </c>
      <c r="R792" t="s">
        <v>3773</v>
      </c>
      <c r="T792" t="s">
        <v>116</v>
      </c>
    </row>
    <row r="793" ht="25.5" customHeight="1" spans="1:20">
      <c r="A793" t="s">
        <v>1979</v>
      </c>
      <c r="B793" t="s">
        <v>65</v>
      </c>
      <c r="C793" t="s">
        <v>3766</v>
      </c>
      <c r="D793" s="3"/>
      <c r="E793" s="2">
        <v>45694</v>
      </c>
      <c r="F793">
        <v>85300</v>
      </c>
      <c r="G793">
        <v>5341</v>
      </c>
      <c r="H793">
        <v>94</v>
      </c>
      <c r="I793">
        <v>6</v>
      </c>
      <c r="L793" t="s">
        <v>3138</v>
      </c>
      <c r="M793" t="s">
        <v>3493</v>
      </c>
      <c r="N793" t="s">
        <v>1630</v>
      </c>
      <c r="O793" s="4">
        <v>45698.6216782407</v>
      </c>
      <c r="P793" t="s">
        <v>116</v>
      </c>
      <c r="Q793" t="s">
        <v>1913</v>
      </c>
      <c r="R793" t="s">
        <v>3773</v>
      </c>
      <c r="S793" t="s">
        <v>3180</v>
      </c>
      <c r="T793" t="s">
        <v>116</v>
      </c>
    </row>
    <row r="794" ht="25.5" customHeight="1" spans="1:20">
      <c r="A794" t="s">
        <v>1979</v>
      </c>
      <c r="B794" t="s">
        <v>65</v>
      </c>
      <c r="C794" t="s">
        <v>3766</v>
      </c>
      <c r="D794" s="3"/>
      <c r="E794" s="2">
        <v>45695</v>
      </c>
      <c r="F794">
        <v>85300</v>
      </c>
      <c r="G794">
        <v>5365</v>
      </c>
      <c r="H794">
        <v>95</v>
      </c>
      <c r="I794">
        <v>6</v>
      </c>
      <c r="L794" t="s">
        <v>3138</v>
      </c>
      <c r="M794" t="s">
        <v>3493</v>
      </c>
      <c r="N794" t="s">
        <v>1630</v>
      </c>
      <c r="O794" s="4">
        <v>45695.4839583333</v>
      </c>
      <c r="P794" t="s">
        <v>116</v>
      </c>
      <c r="Q794" t="s">
        <v>1913</v>
      </c>
      <c r="R794" t="s">
        <v>3428</v>
      </c>
      <c r="T794" t="s">
        <v>116</v>
      </c>
    </row>
    <row r="795" ht="25.5" customHeight="1" spans="1:20">
      <c r="A795" t="s">
        <v>1979</v>
      </c>
      <c r="B795" t="s">
        <v>65</v>
      </c>
      <c r="C795" t="s">
        <v>3766</v>
      </c>
      <c r="D795" s="3"/>
      <c r="E795" s="2">
        <v>45696</v>
      </c>
      <c r="F795">
        <v>85300</v>
      </c>
      <c r="G795">
        <v>5371</v>
      </c>
      <c r="H795">
        <v>95</v>
      </c>
      <c r="I795">
        <v>6</v>
      </c>
      <c r="L795" t="s">
        <v>3138</v>
      </c>
      <c r="M795" t="s">
        <v>3493</v>
      </c>
      <c r="N795" t="s">
        <v>1630</v>
      </c>
      <c r="O795" s="4">
        <v>45696.4475347222</v>
      </c>
      <c r="P795" t="s">
        <v>116</v>
      </c>
      <c r="Q795" t="s">
        <v>1913</v>
      </c>
      <c r="R795" t="s">
        <v>3428</v>
      </c>
      <c r="T795" t="s">
        <v>116</v>
      </c>
    </row>
    <row r="796" ht="25.5" customHeight="1" spans="1:20">
      <c r="A796" t="s">
        <v>1349</v>
      </c>
      <c r="B796" t="s">
        <v>56</v>
      </c>
      <c r="C796" t="s">
        <v>3774</v>
      </c>
      <c r="D796" s="3" t="str">
        <f>HYPERLINK("https://www.tiktok.com/@infodigitaefr","https://www.tiktok.com/@infodigitaefr")</f>
        <v>https://www.tiktok.com/@infodigitaefr</v>
      </c>
      <c r="E796" s="2">
        <v>45666</v>
      </c>
      <c r="F796">
        <v>75200</v>
      </c>
      <c r="G796">
        <v>943</v>
      </c>
      <c r="H796">
        <v>29</v>
      </c>
      <c r="I796">
        <v>0</v>
      </c>
      <c r="J796">
        <v>11</v>
      </c>
      <c r="K796">
        <v>3</v>
      </c>
      <c r="L796" t="s">
        <v>3284</v>
      </c>
      <c r="M796" t="s">
        <v>3378</v>
      </c>
      <c r="N796" t="s">
        <v>1630</v>
      </c>
      <c r="O796" s="4">
        <v>45670.8598726852</v>
      </c>
      <c r="P796" t="s">
        <v>57</v>
      </c>
      <c r="Q796" t="s">
        <v>1779</v>
      </c>
      <c r="R796" t="s">
        <v>3516</v>
      </c>
      <c r="T796" t="s">
        <v>57</v>
      </c>
    </row>
    <row r="797" ht="25.5" customHeight="1" spans="1:20">
      <c r="A797" t="s">
        <v>1349</v>
      </c>
      <c r="B797" t="s">
        <v>56</v>
      </c>
      <c r="C797" t="s">
        <v>3774</v>
      </c>
      <c r="D797" s="3"/>
      <c r="E797" s="2">
        <v>45671</v>
      </c>
      <c r="F797">
        <v>75300</v>
      </c>
      <c r="G797">
        <v>973</v>
      </c>
      <c r="H797">
        <v>29</v>
      </c>
      <c r="I797">
        <v>0</v>
      </c>
      <c r="J797">
        <v>12</v>
      </c>
      <c r="K797">
        <v>3</v>
      </c>
      <c r="L797" t="s">
        <v>3284</v>
      </c>
      <c r="M797" t="s">
        <v>3378</v>
      </c>
      <c r="N797" t="s">
        <v>1630</v>
      </c>
      <c r="O797" s="4">
        <v>45672.5030092593</v>
      </c>
      <c r="P797" t="s">
        <v>57</v>
      </c>
      <c r="Q797" t="s">
        <v>1779</v>
      </c>
      <c r="R797" t="s">
        <v>3507</v>
      </c>
      <c r="T797" t="s">
        <v>57</v>
      </c>
    </row>
    <row r="798" ht="25.5" customHeight="1" spans="1:20">
      <c r="A798" t="s">
        <v>1349</v>
      </c>
      <c r="B798" t="s">
        <v>56</v>
      </c>
      <c r="C798" t="s">
        <v>3774</v>
      </c>
      <c r="D798" s="3"/>
      <c r="E798" s="2">
        <v>45672</v>
      </c>
      <c r="F798">
        <v>75300</v>
      </c>
      <c r="G798">
        <v>1007</v>
      </c>
      <c r="H798">
        <v>29</v>
      </c>
      <c r="I798">
        <v>0</v>
      </c>
      <c r="J798">
        <v>12</v>
      </c>
      <c r="K798">
        <v>3</v>
      </c>
      <c r="L798" t="s">
        <v>3284</v>
      </c>
      <c r="M798" t="s">
        <v>3378</v>
      </c>
      <c r="N798" t="s">
        <v>1630</v>
      </c>
      <c r="O798" s="4">
        <v>45672.5283101852</v>
      </c>
      <c r="P798" t="s">
        <v>57</v>
      </c>
      <c r="Q798" t="s">
        <v>1779</v>
      </c>
      <c r="R798" t="s">
        <v>3507</v>
      </c>
      <c r="T798" t="s">
        <v>57</v>
      </c>
    </row>
    <row r="799" ht="25.5" customHeight="1" spans="1:20">
      <c r="A799" t="s">
        <v>1349</v>
      </c>
      <c r="B799" t="s">
        <v>56</v>
      </c>
      <c r="C799" t="s">
        <v>3774</v>
      </c>
      <c r="D799" s="3"/>
      <c r="E799" s="2">
        <v>45672</v>
      </c>
      <c r="F799">
        <v>75300</v>
      </c>
      <c r="G799">
        <v>1007</v>
      </c>
      <c r="H799">
        <v>29</v>
      </c>
      <c r="I799">
        <v>0</v>
      </c>
      <c r="J799">
        <v>12</v>
      </c>
      <c r="K799">
        <v>3</v>
      </c>
      <c r="L799" t="s">
        <v>3284</v>
      </c>
      <c r="M799" t="s">
        <v>3378</v>
      </c>
      <c r="N799" t="s">
        <v>1630</v>
      </c>
      <c r="O799" s="4">
        <v>45672.5298842593</v>
      </c>
      <c r="P799" t="s">
        <v>57</v>
      </c>
      <c r="Q799" t="s">
        <v>1779</v>
      </c>
      <c r="R799" t="s">
        <v>3507</v>
      </c>
      <c r="T799" t="s">
        <v>57</v>
      </c>
    </row>
    <row r="800" ht="25.5" customHeight="1" spans="1:20">
      <c r="A800" t="s">
        <v>1349</v>
      </c>
      <c r="B800" t="s">
        <v>56</v>
      </c>
      <c r="C800" t="s">
        <v>3774</v>
      </c>
      <c r="D800" s="3"/>
      <c r="E800" s="2">
        <v>45673</v>
      </c>
      <c r="F800">
        <v>75300</v>
      </c>
      <c r="G800">
        <v>1040</v>
      </c>
      <c r="H800">
        <v>30</v>
      </c>
      <c r="I800">
        <v>0</v>
      </c>
      <c r="J800">
        <v>12</v>
      </c>
      <c r="K800">
        <v>3</v>
      </c>
      <c r="L800" t="s">
        <v>3284</v>
      </c>
      <c r="M800" t="s">
        <v>3378</v>
      </c>
      <c r="N800" t="s">
        <v>1630</v>
      </c>
      <c r="O800" s="4">
        <v>45673.6057060185</v>
      </c>
      <c r="P800" t="s">
        <v>57</v>
      </c>
      <c r="Q800" t="s">
        <v>1779</v>
      </c>
      <c r="R800" t="s">
        <v>3508</v>
      </c>
      <c r="T800" t="s">
        <v>57</v>
      </c>
    </row>
    <row r="801" ht="25.5" customHeight="1" spans="1:20">
      <c r="A801" t="s">
        <v>1349</v>
      </c>
      <c r="B801" t="s">
        <v>56</v>
      </c>
      <c r="C801" t="s">
        <v>3774</v>
      </c>
      <c r="D801" s="3"/>
      <c r="E801" s="2">
        <v>45674</v>
      </c>
      <c r="F801">
        <v>75400</v>
      </c>
      <c r="G801">
        <v>1072</v>
      </c>
      <c r="H801">
        <v>31</v>
      </c>
      <c r="I801">
        <v>0</v>
      </c>
      <c r="J801">
        <v>12</v>
      </c>
      <c r="K801">
        <v>3</v>
      </c>
      <c r="L801" t="s">
        <v>3284</v>
      </c>
      <c r="M801" t="s">
        <v>3378</v>
      </c>
      <c r="N801" t="s">
        <v>1630</v>
      </c>
      <c r="O801" s="4">
        <v>45674.6689351852</v>
      </c>
      <c r="P801" t="s">
        <v>57</v>
      </c>
      <c r="Q801" t="s">
        <v>1779</v>
      </c>
      <c r="R801" t="s">
        <v>3175</v>
      </c>
      <c r="T801" t="s">
        <v>57</v>
      </c>
    </row>
    <row r="802" ht="25.5" customHeight="1" spans="1:20">
      <c r="A802" t="s">
        <v>1349</v>
      </c>
      <c r="B802" t="s">
        <v>56</v>
      </c>
      <c r="C802" t="s">
        <v>3774</v>
      </c>
      <c r="D802" s="3"/>
      <c r="E802" s="2">
        <v>45677</v>
      </c>
      <c r="F802">
        <v>75600</v>
      </c>
      <c r="G802">
        <v>1191</v>
      </c>
      <c r="H802">
        <v>32</v>
      </c>
      <c r="I802">
        <v>0</v>
      </c>
      <c r="J802">
        <v>12</v>
      </c>
      <c r="K802">
        <v>3</v>
      </c>
      <c r="L802" t="s">
        <v>3284</v>
      </c>
      <c r="M802" t="s">
        <v>3378</v>
      </c>
      <c r="N802" t="s">
        <v>1630</v>
      </c>
      <c r="O802" s="4">
        <v>45677.4255555556</v>
      </c>
      <c r="P802" t="s">
        <v>57</v>
      </c>
      <c r="Q802" t="s">
        <v>1779</v>
      </c>
      <c r="R802" t="s">
        <v>3173</v>
      </c>
      <c r="T802" t="s">
        <v>57</v>
      </c>
    </row>
    <row r="803" ht="25.5" customHeight="1" spans="1:20">
      <c r="A803" t="s">
        <v>1349</v>
      </c>
      <c r="B803" t="s">
        <v>56</v>
      </c>
      <c r="C803" t="s">
        <v>3774</v>
      </c>
      <c r="D803" s="3"/>
      <c r="E803" s="2">
        <v>45678</v>
      </c>
      <c r="F803">
        <v>75700</v>
      </c>
      <c r="G803">
        <v>1244</v>
      </c>
      <c r="H803">
        <v>32</v>
      </c>
      <c r="I803">
        <v>0</v>
      </c>
      <c r="J803">
        <v>12</v>
      </c>
      <c r="K803">
        <v>3</v>
      </c>
      <c r="L803" t="s">
        <v>3284</v>
      </c>
      <c r="M803" t="s">
        <v>3378</v>
      </c>
      <c r="N803" t="s">
        <v>1630</v>
      </c>
      <c r="O803" s="4">
        <v>45678.6225578704</v>
      </c>
      <c r="P803" t="s">
        <v>57</v>
      </c>
      <c r="Q803" t="s">
        <v>1779</v>
      </c>
      <c r="R803" t="s">
        <v>3173</v>
      </c>
      <c r="T803" t="s">
        <v>57</v>
      </c>
    </row>
    <row r="804" ht="25.5" customHeight="1" spans="1:20">
      <c r="A804" t="s">
        <v>1349</v>
      </c>
      <c r="B804" t="s">
        <v>56</v>
      </c>
      <c r="C804" t="s">
        <v>3774</v>
      </c>
      <c r="D804" s="3"/>
      <c r="E804" s="2">
        <v>45679</v>
      </c>
      <c r="F804">
        <v>75800</v>
      </c>
      <c r="G804">
        <v>1272</v>
      </c>
      <c r="H804">
        <v>33</v>
      </c>
      <c r="I804">
        <v>0</v>
      </c>
      <c r="J804">
        <v>13</v>
      </c>
      <c r="K804">
        <v>3</v>
      </c>
      <c r="L804" t="s">
        <v>3284</v>
      </c>
      <c r="M804" t="s">
        <v>3378</v>
      </c>
      <c r="N804" t="s">
        <v>1630</v>
      </c>
      <c r="O804" s="4">
        <v>45679.6903009259</v>
      </c>
      <c r="P804" t="s">
        <v>57</v>
      </c>
      <c r="Q804" t="s">
        <v>1779</v>
      </c>
      <c r="R804" t="s">
        <v>3177</v>
      </c>
      <c r="T804" t="s">
        <v>57</v>
      </c>
    </row>
    <row r="805" ht="25.5" customHeight="1" spans="1:20">
      <c r="A805" t="s">
        <v>1349</v>
      </c>
      <c r="B805" t="s">
        <v>56</v>
      </c>
      <c r="C805" t="s">
        <v>3774</v>
      </c>
      <c r="D805" s="3"/>
      <c r="E805" s="2">
        <v>45680</v>
      </c>
      <c r="F805">
        <v>75800</v>
      </c>
      <c r="G805">
        <v>1307</v>
      </c>
      <c r="H805">
        <v>34</v>
      </c>
      <c r="I805">
        <v>0</v>
      </c>
      <c r="J805">
        <v>14</v>
      </c>
      <c r="K805">
        <v>3</v>
      </c>
      <c r="L805" t="s">
        <v>3284</v>
      </c>
      <c r="M805" t="s">
        <v>3378</v>
      </c>
      <c r="N805" t="s">
        <v>1630</v>
      </c>
      <c r="O805" s="4">
        <v>45680.6448032407</v>
      </c>
      <c r="P805" t="s">
        <v>57</v>
      </c>
      <c r="Q805" t="s">
        <v>1779</v>
      </c>
      <c r="R805" t="s">
        <v>3178</v>
      </c>
      <c r="T805" t="s">
        <v>57</v>
      </c>
    </row>
    <row r="806" ht="25.5" customHeight="1" spans="1:20">
      <c r="A806" t="s">
        <v>1349</v>
      </c>
      <c r="B806" t="s">
        <v>56</v>
      </c>
      <c r="C806" t="s">
        <v>3774</v>
      </c>
      <c r="D806" s="3"/>
      <c r="E806" s="2">
        <v>45681</v>
      </c>
      <c r="F806">
        <v>75900</v>
      </c>
      <c r="G806">
        <v>1339</v>
      </c>
      <c r="H806">
        <v>34</v>
      </c>
      <c r="I806">
        <v>0</v>
      </c>
      <c r="J806">
        <v>15</v>
      </c>
      <c r="K806">
        <v>3</v>
      </c>
      <c r="L806" t="s">
        <v>3284</v>
      </c>
      <c r="M806" t="s">
        <v>3378</v>
      </c>
      <c r="N806" t="s">
        <v>1630</v>
      </c>
      <c r="O806" s="4">
        <v>45681.6042361111</v>
      </c>
      <c r="P806" t="s">
        <v>57</v>
      </c>
      <c r="Q806" t="s">
        <v>1779</v>
      </c>
      <c r="R806" t="s">
        <v>3179</v>
      </c>
      <c r="T806" t="s">
        <v>57</v>
      </c>
    </row>
    <row r="807" ht="25.5" customHeight="1" spans="1:20">
      <c r="A807" t="s">
        <v>1349</v>
      </c>
      <c r="B807" t="s">
        <v>56</v>
      </c>
      <c r="C807" t="s">
        <v>3774</v>
      </c>
      <c r="D807" s="3"/>
      <c r="E807" s="2">
        <v>45683</v>
      </c>
      <c r="F807">
        <v>76100</v>
      </c>
      <c r="G807">
        <v>1489</v>
      </c>
      <c r="H807">
        <v>35</v>
      </c>
      <c r="I807">
        <v>0</v>
      </c>
      <c r="J807">
        <v>17</v>
      </c>
      <c r="K807">
        <v>5</v>
      </c>
      <c r="L807" t="s">
        <v>3284</v>
      </c>
      <c r="M807" t="s">
        <v>3378</v>
      </c>
      <c r="N807" t="s">
        <v>1630</v>
      </c>
      <c r="O807" s="4">
        <v>45683.7627314815</v>
      </c>
      <c r="P807" t="s">
        <v>57</v>
      </c>
      <c r="Q807" t="s">
        <v>1779</v>
      </c>
      <c r="R807" t="s">
        <v>3395</v>
      </c>
      <c r="T807" t="s">
        <v>57</v>
      </c>
    </row>
    <row r="808" ht="25.5" customHeight="1" spans="1:20">
      <c r="A808" t="s">
        <v>1349</v>
      </c>
      <c r="B808" t="s">
        <v>56</v>
      </c>
      <c r="C808" t="s">
        <v>3774</v>
      </c>
      <c r="D808" s="3"/>
      <c r="E808" s="2">
        <v>45684</v>
      </c>
      <c r="F808">
        <v>76300</v>
      </c>
      <c r="G808">
        <v>1637</v>
      </c>
      <c r="H808">
        <v>40</v>
      </c>
      <c r="I808">
        <v>0</v>
      </c>
      <c r="J808">
        <v>20</v>
      </c>
      <c r="K808">
        <v>5</v>
      </c>
      <c r="L808" t="s">
        <v>3284</v>
      </c>
      <c r="M808" t="s">
        <v>3378</v>
      </c>
      <c r="N808" t="s">
        <v>1630</v>
      </c>
      <c r="O808" s="4">
        <v>45684.8294212963</v>
      </c>
      <c r="P808" t="s">
        <v>57</v>
      </c>
      <c r="Q808" t="s">
        <v>1779</v>
      </c>
      <c r="R808" t="s">
        <v>3775</v>
      </c>
      <c r="T808" t="s">
        <v>57</v>
      </c>
    </row>
    <row r="809" ht="25.5" customHeight="1" spans="1:20">
      <c r="A809" t="s">
        <v>1349</v>
      </c>
      <c r="B809" t="s">
        <v>56</v>
      </c>
      <c r="C809" t="s">
        <v>3774</v>
      </c>
      <c r="D809" s="3"/>
      <c r="E809" s="2">
        <v>45693</v>
      </c>
      <c r="F809">
        <v>76800</v>
      </c>
      <c r="G809">
        <v>2147</v>
      </c>
      <c r="H809">
        <v>48</v>
      </c>
      <c r="I809">
        <v>0</v>
      </c>
      <c r="J809">
        <v>24</v>
      </c>
      <c r="K809">
        <v>9</v>
      </c>
      <c r="L809" t="s">
        <v>3284</v>
      </c>
      <c r="M809" t="s">
        <v>3378</v>
      </c>
      <c r="N809" t="s">
        <v>1630</v>
      </c>
      <c r="O809" s="4">
        <v>45693.8171643519</v>
      </c>
      <c r="P809" t="s">
        <v>57</v>
      </c>
      <c r="Q809" t="s">
        <v>1779</v>
      </c>
      <c r="R809" t="s">
        <v>3559</v>
      </c>
      <c r="T809" t="s">
        <v>57</v>
      </c>
    </row>
    <row r="810" ht="25.5" customHeight="1" spans="1:20">
      <c r="A810" t="s">
        <v>1349</v>
      </c>
      <c r="B810" t="s">
        <v>56</v>
      </c>
      <c r="C810" t="s">
        <v>3774</v>
      </c>
      <c r="D810" s="3"/>
      <c r="E810" s="2">
        <v>45694</v>
      </c>
      <c r="F810">
        <v>76800</v>
      </c>
      <c r="G810">
        <v>2169</v>
      </c>
      <c r="H810">
        <v>48</v>
      </c>
      <c r="I810">
        <v>0</v>
      </c>
      <c r="J810">
        <v>24</v>
      </c>
      <c r="K810">
        <v>9</v>
      </c>
      <c r="L810" t="s">
        <v>3284</v>
      </c>
      <c r="M810" t="s">
        <v>3378</v>
      </c>
      <c r="N810" t="s">
        <v>1630</v>
      </c>
      <c r="O810" s="4">
        <v>45698.6216782407</v>
      </c>
      <c r="P810" t="s">
        <v>57</v>
      </c>
      <c r="Q810" t="s">
        <v>1779</v>
      </c>
      <c r="R810" t="s">
        <v>3559</v>
      </c>
      <c r="S810" t="s">
        <v>3245</v>
      </c>
      <c r="T810" t="s">
        <v>57</v>
      </c>
    </row>
    <row r="811" ht="25.5" customHeight="1" spans="1:20">
      <c r="A811" t="s">
        <v>3104</v>
      </c>
      <c r="B811" t="s">
        <v>269</v>
      </c>
      <c r="C811" t="s">
        <v>3776</v>
      </c>
      <c r="D811" s="3" t="str">
        <f>HYPERLINK("https://www.youtube.com/@infodigitaefr7188/shorts","https://www.youtube.com/@infodigitaefr7188/shorts")</f>
        <v>https://www.youtube.com/@infodigitaefr7188/shorts</v>
      </c>
      <c r="E811" s="2">
        <v>45666</v>
      </c>
      <c r="F811">
        <v>7760</v>
      </c>
      <c r="G811">
        <v>514</v>
      </c>
      <c r="H811">
        <v>23</v>
      </c>
      <c r="I811">
        <v>1</v>
      </c>
      <c r="L811" t="s">
        <v>3138</v>
      </c>
      <c r="N811" t="s">
        <v>1630</v>
      </c>
      <c r="O811" s="4">
        <v>45670.8680324074</v>
      </c>
      <c r="P811" t="s">
        <v>423</v>
      </c>
      <c r="Q811" t="s">
        <v>1779</v>
      </c>
      <c r="R811" t="s">
        <v>3777</v>
      </c>
      <c r="T811" t="s">
        <v>423</v>
      </c>
    </row>
    <row r="812" ht="25.5" customHeight="1" spans="1:20">
      <c r="A812" t="s">
        <v>3104</v>
      </c>
      <c r="B812" t="s">
        <v>269</v>
      </c>
      <c r="C812" t="s">
        <v>3776</v>
      </c>
      <c r="D812" s="3"/>
      <c r="E812" s="2">
        <v>45674</v>
      </c>
      <c r="F812">
        <v>7790</v>
      </c>
      <c r="G812">
        <v>528</v>
      </c>
      <c r="H812">
        <v>25</v>
      </c>
      <c r="I812">
        <v>1</v>
      </c>
      <c r="L812" t="s">
        <v>3138</v>
      </c>
      <c r="N812" t="s">
        <v>1630</v>
      </c>
      <c r="O812" s="4">
        <v>45674.7142476852</v>
      </c>
      <c r="P812" t="s">
        <v>423</v>
      </c>
      <c r="Q812" t="s">
        <v>1779</v>
      </c>
      <c r="R812" t="s">
        <v>3698</v>
      </c>
      <c r="T812" t="s">
        <v>423</v>
      </c>
    </row>
    <row r="813" ht="25.5" customHeight="1" spans="1:20">
      <c r="A813" t="s">
        <v>3104</v>
      </c>
      <c r="B813" t="s">
        <v>269</v>
      </c>
      <c r="C813" t="s">
        <v>3776</v>
      </c>
      <c r="D813" s="3"/>
      <c r="E813" s="2">
        <v>45677</v>
      </c>
      <c r="F813">
        <v>7810</v>
      </c>
      <c r="G813">
        <v>528</v>
      </c>
      <c r="H813">
        <v>25</v>
      </c>
      <c r="I813">
        <v>1</v>
      </c>
      <c r="L813" t="s">
        <v>3138</v>
      </c>
      <c r="N813" t="s">
        <v>1630</v>
      </c>
      <c r="O813" s="4">
        <v>45677.4172685185</v>
      </c>
      <c r="P813" t="s">
        <v>423</v>
      </c>
      <c r="Q813" t="s">
        <v>1779</v>
      </c>
      <c r="R813" t="s">
        <v>3698</v>
      </c>
      <c r="T813" t="s">
        <v>423</v>
      </c>
    </row>
    <row r="814" ht="25.5" customHeight="1" spans="1:20">
      <c r="A814" t="s">
        <v>3104</v>
      </c>
      <c r="B814" t="s">
        <v>269</v>
      </c>
      <c r="C814" t="s">
        <v>3776</v>
      </c>
      <c r="D814" s="3"/>
      <c r="E814" s="2">
        <v>45678</v>
      </c>
      <c r="F814">
        <v>7820</v>
      </c>
      <c r="G814">
        <v>541</v>
      </c>
      <c r="H814">
        <v>25</v>
      </c>
      <c r="I814">
        <v>1</v>
      </c>
      <c r="L814" t="s">
        <v>3138</v>
      </c>
      <c r="N814" t="s">
        <v>1630</v>
      </c>
      <c r="O814" s="4">
        <v>45678.5203472222</v>
      </c>
      <c r="P814" t="s">
        <v>423</v>
      </c>
      <c r="Q814" t="s">
        <v>1779</v>
      </c>
      <c r="R814" t="s">
        <v>3698</v>
      </c>
      <c r="T814" t="s">
        <v>423</v>
      </c>
    </row>
    <row r="815" ht="25.5" customHeight="1" spans="1:20">
      <c r="A815" t="s">
        <v>3104</v>
      </c>
      <c r="B815" t="s">
        <v>269</v>
      </c>
      <c r="C815" t="s">
        <v>3776</v>
      </c>
      <c r="D815" s="3"/>
      <c r="E815" s="2">
        <v>45679</v>
      </c>
      <c r="F815">
        <v>7820</v>
      </c>
      <c r="G815">
        <v>542</v>
      </c>
      <c r="H815">
        <v>25</v>
      </c>
      <c r="I815">
        <v>1</v>
      </c>
      <c r="L815" t="s">
        <v>3138</v>
      </c>
      <c r="N815" t="s">
        <v>1630</v>
      </c>
      <c r="O815" s="4">
        <v>45679.6804050926</v>
      </c>
      <c r="P815" t="s">
        <v>423</v>
      </c>
      <c r="Q815" t="s">
        <v>1779</v>
      </c>
      <c r="R815" t="s">
        <v>3698</v>
      </c>
      <c r="T815" t="s">
        <v>423</v>
      </c>
    </row>
    <row r="816" ht="25.5" customHeight="1" spans="1:20">
      <c r="A816" t="s">
        <v>3104</v>
      </c>
      <c r="B816" t="s">
        <v>269</v>
      </c>
      <c r="C816" t="s">
        <v>3776</v>
      </c>
      <c r="D816" s="3"/>
      <c r="E816" s="2">
        <v>45680</v>
      </c>
      <c r="F816">
        <v>7820</v>
      </c>
      <c r="G816">
        <v>542</v>
      </c>
      <c r="H816">
        <v>25</v>
      </c>
      <c r="I816">
        <v>1</v>
      </c>
      <c r="L816" t="s">
        <v>3138</v>
      </c>
      <c r="N816" t="s">
        <v>1630</v>
      </c>
      <c r="O816" s="4">
        <v>45680.6306134259</v>
      </c>
      <c r="P816" t="s">
        <v>423</v>
      </c>
      <c r="Q816" t="s">
        <v>1779</v>
      </c>
      <c r="R816" t="s">
        <v>3698</v>
      </c>
      <c r="T816" t="s">
        <v>423</v>
      </c>
    </row>
    <row r="817" ht="25.5" customHeight="1" spans="1:20">
      <c r="A817" t="s">
        <v>3104</v>
      </c>
      <c r="B817" t="s">
        <v>269</v>
      </c>
      <c r="C817" t="s">
        <v>3776</v>
      </c>
      <c r="D817" s="3"/>
      <c r="E817" s="2">
        <v>45681</v>
      </c>
      <c r="F817">
        <v>7830</v>
      </c>
      <c r="G817">
        <v>542</v>
      </c>
      <c r="H817">
        <v>25</v>
      </c>
      <c r="I817">
        <v>1</v>
      </c>
      <c r="L817" t="s">
        <v>3138</v>
      </c>
      <c r="N817" t="s">
        <v>1630</v>
      </c>
      <c r="O817" s="4">
        <v>45681.5318171296</v>
      </c>
      <c r="P817" t="s">
        <v>423</v>
      </c>
      <c r="Q817" t="s">
        <v>1779</v>
      </c>
      <c r="R817" t="s">
        <v>3698</v>
      </c>
      <c r="T817" t="s">
        <v>423</v>
      </c>
    </row>
    <row r="818" ht="25.5" customHeight="1" spans="1:20">
      <c r="A818" t="s">
        <v>3104</v>
      </c>
      <c r="B818" t="s">
        <v>269</v>
      </c>
      <c r="C818" t="s">
        <v>3776</v>
      </c>
      <c r="D818" s="3"/>
      <c r="E818" s="2">
        <v>45683</v>
      </c>
      <c r="F818">
        <v>7850</v>
      </c>
      <c r="G818">
        <v>549</v>
      </c>
      <c r="H818">
        <v>25</v>
      </c>
      <c r="I818">
        <v>1</v>
      </c>
      <c r="L818" t="s">
        <v>3138</v>
      </c>
      <c r="N818" t="s">
        <v>1630</v>
      </c>
      <c r="O818" s="4">
        <v>45683.7433912037</v>
      </c>
      <c r="P818" t="s">
        <v>423</v>
      </c>
      <c r="Q818" t="s">
        <v>1779</v>
      </c>
      <c r="R818" t="s">
        <v>3698</v>
      </c>
      <c r="T818" t="s">
        <v>423</v>
      </c>
    </row>
    <row r="819" ht="25.5" customHeight="1" spans="1:20">
      <c r="A819" t="s">
        <v>3104</v>
      </c>
      <c r="B819" t="s">
        <v>269</v>
      </c>
      <c r="C819" t="s">
        <v>3776</v>
      </c>
      <c r="D819" s="3"/>
      <c r="E819" s="2">
        <v>45684</v>
      </c>
      <c r="F819">
        <v>7870</v>
      </c>
      <c r="G819">
        <v>552</v>
      </c>
      <c r="H819">
        <v>25</v>
      </c>
      <c r="I819">
        <v>1</v>
      </c>
      <c r="L819" t="s">
        <v>3138</v>
      </c>
      <c r="N819" t="s">
        <v>1630</v>
      </c>
      <c r="O819" s="4">
        <v>45684.7920717593</v>
      </c>
      <c r="P819" t="s">
        <v>423</v>
      </c>
      <c r="Q819" t="s">
        <v>1779</v>
      </c>
      <c r="R819" t="s">
        <v>3698</v>
      </c>
      <c r="T819" t="s">
        <v>423</v>
      </c>
    </row>
    <row r="820" ht="25.5" customHeight="1" spans="1:20">
      <c r="A820" t="s">
        <v>3104</v>
      </c>
      <c r="B820" t="s">
        <v>269</v>
      </c>
      <c r="C820" t="s">
        <v>3776</v>
      </c>
      <c r="D820" s="3"/>
      <c r="E820" s="2">
        <v>45693</v>
      </c>
      <c r="F820">
        <v>7960</v>
      </c>
      <c r="G820">
        <v>563</v>
      </c>
      <c r="H820">
        <v>26</v>
      </c>
      <c r="I820">
        <v>1</v>
      </c>
      <c r="L820" t="s">
        <v>3138</v>
      </c>
      <c r="N820" t="s">
        <v>1630</v>
      </c>
      <c r="O820" s="4">
        <v>45693.7904050926</v>
      </c>
      <c r="P820" t="s">
        <v>423</v>
      </c>
      <c r="Q820" t="s">
        <v>1779</v>
      </c>
      <c r="R820" t="s">
        <v>3699</v>
      </c>
      <c r="T820" t="s">
        <v>423</v>
      </c>
    </row>
    <row r="821" ht="25.5" customHeight="1" spans="1:20">
      <c r="A821" t="s">
        <v>3104</v>
      </c>
      <c r="B821" t="s">
        <v>269</v>
      </c>
      <c r="C821" t="s">
        <v>3776</v>
      </c>
      <c r="D821" s="3"/>
      <c r="E821" s="2">
        <v>45694</v>
      </c>
      <c r="F821">
        <v>7960</v>
      </c>
      <c r="G821">
        <v>563</v>
      </c>
      <c r="H821">
        <v>26</v>
      </c>
      <c r="I821">
        <v>1</v>
      </c>
      <c r="L821" t="s">
        <v>3138</v>
      </c>
      <c r="N821" t="s">
        <v>1630</v>
      </c>
      <c r="O821" s="4">
        <v>45698.6216782407</v>
      </c>
      <c r="P821" t="s">
        <v>423</v>
      </c>
      <c r="Q821" t="s">
        <v>1779</v>
      </c>
      <c r="R821" t="s">
        <v>3699</v>
      </c>
      <c r="S821" t="s">
        <v>3301</v>
      </c>
      <c r="T821" t="s">
        <v>423</v>
      </c>
    </row>
    <row r="822" ht="25.5" customHeight="1" spans="1:20">
      <c r="A822" t="s">
        <v>3104</v>
      </c>
      <c r="B822" t="s">
        <v>269</v>
      </c>
      <c r="C822" t="s">
        <v>3776</v>
      </c>
      <c r="D822" s="3"/>
      <c r="E822" s="2">
        <v>45695</v>
      </c>
      <c r="F822">
        <v>7980</v>
      </c>
      <c r="G822">
        <v>564</v>
      </c>
      <c r="H822">
        <v>26</v>
      </c>
      <c r="I822">
        <v>1</v>
      </c>
      <c r="L822" t="s">
        <v>3138</v>
      </c>
      <c r="N822" t="s">
        <v>1630</v>
      </c>
      <c r="O822" s="4">
        <v>45695.6385069444</v>
      </c>
      <c r="P822" t="s">
        <v>423</v>
      </c>
      <c r="Q822" t="s">
        <v>1779</v>
      </c>
      <c r="R822" t="s">
        <v>3699</v>
      </c>
      <c r="T822" t="s">
        <v>423</v>
      </c>
    </row>
    <row r="823" ht="25.5" customHeight="1" spans="1:20">
      <c r="A823" t="s">
        <v>2167</v>
      </c>
      <c r="B823" t="s">
        <v>65</v>
      </c>
      <c r="C823" t="s">
        <v>3778</v>
      </c>
      <c r="D823" s="3" t="str">
        <f>HYPERLINK("https://www.instagram.com/infotricks_/reels/","https://www.instagram.com/infotricks_/reels/")</f>
        <v>https://www.instagram.com/infotricks_/reels/</v>
      </c>
      <c r="E823" s="2">
        <v>45677</v>
      </c>
      <c r="F823">
        <v>236000</v>
      </c>
      <c r="G823">
        <v>13200</v>
      </c>
      <c r="H823">
        <v>250</v>
      </c>
      <c r="I823">
        <v>0</v>
      </c>
      <c r="L823" t="s">
        <v>3138</v>
      </c>
      <c r="M823" t="s">
        <v>3719</v>
      </c>
      <c r="N823" t="s">
        <v>1630</v>
      </c>
      <c r="O823" s="4">
        <v>45678.4992939815</v>
      </c>
      <c r="P823" t="s">
        <v>116</v>
      </c>
      <c r="Q823" t="s">
        <v>1703</v>
      </c>
      <c r="R823" t="s">
        <v>3550</v>
      </c>
      <c r="T823" t="s">
        <v>116</v>
      </c>
    </row>
    <row r="824" ht="25.5" customHeight="1" spans="1:20">
      <c r="A824" t="s">
        <v>2167</v>
      </c>
      <c r="B824" t="s">
        <v>65</v>
      </c>
      <c r="C824" t="s">
        <v>3778</v>
      </c>
      <c r="D824" s="3"/>
      <c r="E824" s="2">
        <v>45678</v>
      </c>
      <c r="F824">
        <v>236000</v>
      </c>
      <c r="G824">
        <v>13500</v>
      </c>
      <c r="H824">
        <v>256</v>
      </c>
      <c r="I824">
        <v>0</v>
      </c>
      <c r="L824" t="s">
        <v>3138</v>
      </c>
      <c r="M824" t="s">
        <v>3719</v>
      </c>
      <c r="N824" t="s">
        <v>1630</v>
      </c>
      <c r="O824" s="4">
        <v>45678.4993865741</v>
      </c>
      <c r="P824" t="s">
        <v>116</v>
      </c>
      <c r="Q824" t="s">
        <v>1703</v>
      </c>
      <c r="R824" t="s">
        <v>3779</v>
      </c>
      <c r="T824" t="s">
        <v>116</v>
      </c>
    </row>
    <row r="825" ht="25.5" customHeight="1" spans="1:20">
      <c r="A825" t="s">
        <v>2167</v>
      </c>
      <c r="B825" t="s">
        <v>65</v>
      </c>
      <c r="C825" t="s">
        <v>3778</v>
      </c>
      <c r="D825" s="3"/>
      <c r="E825" s="2">
        <v>45679</v>
      </c>
      <c r="F825">
        <v>236000</v>
      </c>
      <c r="G825">
        <v>13800</v>
      </c>
      <c r="H825">
        <v>259</v>
      </c>
      <c r="I825">
        <v>0</v>
      </c>
      <c r="L825" t="s">
        <v>3138</v>
      </c>
      <c r="M825" t="s">
        <v>3719</v>
      </c>
      <c r="N825" t="s">
        <v>1630</v>
      </c>
      <c r="O825" s="4">
        <v>45679.6611921296</v>
      </c>
      <c r="P825" t="s">
        <v>116</v>
      </c>
      <c r="Q825" t="s">
        <v>1703</v>
      </c>
      <c r="R825" t="s">
        <v>3780</v>
      </c>
      <c r="T825" t="s">
        <v>116</v>
      </c>
    </row>
    <row r="826" ht="25.5" customHeight="1" spans="1:20">
      <c r="A826" t="s">
        <v>2167</v>
      </c>
      <c r="B826" t="s">
        <v>65</v>
      </c>
      <c r="C826" t="s">
        <v>3778</v>
      </c>
      <c r="D826" s="3"/>
      <c r="E826" s="2">
        <v>45680</v>
      </c>
      <c r="F826">
        <v>236000</v>
      </c>
      <c r="G826">
        <v>13900</v>
      </c>
      <c r="H826">
        <v>260</v>
      </c>
      <c r="I826">
        <v>0</v>
      </c>
      <c r="L826" t="s">
        <v>3138</v>
      </c>
      <c r="M826" t="s">
        <v>3719</v>
      </c>
      <c r="N826" t="s">
        <v>1630</v>
      </c>
      <c r="O826" s="4">
        <v>45680.511087963</v>
      </c>
      <c r="P826" t="s">
        <v>116</v>
      </c>
      <c r="Q826" t="s">
        <v>1703</v>
      </c>
      <c r="R826" t="s">
        <v>3781</v>
      </c>
      <c r="T826" t="s">
        <v>116</v>
      </c>
    </row>
    <row r="827" ht="25.5" customHeight="1" spans="1:20">
      <c r="A827" t="s">
        <v>2167</v>
      </c>
      <c r="B827" t="s">
        <v>65</v>
      </c>
      <c r="C827" t="s">
        <v>3778</v>
      </c>
      <c r="D827" s="3"/>
      <c r="E827" s="2">
        <v>45681</v>
      </c>
      <c r="F827">
        <v>236000</v>
      </c>
      <c r="G827">
        <v>14100</v>
      </c>
      <c r="H827">
        <v>261</v>
      </c>
      <c r="I827">
        <v>0</v>
      </c>
      <c r="L827" t="s">
        <v>3138</v>
      </c>
      <c r="M827" t="s">
        <v>3719</v>
      </c>
      <c r="N827" t="s">
        <v>1630</v>
      </c>
      <c r="O827" s="4">
        <v>45681.4864351852</v>
      </c>
      <c r="P827" t="s">
        <v>116</v>
      </c>
      <c r="Q827" t="s">
        <v>1703</v>
      </c>
      <c r="R827" t="s">
        <v>3431</v>
      </c>
      <c r="T827" t="s">
        <v>116</v>
      </c>
    </row>
    <row r="828" ht="25.5" customHeight="1" spans="1:20">
      <c r="A828" t="s">
        <v>2167</v>
      </c>
      <c r="B828" t="s">
        <v>65</v>
      </c>
      <c r="C828" t="s">
        <v>3778</v>
      </c>
      <c r="D828" s="3"/>
      <c r="E828" s="2">
        <v>45683</v>
      </c>
      <c r="F828">
        <v>236000</v>
      </c>
      <c r="G828">
        <v>14400</v>
      </c>
      <c r="H828">
        <v>265</v>
      </c>
      <c r="I828">
        <v>0</v>
      </c>
      <c r="L828" t="s">
        <v>3138</v>
      </c>
      <c r="M828" t="s">
        <v>3719</v>
      </c>
      <c r="N828" t="s">
        <v>1630</v>
      </c>
      <c r="O828" s="4">
        <v>45683.7123148148</v>
      </c>
      <c r="P828" t="s">
        <v>116</v>
      </c>
      <c r="Q828" t="s">
        <v>1703</v>
      </c>
      <c r="R828" t="s">
        <v>3782</v>
      </c>
      <c r="T828" t="s">
        <v>116</v>
      </c>
    </row>
    <row r="829" ht="25.5" customHeight="1" spans="1:20">
      <c r="A829" t="s">
        <v>2167</v>
      </c>
      <c r="B829" t="s">
        <v>65</v>
      </c>
      <c r="C829" t="s">
        <v>3778</v>
      </c>
      <c r="D829" s="3"/>
      <c r="E829" s="2">
        <v>45684</v>
      </c>
      <c r="F829">
        <v>236000</v>
      </c>
      <c r="G829">
        <v>14600</v>
      </c>
      <c r="H829">
        <v>267</v>
      </c>
      <c r="I829">
        <v>0</v>
      </c>
      <c r="L829" t="s">
        <v>3138</v>
      </c>
      <c r="M829" t="s">
        <v>3719</v>
      </c>
      <c r="N829" t="s">
        <v>1630</v>
      </c>
      <c r="O829" s="4">
        <v>45684.7741898148</v>
      </c>
      <c r="P829" t="s">
        <v>116</v>
      </c>
      <c r="Q829" t="s">
        <v>1703</v>
      </c>
      <c r="R829" t="s">
        <v>3326</v>
      </c>
      <c r="T829" t="s">
        <v>116</v>
      </c>
    </row>
    <row r="830" ht="25.5" customHeight="1" spans="1:20">
      <c r="A830" t="s">
        <v>2167</v>
      </c>
      <c r="B830" t="s">
        <v>65</v>
      </c>
      <c r="C830" t="s">
        <v>3778</v>
      </c>
      <c r="D830" s="3"/>
      <c r="E830" s="2">
        <v>45693</v>
      </c>
      <c r="F830">
        <v>236000</v>
      </c>
      <c r="G830">
        <v>15000</v>
      </c>
      <c r="H830">
        <v>275</v>
      </c>
      <c r="I830">
        <v>0</v>
      </c>
      <c r="L830" t="s">
        <v>3138</v>
      </c>
      <c r="M830" t="s">
        <v>3719</v>
      </c>
      <c r="N830" t="s">
        <v>1630</v>
      </c>
      <c r="O830" s="4">
        <v>45693.7747222222</v>
      </c>
      <c r="P830" t="s">
        <v>116</v>
      </c>
      <c r="Q830" t="s">
        <v>1703</v>
      </c>
      <c r="R830" t="s">
        <v>3783</v>
      </c>
      <c r="T830" t="s">
        <v>116</v>
      </c>
    </row>
    <row r="831" ht="25.5" customHeight="1" spans="1:20">
      <c r="A831" t="s">
        <v>2167</v>
      </c>
      <c r="B831" t="s">
        <v>65</v>
      </c>
      <c r="C831" t="s">
        <v>3778</v>
      </c>
      <c r="D831" s="3"/>
      <c r="E831" s="2">
        <v>45694</v>
      </c>
      <c r="F831">
        <v>236000</v>
      </c>
      <c r="G831">
        <v>15100</v>
      </c>
      <c r="H831">
        <v>275</v>
      </c>
      <c r="I831">
        <v>0</v>
      </c>
      <c r="L831" t="s">
        <v>3138</v>
      </c>
      <c r="M831" t="s">
        <v>3719</v>
      </c>
      <c r="N831" t="s">
        <v>1630</v>
      </c>
      <c r="O831" s="4">
        <v>45698.6216782407</v>
      </c>
      <c r="P831" t="s">
        <v>116</v>
      </c>
      <c r="Q831" t="s">
        <v>1703</v>
      </c>
      <c r="R831" t="s">
        <v>3783</v>
      </c>
      <c r="S831" t="s">
        <v>3245</v>
      </c>
      <c r="T831" t="s">
        <v>116</v>
      </c>
    </row>
    <row r="832" ht="25.5" customHeight="1" spans="1:20">
      <c r="A832" t="s">
        <v>2167</v>
      </c>
      <c r="B832" t="s">
        <v>65</v>
      </c>
      <c r="C832" t="s">
        <v>3778</v>
      </c>
      <c r="D832" s="3"/>
      <c r="E832" s="2">
        <v>45695</v>
      </c>
      <c r="F832">
        <v>236000</v>
      </c>
      <c r="G832">
        <v>15200</v>
      </c>
      <c r="H832">
        <v>275</v>
      </c>
      <c r="I832">
        <v>0</v>
      </c>
      <c r="L832" t="s">
        <v>3138</v>
      </c>
      <c r="M832" t="s">
        <v>3719</v>
      </c>
      <c r="N832" t="s">
        <v>1630</v>
      </c>
      <c r="O832" s="4">
        <v>45695.484212963</v>
      </c>
      <c r="P832" t="s">
        <v>116</v>
      </c>
      <c r="Q832" t="s">
        <v>1703</v>
      </c>
      <c r="R832" t="s">
        <v>3783</v>
      </c>
      <c r="T832" t="s">
        <v>116</v>
      </c>
    </row>
    <row r="833" ht="25.5" customHeight="1" spans="1:20">
      <c r="A833" t="s">
        <v>2167</v>
      </c>
      <c r="B833" t="s">
        <v>65</v>
      </c>
      <c r="C833" t="s">
        <v>3778</v>
      </c>
      <c r="D833" s="3"/>
      <c r="E833" s="2">
        <v>45696</v>
      </c>
      <c r="F833">
        <v>236000</v>
      </c>
      <c r="G833">
        <v>15200</v>
      </c>
      <c r="H833">
        <v>275</v>
      </c>
      <c r="I833">
        <v>0</v>
      </c>
      <c r="L833" t="s">
        <v>3138</v>
      </c>
      <c r="M833" t="s">
        <v>3719</v>
      </c>
      <c r="N833" t="s">
        <v>1630</v>
      </c>
      <c r="O833" s="4">
        <v>45696.4476157407</v>
      </c>
      <c r="P833" t="s">
        <v>116</v>
      </c>
      <c r="Q833" t="s">
        <v>1703</v>
      </c>
      <c r="R833" t="s">
        <v>3783</v>
      </c>
      <c r="T833" t="s">
        <v>116</v>
      </c>
    </row>
    <row r="834" ht="25.5" customHeight="1" spans="1:18">
      <c r="A834" t="s">
        <v>3784</v>
      </c>
      <c r="D834" s="3"/>
      <c r="E834" s="2">
        <v>45679</v>
      </c>
      <c r="O834" s="4">
        <v>45679.6609606482</v>
      </c>
      <c r="R834" t="s">
        <v>3133</v>
      </c>
    </row>
    <row r="835" ht="25.5" customHeight="1" spans="1:20">
      <c r="A835" t="s">
        <v>2699</v>
      </c>
      <c r="B835" t="s">
        <v>56</v>
      </c>
      <c r="C835" t="s">
        <v>3785</v>
      </c>
      <c r="D835" s="3" t="str">
        <f>HYPERLINK("https://www.tiktok.com/@inversores_unidos","https://www.tiktok.com/@inversores_unidos")</f>
        <v>https://www.tiktok.com/@inversores_unidos</v>
      </c>
      <c r="E835" s="2">
        <v>45668</v>
      </c>
      <c r="F835">
        <v>702600</v>
      </c>
      <c r="G835">
        <v>5136</v>
      </c>
      <c r="H835">
        <v>17</v>
      </c>
      <c r="I835">
        <v>2</v>
      </c>
      <c r="J835">
        <v>2</v>
      </c>
      <c r="K835">
        <v>0</v>
      </c>
      <c r="L835" t="s">
        <v>3138</v>
      </c>
      <c r="M835" t="s">
        <v>3249</v>
      </c>
      <c r="N835" t="s">
        <v>1630</v>
      </c>
      <c r="O835" s="4">
        <v>45670.860150463</v>
      </c>
      <c r="P835" t="s">
        <v>57</v>
      </c>
      <c r="Q835" t="s">
        <v>1753</v>
      </c>
      <c r="R835" t="s">
        <v>3786</v>
      </c>
      <c r="T835" t="s">
        <v>57</v>
      </c>
    </row>
    <row r="836" ht="25.5" customHeight="1" spans="1:20">
      <c r="A836" t="s">
        <v>2699</v>
      </c>
      <c r="B836" t="s">
        <v>56</v>
      </c>
      <c r="C836" t="s">
        <v>3785</v>
      </c>
      <c r="D836" s="3"/>
      <c r="E836" s="2">
        <v>45671</v>
      </c>
      <c r="F836">
        <v>702500</v>
      </c>
      <c r="G836">
        <v>5266</v>
      </c>
      <c r="H836">
        <v>19</v>
      </c>
      <c r="I836">
        <v>2</v>
      </c>
      <c r="J836">
        <v>2</v>
      </c>
      <c r="K836">
        <v>0</v>
      </c>
      <c r="L836" t="s">
        <v>3138</v>
      </c>
      <c r="M836" t="s">
        <v>3249</v>
      </c>
      <c r="N836" t="s">
        <v>1630</v>
      </c>
      <c r="O836" s="4">
        <v>45672.5030092593</v>
      </c>
      <c r="P836" t="s">
        <v>57</v>
      </c>
      <c r="Q836" t="s">
        <v>1753</v>
      </c>
      <c r="R836" t="s">
        <v>3787</v>
      </c>
      <c r="T836" t="s">
        <v>57</v>
      </c>
    </row>
    <row r="837" ht="25.5" customHeight="1" spans="1:20">
      <c r="A837" t="s">
        <v>2699</v>
      </c>
      <c r="B837" t="s">
        <v>56</v>
      </c>
      <c r="C837" t="s">
        <v>3785</v>
      </c>
      <c r="D837" s="3"/>
      <c r="E837" s="2">
        <v>45672</v>
      </c>
      <c r="F837">
        <v>702500</v>
      </c>
      <c r="G837">
        <v>5377</v>
      </c>
      <c r="H837">
        <v>20</v>
      </c>
      <c r="I837">
        <v>2</v>
      </c>
      <c r="J837">
        <v>2</v>
      </c>
      <c r="K837">
        <v>0</v>
      </c>
      <c r="L837" t="s">
        <v>3138</v>
      </c>
      <c r="M837" t="s">
        <v>3249</v>
      </c>
      <c r="N837" t="s">
        <v>1630</v>
      </c>
      <c r="O837" s="4">
        <v>45672.5166782407</v>
      </c>
      <c r="P837" t="s">
        <v>57</v>
      </c>
      <c r="Q837" t="s">
        <v>1753</v>
      </c>
      <c r="R837" t="s">
        <v>3777</v>
      </c>
      <c r="T837" t="s">
        <v>57</v>
      </c>
    </row>
    <row r="838" ht="25.5" customHeight="1" spans="1:20">
      <c r="A838" t="s">
        <v>2699</v>
      </c>
      <c r="B838" t="s">
        <v>56</v>
      </c>
      <c r="C838" t="s">
        <v>3785</v>
      </c>
      <c r="D838" s="3"/>
      <c r="E838" s="2">
        <v>45673</v>
      </c>
      <c r="F838">
        <v>702400</v>
      </c>
      <c r="G838">
        <v>5513</v>
      </c>
      <c r="H838">
        <v>23</v>
      </c>
      <c r="I838">
        <v>2</v>
      </c>
      <c r="J838">
        <v>2</v>
      </c>
      <c r="K838">
        <v>0</v>
      </c>
      <c r="L838" t="s">
        <v>3138</v>
      </c>
      <c r="M838" t="s">
        <v>3249</v>
      </c>
      <c r="N838" t="s">
        <v>1630</v>
      </c>
      <c r="O838" s="4">
        <v>45673.6073842593</v>
      </c>
      <c r="P838" t="s">
        <v>57</v>
      </c>
      <c r="Q838" t="s">
        <v>1753</v>
      </c>
      <c r="R838" t="s">
        <v>3699</v>
      </c>
      <c r="T838" t="s">
        <v>57</v>
      </c>
    </row>
    <row r="839" ht="25.5" customHeight="1" spans="1:20">
      <c r="A839" t="s">
        <v>2699</v>
      </c>
      <c r="B839" t="s">
        <v>56</v>
      </c>
      <c r="C839" t="s">
        <v>3785</v>
      </c>
      <c r="D839" s="3"/>
      <c r="E839" s="2">
        <v>45674</v>
      </c>
      <c r="F839">
        <v>702300</v>
      </c>
      <c r="G839">
        <v>5631</v>
      </c>
      <c r="H839">
        <v>27</v>
      </c>
      <c r="I839">
        <v>2</v>
      </c>
      <c r="J839">
        <v>2</v>
      </c>
      <c r="K839">
        <v>0</v>
      </c>
      <c r="L839" t="s">
        <v>3331</v>
      </c>
      <c r="M839" t="s">
        <v>3249</v>
      </c>
      <c r="N839" t="s">
        <v>1630</v>
      </c>
      <c r="O839" s="4">
        <v>45674.6690972222</v>
      </c>
      <c r="P839" t="s">
        <v>57</v>
      </c>
      <c r="Q839" t="s">
        <v>1753</v>
      </c>
      <c r="R839" t="s">
        <v>3788</v>
      </c>
      <c r="T839" t="s">
        <v>57</v>
      </c>
    </row>
    <row r="840" ht="25.5" customHeight="1" spans="1:20">
      <c r="A840" t="s">
        <v>2699</v>
      </c>
      <c r="B840" t="s">
        <v>56</v>
      </c>
      <c r="C840" t="s">
        <v>3785</v>
      </c>
      <c r="D840" s="3"/>
      <c r="E840" s="2">
        <v>45677</v>
      </c>
      <c r="F840">
        <v>702000</v>
      </c>
      <c r="G840">
        <v>6055</v>
      </c>
      <c r="H840">
        <v>28</v>
      </c>
      <c r="I840">
        <v>2</v>
      </c>
      <c r="J840">
        <v>3</v>
      </c>
      <c r="K840">
        <v>0</v>
      </c>
      <c r="L840" t="s">
        <v>3138</v>
      </c>
      <c r="M840" t="s">
        <v>3249</v>
      </c>
      <c r="N840" t="s">
        <v>1630</v>
      </c>
      <c r="O840" s="4">
        <v>45677.4257291667</v>
      </c>
      <c r="P840" t="s">
        <v>57</v>
      </c>
      <c r="Q840" t="s">
        <v>1753</v>
      </c>
      <c r="R840" t="s">
        <v>3789</v>
      </c>
      <c r="T840" t="s">
        <v>57</v>
      </c>
    </row>
    <row r="841" ht="25.5" customHeight="1" spans="1:20">
      <c r="A841" t="s">
        <v>2699</v>
      </c>
      <c r="B841" t="s">
        <v>56</v>
      </c>
      <c r="C841" t="s">
        <v>3785</v>
      </c>
      <c r="D841" s="3"/>
      <c r="E841" s="2">
        <v>45678</v>
      </c>
      <c r="F841">
        <v>701900</v>
      </c>
      <c r="G841">
        <v>6227</v>
      </c>
      <c r="H841">
        <v>32</v>
      </c>
      <c r="I841">
        <v>2</v>
      </c>
      <c r="J841">
        <v>7</v>
      </c>
      <c r="K841">
        <v>0</v>
      </c>
      <c r="L841" t="s">
        <v>3331</v>
      </c>
      <c r="M841" t="s">
        <v>3249</v>
      </c>
      <c r="N841" t="s">
        <v>1630</v>
      </c>
      <c r="O841" s="4">
        <v>45678.630775463</v>
      </c>
      <c r="P841" t="s">
        <v>57</v>
      </c>
      <c r="Q841" t="s">
        <v>1753</v>
      </c>
      <c r="R841" t="s">
        <v>3283</v>
      </c>
      <c r="T841" t="s">
        <v>57</v>
      </c>
    </row>
    <row r="842" ht="25.5" customHeight="1" spans="1:20">
      <c r="A842" t="s">
        <v>2699</v>
      </c>
      <c r="B842" t="s">
        <v>56</v>
      </c>
      <c r="C842" t="s">
        <v>3785</v>
      </c>
      <c r="D842" s="3"/>
      <c r="E842" s="2">
        <v>45679</v>
      </c>
      <c r="F842">
        <v>701800</v>
      </c>
      <c r="G842">
        <v>6386</v>
      </c>
      <c r="H842">
        <v>39</v>
      </c>
      <c r="I842">
        <v>2</v>
      </c>
      <c r="J842">
        <v>11</v>
      </c>
      <c r="K842">
        <v>2</v>
      </c>
      <c r="L842" t="s">
        <v>3331</v>
      </c>
      <c r="M842" t="s">
        <v>3249</v>
      </c>
      <c r="N842" t="s">
        <v>1630</v>
      </c>
      <c r="O842" s="4">
        <v>45679.6904282407</v>
      </c>
      <c r="P842" t="s">
        <v>57</v>
      </c>
      <c r="Q842" t="s">
        <v>1753</v>
      </c>
      <c r="R842" t="s">
        <v>3272</v>
      </c>
      <c r="T842" t="s">
        <v>57</v>
      </c>
    </row>
    <row r="843" ht="25.5" customHeight="1" spans="1:20">
      <c r="A843" t="s">
        <v>2699</v>
      </c>
      <c r="B843" t="s">
        <v>56</v>
      </c>
      <c r="C843" t="s">
        <v>3785</v>
      </c>
      <c r="D843" s="3"/>
      <c r="E843" s="2">
        <v>45680</v>
      </c>
      <c r="F843">
        <v>701700</v>
      </c>
      <c r="G843">
        <v>6474</v>
      </c>
      <c r="H843">
        <v>39</v>
      </c>
      <c r="I843">
        <v>2</v>
      </c>
      <c r="J843">
        <v>12</v>
      </c>
      <c r="K843">
        <v>2</v>
      </c>
      <c r="L843" t="s">
        <v>3331</v>
      </c>
      <c r="M843" t="s">
        <v>3249</v>
      </c>
      <c r="N843" t="s">
        <v>1630</v>
      </c>
      <c r="O843" s="4">
        <v>45680.6454976852</v>
      </c>
      <c r="P843" t="s">
        <v>57</v>
      </c>
      <c r="Q843" t="s">
        <v>1753</v>
      </c>
      <c r="R843" t="s">
        <v>3394</v>
      </c>
      <c r="T843" t="s">
        <v>57</v>
      </c>
    </row>
    <row r="844" ht="25.5" customHeight="1" spans="1:20">
      <c r="A844" t="s">
        <v>2699</v>
      </c>
      <c r="B844" t="s">
        <v>56</v>
      </c>
      <c r="C844" t="s">
        <v>3785</v>
      </c>
      <c r="D844" s="3"/>
      <c r="E844" s="2">
        <v>45681</v>
      </c>
      <c r="F844">
        <v>701600</v>
      </c>
      <c r="G844">
        <v>6564</v>
      </c>
      <c r="H844">
        <v>42</v>
      </c>
      <c r="I844">
        <v>2</v>
      </c>
      <c r="J844">
        <v>13</v>
      </c>
      <c r="K844">
        <v>2</v>
      </c>
      <c r="L844" t="s">
        <v>3331</v>
      </c>
      <c r="M844" t="s">
        <v>3249</v>
      </c>
      <c r="N844" t="s">
        <v>1630</v>
      </c>
      <c r="O844" s="4">
        <v>45681.6044791667</v>
      </c>
      <c r="P844" t="s">
        <v>57</v>
      </c>
      <c r="Q844" t="s">
        <v>1753</v>
      </c>
      <c r="R844" t="s">
        <v>3790</v>
      </c>
      <c r="T844" t="s">
        <v>57</v>
      </c>
    </row>
    <row r="845" ht="25.5" customHeight="1" spans="1:20">
      <c r="A845" t="s">
        <v>2699</v>
      </c>
      <c r="B845" t="s">
        <v>56</v>
      </c>
      <c r="C845" t="s">
        <v>3785</v>
      </c>
      <c r="D845" s="3"/>
      <c r="E845" s="2">
        <v>45683</v>
      </c>
      <c r="F845">
        <v>701400</v>
      </c>
      <c r="G845">
        <v>6725</v>
      </c>
      <c r="H845">
        <v>43</v>
      </c>
      <c r="I845">
        <v>2</v>
      </c>
      <c r="J845">
        <v>15</v>
      </c>
      <c r="K845">
        <v>4</v>
      </c>
      <c r="L845" t="s">
        <v>3331</v>
      </c>
      <c r="M845" t="s">
        <v>3249</v>
      </c>
      <c r="N845" t="s">
        <v>1630</v>
      </c>
      <c r="O845" s="4">
        <v>45683.7629282407</v>
      </c>
      <c r="P845" t="s">
        <v>57</v>
      </c>
      <c r="Q845" t="s">
        <v>1753</v>
      </c>
      <c r="R845" t="s">
        <v>3791</v>
      </c>
      <c r="T845" t="s">
        <v>57</v>
      </c>
    </row>
    <row r="846" ht="25.5" customHeight="1" spans="1:20">
      <c r="A846" t="s">
        <v>2699</v>
      </c>
      <c r="B846" t="s">
        <v>56</v>
      </c>
      <c r="C846" t="s">
        <v>3785</v>
      </c>
      <c r="D846" s="3"/>
      <c r="E846" s="2">
        <v>45684</v>
      </c>
      <c r="F846">
        <v>701300</v>
      </c>
      <c r="G846">
        <v>6796</v>
      </c>
      <c r="H846">
        <v>44</v>
      </c>
      <c r="I846">
        <v>2</v>
      </c>
      <c r="J846">
        <v>16</v>
      </c>
      <c r="K846">
        <v>4</v>
      </c>
      <c r="L846" t="s">
        <v>3331</v>
      </c>
      <c r="M846" t="s">
        <v>3249</v>
      </c>
      <c r="N846" t="s">
        <v>1630</v>
      </c>
      <c r="O846" s="4">
        <v>45684.8300115741</v>
      </c>
      <c r="P846" t="s">
        <v>57</v>
      </c>
      <c r="Q846" t="s">
        <v>1753</v>
      </c>
      <c r="R846" t="s">
        <v>3792</v>
      </c>
      <c r="T846" t="s">
        <v>57</v>
      </c>
    </row>
    <row r="847" ht="25.5" customHeight="1" spans="1:20">
      <c r="A847" t="s">
        <v>2699</v>
      </c>
      <c r="B847" t="s">
        <v>56</v>
      </c>
      <c r="C847" t="s">
        <v>3785</v>
      </c>
      <c r="D847" s="3"/>
      <c r="E847" s="2">
        <v>45693</v>
      </c>
      <c r="F847">
        <v>700500</v>
      </c>
      <c r="G847">
        <v>7444</v>
      </c>
      <c r="H847">
        <v>54</v>
      </c>
      <c r="I847">
        <v>2</v>
      </c>
      <c r="J847">
        <v>21</v>
      </c>
      <c r="K847">
        <v>5</v>
      </c>
      <c r="L847" t="s">
        <v>3331</v>
      </c>
      <c r="M847" t="s">
        <v>3249</v>
      </c>
      <c r="N847" t="s">
        <v>1630</v>
      </c>
      <c r="O847" s="4">
        <v>45693.8203703704</v>
      </c>
      <c r="P847" t="s">
        <v>57</v>
      </c>
      <c r="Q847" t="s">
        <v>1753</v>
      </c>
      <c r="R847" t="s">
        <v>3769</v>
      </c>
      <c r="T847" t="s">
        <v>57</v>
      </c>
    </row>
    <row r="848" ht="25.5" customHeight="1" spans="1:20">
      <c r="A848" t="s">
        <v>2699</v>
      </c>
      <c r="B848" t="s">
        <v>56</v>
      </c>
      <c r="C848" t="s">
        <v>3785</v>
      </c>
      <c r="D848" s="3"/>
      <c r="E848" s="2">
        <v>45694</v>
      </c>
      <c r="F848">
        <v>700400</v>
      </c>
      <c r="G848">
        <v>7470</v>
      </c>
      <c r="H848">
        <v>54</v>
      </c>
      <c r="I848">
        <v>2</v>
      </c>
      <c r="J848">
        <v>21</v>
      </c>
      <c r="K848">
        <v>5</v>
      </c>
      <c r="L848" t="s">
        <v>3331</v>
      </c>
      <c r="M848" t="s">
        <v>3249</v>
      </c>
      <c r="N848" t="s">
        <v>1630</v>
      </c>
      <c r="O848" s="4">
        <v>45698.6216782407</v>
      </c>
      <c r="P848" t="s">
        <v>57</v>
      </c>
      <c r="Q848" t="s">
        <v>1753</v>
      </c>
      <c r="R848" t="s">
        <v>3769</v>
      </c>
      <c r="S848" t="s">
        <v>3169</v>
      </c>
      <c r="T848" t="s">
        <v>57</v>
      </c>
    </row>
    <row r="849" ht="25.5" customHeight="1" spans="1:20">
      <c r="A849" t="s">
        <v>3074</v>
      </c>
      <c r="B849" t="s">
        <v>56</v>
      </c>
      <c r="C849" t="s">
        <v>3793</v>
      </c>
      <c r="D849" s="3"/>
      <c r="E849" s="2">
        <v>45673</v>
      </c>
      <c r="F849">
        <v>31500</v>
      </c>
      <c r="G849">
        <v>387</v>
      </c>
      <c r="H849">
        <v>51</v>
      </c>
      <c r="I849">
        <v>1</v>
      </c>
      <c r="J849">
        <v>7</v>
      </c>
      <c r="K849">
        <v>0</v>
      </c>
      <c r="L849" t="s">
        <v>3227</v>
      </c>
      <c r="M849" t="s">
        <v>3794</v>
      </c>
      <c r="N849" t="s">
        <v>1630</v>
      </c>
      <c r="O849" s="4">
        <v>45673.6082638889</v>
      </c>
      <c r="P849" t="s">
        <v>57</v>
      </c>
      <c r="Q849" t="s">
        <v>97</v>
      </c>
      <c r="R849" t="s">
        <v>3790</v>
      </c>
      <c r="T849" t="s">
        <v>57</v>
      </c>
    </row>
    <row r="850" ht="25.5" customHeight="1" spans="1:20">
      <c r="A850" t="s">
        <v>3074</v>
      </c>
      <c r="B850" t="s">
        <v>56</v>
      </c>
      <c r="C850" t="s">
        <v>3793</v>
      </c>
      <c r="D850" s="3"/>
      <c r="E850" s="2">
        <v>45674</v>
      </c>
      <c r="F850">
        <v>31500</v>
      </c>
      <c r="G850">
        <v>435</v>
      </c>
      <c r="H850">
        <v>55</v>
      </c>
      <c r="I850">
        <v>1</v>
      </c>
      <c r="J850">
        <v>7</v>
      </c>
      <c r="K850">
        <v>0</v>
      </c>
      <c r="L850" t="s">
        <v>3227</v>
      </c>
      <c r="M850" t="s">
        <v>3794</v>
      </c>
      <c r="N850" t="s">
        <v>1630</v>
      </c>
      <c r="O850" s="4">
        <v>45674.6692824074</v>
      </c>
      <c r="P850" t="s">
        <v>57</v>
      </c>
      <c r="Q850" t="s">
        <v>97</v>
      </c>
      <c r="R850" t="s">
        <v>3397</v>
      </c>
      <c r="T850" t="s">
        <v>57</v>
      </c>
    </row>
    <row r="851" ht="25.5" customHeight="1" spans="1:20">
      <c r="A851" t="s">
        <v>3074</v>
      </c>
      <c r="B851" t="s">
        <v>56</v>
      </c>
      <c r="C851" t="s">
        <v>3793</v>
      </c>
      <c r="D851" s="3"/>
      <c r="E851" s="2">
        <v>45677</v>
      </c>
      <c r="F851">
        <v>31500</v>
      </c>
      <c r="G851">
        <v>464</v>
      </c>
      <c r="H851">
        <v>59</v>
      </c>
      <c r="I851">
        <v>1</v>
      </c>
      <c r="J851">
        <v>7</v>
      </c>
      <c r="K851">
        <v>0</v>
      </c>
      <c r="L851" t="s">
        <v>3227</v>
      </c>
      <c r="M851" t="s">
        <v>3794</v>
      </c>
      <c r="N851" t="s">
        <v>1630</v>
      </c>
      <c r="O851" s="4">
        <v>45677.4259143519</v>
      </c>
      <c r="P851" t="s">
        <v>57</v>
      </c>
      <c r="Q851" t="s">
        <v>97</v>
      </c>
      <c r="R851" t="s">
        <v>3398</v>
      </c>
      <c r="T851" t="s">
        <v>57</v>
      </c>
    </row>
    <row r="852" ht="25.5" customHeight="1" spans="1:20">
      <c r="A852" t="s">
        <v>3074</v>
      </c>
      <c r="B852" t="s">
        <v>56</v>
      </c>
      <c r="C852" t="s">
        <v>3793</v>
      </c>
      <c r="D852" s="3"/>
      <c r="E852" s="2">
        <v>45678</v>
      </c>
      <c r="F852">
        <v>31500</v>
      </c>
      <c r="G852">
        <v>469</v>
      </c>
      <c r="H852">
        <v>59</v>
      </c>
      <c r="I852">
        <v>1</v>
      </c>
      <c r="J852">
        <v>7</v>
      </c>
      <c r="K852">
        <v>1</v>
      </c>
      <c r="L852" t="s">
        <v>3227</v>
      </c>
      <c r="M852" t="s">
        <v>3794</v>
      </c>
      <c r="N852" t="s">
        <v>1630</v>
      </c>
      <c r="O852" s="4">
        <v>45678.6314699074</v>
      </c>
      <c r="P852" t="s">
        <v>57</v>
      </c>
      <c r="Q852" t="s">
        <v>97</v>
      </c>
      <c r="R852" t="s">
        <v>3558</v>
      </c>
      <c r="T852" t="s">
        <v>57</v>
      </c>
    </row>
    <row r="853" ht="25.5" customHeight="1" spans="1:20">
      <c r="A853" t="s">
        <v>3074</v>
      </c>
      <c r="B853" t="s">
        <v>56</v>
      </c>
      <c r="C853" t="s">
        <v>3793</v>
      </c>
      <c r="D853" s="3"/>
      <c r="E853" s="2">
        <v>45679</v>
      </c>
      <c r="F853">
        <v>31500</v>
      </c>
      <c r="G853">
        <v>477</v>
      </c>
      <c r="H853">
        <v>60</v>
      </c>
      <c r="I853">
        <v>1</v>
      </c>
      <c r="J853">
        <v>7</v>
      </c>
      <c r="K853">
        <v>1</v>
      </c>
      <c r="L853" t="s">
        <v>3227</v>
      </c>
      <c r="M853" t="s">
        <v>3794</v>
      </c>
      <c r="N853" t="s">
        <v>1630</v>
      </c>
      <c r="O853" s="4">
        <v>45679.6906944444</v>
      </c>
      <c r="P853" t="s">
        <v>57</v>
      </c>
      <c r="Q853" t="s">
        <v>97</v>
      </c>
      <c r="R853" t="s">
        <v>3795</v>
      </c>
      <c r="T853" t="s">
        <v>57</v>
      </c>
    </row>
    <row r="854" ht="25.5" customHeight="1" spans="1:20">
      <c r="A854" t="s">
        <v>3074</v>
      </c>
      <c r="B854" t="s">
        <v>56</v>
      </c>
      <c r="C854" t="s">
        <v>3793</v>
      </c>
      <c r="D854" s="3"/>
      <c r="E854" s="2">
        <v>45680</v>
      </c>
      <c r="F854">
        <v>31500</v>
      </c>
      <c r="G854">
        <v>482</v>
      </c>
      <c r="H854">
        <v>60</v>
      </c>
      <c r="I854">
        <v>1</v>
      </c>
      <c r="J854">
        <v>7</v>
      </c>
      <c r="K854">
        <v>1</v>
      </c>
      <c r="L854" t="s">
        <v>3227</v>
      </c>
      <c r="M854" t="s">
        <v>3794</v>
      </c>
      <c r="N854" t="s">
        <v>1630</v>
      </c>
      <c r="O854" s="4">
        <v>45680.6456712963</v>
      </c>
      <c r="P854" t="s">
        <v>57</v>
      </c>
      <c r="Q854" t="s">
        <v>97</v>
      </c>
      <c r="R854" t="s">
        <v>3795</v>
      </c>
      <c r="T854" t="s">
        <v>57</v>
      </c>
    </row>
    <row r="855" ht="25.5" customHeight="1" spans="1:20">
      <c r="A855" t="s">
        <v>3074</v>
      </c>
      <c r="B855" t="s">
        <v>56</v>
      </c>
      <c r="C855" t="s">
        <v>3793</v>
      </c>
      <c r="D855" s="3"/>
      <c r="E855" s="2">
        <v>45681</v>
      </c>
      <c r="F855">
        <v>31400</v>
      </c>
      <c r="G855">
        <v>489</v>
      </c>
      <c r="H855">
        <v>61</v>
      </c>
      <c r="I855">
        <v>1</v>
      </c>
      <c r="J855">
        <v>7</v>
      </c>
      <c r="K855">
        <v>1</v>
      </c>
      <c r="L855" t="s">
        <v>3227</v>
      </c>
      <c r="M855" t="s">
        <v>3794</v>
      </c>
      <c r="N855" t="s">
        <v>1630</v>
      </c>
      <c r="O855" s="4">
        <v>45681.6046875</v>
      </c>
      <c r="P855" t="s">
        <v>57</v>
      </c>
      <c r="Q855" t="s">
        <v>97</v>
      </c>
      <c r="R855" t="s">
        <v>3796</v>
      </c>
      <c r="T855" t="s">
        <v>57</v>
      </c>
    </row>
    <row r="856" ht="25.5" customHeight="1" spans="1:20">
      <c r="A856" t="s">
        <v>3074</v>
      </c>
      <c r="B856" t="s">
        <v>56</v>
      </c>
      <c r="C856" t="s">
        <v>3793</v>
      </c>
      <c r="D856" s="3"/>
      <c r="E856" s="2">
        <v>45683</v>
      </c>
      <c r="F856">
        <v>31400</v>
      </c>
      <c r="G856">
        <v>492</v>
      </c>
      <c r="H856">
        <v>61</v>
      </c>
      <c r="I856">
        <v>1</v>
      </c>
      <c r="J856">
        <v>7</v>
      </c>
      <c r="K856">
        <v>1</v>
      </c>
      <c r="L856" t="s">
        <v>3227</v>
      </c>
      <c r="M856" t="s">
        <v>3794</v>
      </c>
      <c r="N856" t="s">
        <v>1630</v>
      </c>
      <c r="O856" s="4">
        <v>45683.7632407407</v>
      </c>
      <c r="P856" t="s">
        <v>57</v>
      </c>
      <c r="Q856" t="s">
        <v>97</v>
      </c>
      <c r="R856" t="s">
        <v>3796</v>
      </c>
      <c r="T856" t="s">
        <v>57</v>
      </c>
    </row>
    <row r="857" ht="25.5" customHeight="1" spans="1:20">
      <c r="A857" t="s">
        <v>3074</v>
      </c>
      <c r="B857" t="s">
        <v>56</v>
      </c>
      <c r="C857" t="s">
        <v>3793</v>
      </c>
      <c r="D857" s="3"/>
      <c r="E857" s="2">
        <v>45684</v>
      </c>
      <c r="F857">
        <v>31400</v>
      </c>
      <c r="G857">
        <v>496</v>
      </c>
      <c r="H857">
        <v>62</v>
      </c>
      <c r="I857">
        <v>1</v>
      </c>
      <c r="J857">
        <v>7</v>
      </c>
      <c r="K857">
        <v>1</v>
      </c>
      <c r="L857" t="s">
        <v>3227</v>
      </c>
      <c r="M857" t="s">
        <v>3794</v>
      </c>
      <c r="N857" t="s">
        <v>1630</v>
      </c>
      <c r="O857" s="4">
        <v>45684.8301967593</v>
      </c>
      <c r="P857" t="s">
        <v>57</v>
      </c>
      <c r="Q857" t="s">
        <v>97</v>
      </c>
      <c r="R857" t="s">
        <v>3797</v>
      </c>
      <c r="T857" t="s">
        <v>57</v>
      </c>
    </row>
    <row r="858" ht="25.5" customHeight="1" spans="1:20">
      <c r="A858" t="s">
        <v>3074</v>
      </c>
      <c r="B858" t="s">
        <v>56</v>
      </c>
      <c r="C858" t="s">
        <v>3793</v>
      </c>
      <c r="D858" s="3"/>
      <c r="E858" s="2">
        <v>45693</v>
      </c>
      <c r="F858">
        <v>31400</v>
      </c>
      <c r="G858">
        <v>517</v>
      </c>
      <c r="H858">
        <v>63</v>
      </c>
      <c r="I858">
        <v>1</v>
      </c>
      <c r="J858">
        <v>7</v>
      </c>
      <c r="K858">
        <v>1</v>
      </c>
      <c r="L858" t="s">
        <v>3227</v>
      </c>
      <c r="M858" t="s">
        <v>3794</v>
      </c>
      <c r="N858" t="s">
        <v>1630</v>
      </c>
      <c r="O858" s="4">
        <v>45693.8193981481</v>
      </c>
      <c r="P858" t="s">
        <v>57</v>
      </c>
      <c r="Q858" t="s">
        <v>97</v>
      </c>
      <c r="R858" t="s">
        <v>3798</v>
      </c>
      <c r="T858" t="s">
        <v>57</v>
      </c>
    </row>
    <row r="859" ht="25.5" customHeight="1" spans="1:20">
      <c r="A859" t="s">
        <v>3074</v>
      </c>
      <c r="B859" t="s">
        <v>56</v>
      </c>
      <c r="C859" t="s">
        <v>3793</v>
      </c>
      <c r="D859" s="3"/>
      <c r="E859" s="2">
        <v>45694</v>
      </c>
      <c r="F859">
        <v>31400</v>
      </c>
      <c r="G859">
        <v>517</v>
      </c>
      <c r="H859">
        <v>63</v>
      </c>
      <c r="I859">
        <v>1</v>
      </c>
      <c r="J859">
        <v>7</v>
      </c>
      <c r="K859">
        <v>1</v>
      </c>
      <c r="L859" t="s">
        <v>3227</v>
      </c>
      <c r="M859" t="s">
        <v>3794</v>
      </c>
      <c r="N859" t="s">
        <v>1630</v>
      </c>
      <c r="O859" s="4">
        <v>45698.6216782407</v>
      </c>
      <c r="P859" t="s">
        <v>57</v>
      </c>
      <c r="Q859" t="s">
        <v>97</v>
      </c>
      <c r="R859" t="s">
        <v>3798</v>
      </c>
      <c r="S859" t="s">
        <v>3180</v>
      </c>
      <c r="T859" t="s">
        <v>57</v>
      </c>
    </row>
    <row r="860" ht="25.5" customHeight="1" spans="1:20">
      <c r="A860" t="s">
        <v>3074</v>
      </c>
      <c r="B860" t="s">
        <v>56</v>
      </c>
      <c r="C860" t="s">
        <v>3793</v>
      </c>
      <c r="D860" s="3"/>
      <c r="E860" s="2">
        <v>45695</v>
      </c>
      <c r="F860">
        <v>31400</v>
      </c>
      <c r="G860">
        <v>517</v>
      </c>
      <c r="H860">
        <v>63</v>
      </c>
      <c r="I860">
        <v>1</v>
      </c>
      <c r="J860">
        <v>7</v>
      </c>
      <c r="K860">
        <v>1</v>
      </c>
      <c r="L860" t="s">
        <v>3227</v>
      </c>
      <c r="M860" t="s">
        <v>3794</v>
      </c>
      <c r="N860" t="s">
        <v>1630</v>
      </c>
      <c r="O860" s="4">
        <v>45695.7113078704</v>
      </c>
      <c r="P860" t="s">
        <v>57</v>
      </c>
      <c r="Q860" t="s">
        <v>97</v>
      </c>
      <c r="R860" t="s">
        <v>3798</v>
      </c>
      <c r="T860" t="s">
        <v>57</v>
      </c>
    </row>
    <row r="861" ht="25.5" customHeight="1" spans="1:20">
      <c r="A861" t="s">
        <v>3074</v>
      </c>
      <c r="B861" t="s">
        <v>56</v>
      </c>
      <c r="C861" t="s">
        <v>3793</v>
      </c>
      <c r="D861" s="3"/>
      <c r="E861" s="2">
        <v>45696</v>
      </c>
      <c r="F861">
        <v>31400</v>
      </c>
      <c r="G861">
        <v>517</v>
      </c>
      <c r="H861">
        <v>63</v>
      </c>
      <c r="I861">
        <v>1</v>
      </c>
      <c r="J861">
        <v>7</v>
      </c>
      <c r="K861">
        <v>1</v>
      </c>
      <c r="L861" t="s">
        <v>3227</v>
      </c>
      <c r="M861" t="s">
        <v>3794</v>
      </c>
      <c r="N861" t="s">
        <v>1630</v>
      </c>
      <c r="O861" s="4">
        <v>45696.4339930556</v>
      </c>
      <c r="P861" t="s">
        <v>57</v>
      </c>
      <c r="Q861" t="s">
        <v>97</v>
      </c>
      <c r="R861" t="s">
        <v>3798</v>
      </c>
      <c r="T861" t="s">
        <v>57</v>
      </c>
    </row>
    <row r="862" ht="25.5" customHeight="1" spans="1:20">
      <c r="A862" t="s">
        <v>2163</v>
      </c>
      <c r="B862" t="s">
        <v>56</v>
      </c>
      <c r="C862" t="s">
        <v>3799</v>
      </c>
      <c r="D862" s="3" t="str">
        <f>HYPERLINK("https://www.tiktok.com/@itsamineazizi","https://www.tiktok.com/@itsamineazizi")</f>
        <v>https://www.tiktok.com/@itsamineazizi</v>
      </c>
      <c r="E862" s="2">
        <v>45670</v>
      </c>
      <c r="F862">
        <v>32900</v>
      </c>
      <c r="G862">
        <v>2981</v>
      </c>
      <c r="H862">
        <v>379</v>
      </c>
      <c r="I862">
        <v>0</v>
      </c>
      <c r="J862">
        <v>8</v>
      </c>
      <c r="K862">
        <v>1</v>
      </c>
      <c r="L862" t="s">
        <v>3227</v>
      </c>
      <c r="M862" t="s">
        <v>3719</v>
      </c>
      <c r="N862" t="s">
        <v>1630</v>
      </c>
      <c r="O862" s="4">
        <v>45670.8604398148</v>
      </c>
      <c r="P862" t="s">
        <v>57</v>
      </c>
      <c r="Q862" t="s">
        <v>1631</v>
      </c>
      <c r="R862" t="s">
        <v>3800</v>
      </c>
      <c r="T862" t="s">
        <v>57</v>
      </c>
    </row>
    <row r="863" ht="25.5" customHeight="1" spans="1:20">
      <c r="A863" t="s">
        <v>2163</v>
      </c>
      <c r="B863" t="s">
        <v>56</v>
      </c>
      <c r="C863" t="s">
        <v>3799</v>
      </c>
      <c r="D863" s="3"/>
      <c r="E863" s="2">
        <v>45671</v>
      </c>
      <c r="F863">
        <v>32900</v>
      </c>
      <c r="G863">
        <v>4741</v>
      </c>
      <c r="H863">
        <v>711</v>
      </c>
      <c r="I863">
        <v>2</v>
      </c>
      <c r="J863">
        <v>14</v>
      </c>
      <c r="K863">
        <v>2</v>
      </c>
      <c r="L863" t="s">
        <v>3220</v>
      </c>
      <c r="M863" t="s">
        <v>3719</v>
      </c>
      <c r="N863" t="s">
        <v>1630</v>
      </c>
      <c r="O863" s="4">
        <v>45672.5030092593</v>
      </c>
      <c r="P863" t="s">
        <v>57</v>
      </c>
      <c r="Q863" t="s">
        <v>1631</v>
      </c>
      <c r="R863" t="s">
        <v>3801</v>
      </c>
      <c r="T863" t="s">
        <v>57</v>
      </c>
    </row>
    <row r="864" ht="25.5" customHeight="1" spans="1:20">
      <c r="A864" t="s">
        <v>2163</v>
      </c>
      <c r="B864" t="s">
        <v>56</v>
      </c>
      <c r="C864" t="s">
        <v>3799</v>
      </c>
      <c r="D864" s="3"/>
      <c r="E864" s="2">
        <v>45672</v>
      </c>
      <c r="F864">
        <v>32900</v>
      </c>
      <c r="G864">
        <v>4751</v>
      </c>
      <c r="H864">
        <v>712</v>
      </c>
      <c r="I864">
        <v>2</v>
      </c>
      <c r="J864">
        <v>14</v>
      </c>
      <c r="K864">
        <v>2</v>
      </c>
      <c r="L864" t="s">
        <v>3220</v>
      </c>
      <c r="M864" t="s">
        <v>3719</v>
      </c>
      <c r="N864" t="s">
        <v>1630</v>
      </c>
      <c r="O864" s="4">
        <v>45672.5188773148</v>
      </c>
      <c r="P864" t="s">
        <v>57</v>
      </c>
      <c r="Q864" t="s">
        <v>1631</v>
      </c>
      <c r="R864" t="s">
        <v>3802</v>
      </c>
      <c r="T864" t="s">
        <v>57</v>
      </c>
    </row>
    <row r="865" ht="25.5" customHeight="1" spans="1:20">
      <c r="A865" t="s">
        <v>2163</v>
      </c>
      <c r="B865" t="s">
        <v>56</v>
      </c>
      <c r="C865" t="s">
        <v>3799</v>
      </c>
      <c r="D865" s="3"/>
      <c r="E865" s="2">
        <v>45673</v>
      </c>
      <c r="F865">
        <v>32900</v>
      </c>
      <c r="G865">
        <v>5963</v>
      </c>
      <c r="H865">
        <v>1809</v>
      </c>
      <c r="I865">
        <v>2</v>
      </c>
      <c r="J865">
        <v>114</v>
      </c>
      <c r="K865">
        <v>105</v>
      </c>
      <c r="L865" t="s">
        <v>3580</v>
      </c>
      <c r="M865" t="s">
        <v>3719</v>
      </c>
      <c r="N865" t="s">
        <v>1630</v>
      </c>
      <c r="O865" s="4">
        <v>45673.6078703704</v>
      </c>
      <c r="P865" t="s">
        <v>57</v>
      </c>
      <c r="Q865" t="s">
        <v>1631</v>
      </c>
      <c r="R865" t="s">
        <v>3803</v>
      </c>
      <c r="T865" t="s">
        <v>57</v>
      </c>
    </row>
    <row r="866" ht="25.5" customHeight="1" spans="1:20">
      <c r="A866" t="s">
        <v>2163</v>
      </c>
      <c r="B866" t="s">
        <v>56</v>
      </c>
      <c r="C866" t="s">
        <v>3799</v>
      </c>
      <c r="D866" s="3"/>
      <c r="E866" s="2">
        <v>45674</v>
      </c>
      <c r="F866">
        <v>32900</v>
      </c>
      <c r="G866">
        <v>21000</v>
      </c>
      <c r="H866">
        <v>1809</v>
      </c>
      <c r="I866">
        <v>2</v>
      </c>
      <c r="J866">
        <v>114</v>
      </c>
      <c r="K866">
        <v>105</v>
      </c>
      <c r="L866" t="s">
        <v>3230</v>
      </c>
      <c r="M866" t="s">
        <v>3719</v>
      </c>
      <c r="N866" t="s">
        <v>1630</v>
      </c>
      <c r="O866" s="4">
        <v>45674.669525463</v>
      </c>
      <c r="P866" t="s">
        <v>57</v>
      </c>
      <c r="Q866" t="s">
        <v>1631</v>
      </c>
      <c r="R866" t="s">
        <v>3803</v>
      </c>
      <c r="T866" t="s">
        <v>57</v>
      </c>
    </row>
    <row r="867" ht="25.5" customHeight="1" spans="1:20">
      <c r="A867" t="s">
        <v>2163</v>
      </c>
      <c r="B867" t="s">
        <v>56</v>
      </c>
      <c r="C867" t="s">
        <v>3799</v>
      </c>
      <c r="D867" s="3"/>
      <c r="E867" s="2">
        <v>45677</v>
      </c>
      <c r="F867">
        <v>32900</v>
      </c>
      <c r="G867">
        <v>22000</v>
      </c>
      <c r="H867">
        <v>1841</v>
      </c>
      <c r="I867">
        <v>2</v>
      </c>
      <c r="J867">
        <v>117</v>
      </c>
      <c r="K867">
        <v>105</v>
      </c>
      <c r="L867" t="s">
        <v>3230</v>
      </c>
      <c r="M867" t="s">
        <v>3719</v>
      </c>
      <c r="N867" t="s">
        <v>1630</v>
      </c>
      <c r="O867" s="4">
        <v>45677.426099537</v>
      </c>
      <c r="P867" t="s">
        <v>57</v>
      </c>
      <c r="Q867" t="s">
        <v>1631</v>
      </c>
      <c r="R867" t="s">
        <v>3804</v>
      </c>
      <c r="T867" t="s">
        <v>57</v>
      </c>
    </row>
    <row r="868" ht="25.5" customHeight="1" spans="1:20">
      <c r="A868" t="s">
        <v>2163</v>
      </c>
      <c r="B868" t="s">
        <v>56</v>
      </c>
      <c r="C868" t="s">
        <v>3799</v>
      </c>
      <c r="D868" s="3"/>
      <c r="E868" s="2">
        <v>45678</v>
      </c>
      <c r="F868">
        <v>32900</v>
      </c>
      <c r="G868">
        <v>22000</v>
      </c>
      <c r="H868">
        <v>1841</v>
      </c>
      <c r="I868">
        <v>2</v>
      </c>
      <c r="J868">
        <v>117</v>
      </c>
      <c r="K868">
        <v>105</v>
      </c>
      <c r="L868" t="s">
        <v>3230</v>
      </c>
      <c r="M868" t="s">
        <v>3719</v>
      </c>
      <c r="N868" t="s">
        <v>1630</v>
      </c>
      <c r="O868" s="4">
        <v>45678.6323726852</v>
      </c>
      <c r="P868" t="s">
        <v>57</v>
      </c>
      <c r="Q868" t="s">
        <v>1631</v>
      </c>
      <c r="R868" t="s">
        <v>3804</v>
      </c>
      <c r="T868" t="s">
        <v>57</v>
      </c>
    </row>
    <row r="869" ht="25.5" customHeight="1" spans="1:20">
      <c r="A869" t="s">
        <v>2163</v>
      </c>
      <c r="B869" t="s">
        <v>56</v>
      </c>
      <c r="C869" t="s">
        <v>3799</v>
      </c>
      <c r="D869" s="3"/>
      <c r="E869" s="2">
        <v>45679</v>
      </c>
      <c r="F869">
        <v>32900</v>
      </c>
      <c r="G869">
        <v>22000</v>
      </c>
      <c r="H869">
        <v>1841</v>
      </c>
      <c r="I869">
        <v>2</v>
      </c>
      <c r="J869">
        <v>117</v>
      </c>
      <c r="K869">
        <v>105</v>
      </c>
      <c r="L869" t="s">
        <v>3230</v>
      </c>
      <c r="M869" t="s">
        <v>3719</v>
      </c>
      <c r="N869" t="s">
        <v>1630</v>
      </c>
      <c r="O869" s="4">
        <v>45679.6907986111</v>
      </c>
      <c r="P869" t="s">
        <v>57</v>
      </c>
      <c r="Q869" t="s">
        <v>1631</v>
      </c>
      <c r="R869" t="s">
        <v>3804</v>
      </c>
      <c r="T869" t="s">
        <v>57</v>
      </c>
    </row>
    <row r="870" ht="25.5" customHeight="1" spans="1:20">
      <c r="A870" t="s">
        <v>2163</v>
      </c>
      <c r="B870" t="s">
        <v>56</v>
      </c>
      <c r="C870" t="s">
        <v>3799</v>
      </c>
      <c r="D870" s="3"/>
      <c r="E870" s="2">
        <v>45680</v>
      </c>
      <c r="F870">
        <v>32900</v>
      </c>
      <c r="G870">
        <v>22000</v>
      </c>
      <c r="H870">
        <v>1841</v>
      </c>
      <c r="I870">
        <v>2</v>
      </c>
      <c r="J870">
        <v>117</v>
      </c>
      <c r="K870">
        <v>105</v>
      </c>
      <c r="L870" t="s">
        <v>3230</v>
      </c>
      <c r="M870" t="s">
        <v>3719</v>
      </c>
      <c r="N870" t="s">
        <v>1630</v>
      </c>
      <c r="O870" s="4">
        <v>45680.6457523148</v>
      </c>
      <c r="P870" t="s">
        <v>57</v>
      </c>
      <c r="Q870" t="s">
        <v>1631</v>
      </c>
      <c r="R870" t="s">
        <v>3804</v>
      </c>
      <c r="T870" t="s">
        <v>57</v>
      </c>
    </row>
    <row r="871" ht="25.5" customHeight="1" spans="1:20">
      <c r="A871" t="s">
        <v>2163</v>
      </c>
      <c r="B871" t="s">
        <v>56</v>
      </c>
      <c r="C871" t="s">
        <v>3799</v>
      </c>
      <c r="D871" s="3"/>
      <c r="E871" s="2">
        <v>45681</v>
      </c>
      <c r="F871">
        <v>32900</v>
      </c>
      <c r="G871">
        <v>22000</v>
      </c>
      <c r="H871">
        <v>1841</v>
      </c>
      <c r="I871">
        <v>2</v>
      </c>
      <c r="J871">
        <v>117</v>
      </c>
      <c r="K871">
        <v>105</v>
      </c>
      <c r="L871" t="s">
        <v>3230</v>
      </c>
      <c r="M871" t="s">
        <v>3719</v>
      </c>
      <c r="N871" t="s">
        <v>1630</v>
      </c>
      <c r="O871" s="4">
        <v>45681.6048842593</v>
      </c>
      <c r="P871" t="s">
        <v>57</v>
      </c>
      <c r="Q871" t="s">
        <v>1631</v>
      </c>
      <c r="R871" t="s">
        <v>3804</v>
      </c>
      <c r="T871" t="s">
        <v>57</v>
      </c>
    </row>
    <row r="872" ht="25.5" customHeight="1" spans="1:20">
      <c r="A872" t="s">
        <v>2163</v>
      </c>
      <c r="B872" t="s">
        <v>56</v>
      </c>
      <c r="C872" t="s">
        <v>3799</v>
      </c>
      <c r="D872" s="3"/>
      <c r="E872" s="2">
        <v>45683</v>
      </c>
      <c r="F872">
        <v>32900</v>
      </c>
      <c r="G872">
        <v>22000</v>
      </c>
      <c r="H872">
        <v>1841</v>
      </c>
      <c r="I872">
        <v>2</v>
      </c>
      <c r="J872">
        <v>117</v>
      </c>
      <c r="K872">
        <v>105</v>
      </c>
      <c r="L872" t="s">
        <v>3230</v>
      </c>
      <c r="M872" t="s">
        <v>3719</v>
      </c>
      <c r="N872" t="s">
        <v>1630</v>
      </c>
      <c r="O872" s="4">
        <v>45683.7633217593</v>
      </c>
      <c r="P872" t="s">
        <v>57</v>
      </c>
      <c r="Q872" t="s">
        <v>1631</v>
      </c>
      <c r="R872" t="s">
        <v>3804</v>
      </c>
      <c r="T872" t="s">
        <v>57</v>
      </c>
    </row>
    <row r="873" ht="25.5" customHeight="1" spans="1:20">
      <c r="A873" t="s">
        <v>2163</v>
      </c>
      <c r="B873" t="s">
        <v>56</v>
      </c>
      <c r="C873" t="s">
        <v>3799</v>
      </c>
      <c r="D873" s="3"/>
      <c r="E873" s="2">
        <v>45684</v>
      </c>
      <c r="F873">
        <v>32900</v>
      </c>
      <c r="G873">
        <v>22000</v>
      </c>
      <c r="H873">
        <v>1841</v>
      </c>
      <c r="I873">
        <v>2</v>
      </c>
      <c r="J873">
        <v>117</v>
      </c>
      <c r="K873">
        <v>105</v>
      </c>
      <c r="L873" t="s">
        <v>3230</v>
      </c>
      <c r="M873" t="s">
        <v>3719</v>
      </c>
      <c r="N873" t="s">
        <v>1630</v>
      </c>
      <c r="O873" s="4">
        <v>45684.8302546296</v>
      </c>
      <c r="P873" t="s">
        <v>57</v>
      </c>
      <c r="Q873" t="s">
        <v>1631</v>
      </c>
      <c r="R873" t="s">
        <v>3804</v>
      </c>
      <c r="T873" t="s">
        <v>57</v>
      </c>
    </row>
    <row r="874" ht="25.5" customHeight="1" spans="1:20">
      <c r="A874" t="s">
        <v>2163</v>
      </c>
      <c r="B874" t="s">
        <v>56</v>
      </c>
      <c r="C874" t="s">
        <v>3799</v>
      </c>
      <c r="D874" s="3"/>
      <c r="E874" s="2">
        <v>45693</v>
      </c>
      <c r="F874">
        <v>32900</v>
      </c>
      <c r="G874">
        <v>22000</v>
      </c>
      <c r="H874">
        <v>1842</v>
      </c>
      <c r="I874">
        <v>2</v>
      </c>
      <c r="J874">
        <v>117</v>
      </c>
      <c r="K874">
        <v>105</v>
      </c>
      <c r="L874" t="s">
        <v>3230</v>
      </c>
      <c r="M874" t="s">
        <v>3719</v>
      </c>
      <c r="N874" t="s">
        <v>1630</v>
      </c>
      <c r="O874" s="4">
        <v>45693.8198032407</v>
      </c>
      <c r="P874" t="s">
        <v>57</v>
      </c>
      <c r="Q874" t="s">
        <v>1631</v>
      </c>
      <c r="R874" t="s">
        <v>3805</v>
      </c>
      <c r="T874" t="s">
        <v>57</v>
      </c>
    </row>
    <row r="875" ht="25.5" customHeight="1" spans="1:20">
      <c r="A875" t="s">
        <v>2163</v>
      </c>
      <c r="B875" t="s">
        <v>56</v>
      </c>
      <c r="C875" t="s">
        <v>3799</v>
      </c>
      <c r="D875" s="3"/>
      <c r="E875" s="2">
        <v>45694</v>
      </c>
      <c r="F875">
        <v>32900</v>
      </c>
      <c r="G875">
        <v>22000</v>
      </c>
      <c r="H875">
        <v>1842</v>
      </c>
      <c r="I875">
        <v>2</v>
      </c>
      <c r="J875">
        <v>117</v>
      </c>
      <c r="K875">
        <v>105</v>
      </c>
      <c r="L875" t="s">
        <v>3230</v>
      </c>
      <c r="M875" t="s">
        <v>3719</v>
      </c>
      <c r="N875" t="s">
        <v>1630</v>
      </c>
      <c r="O875" s="4">
        <v>45698.6216782407</v>
      </c>
      <c r="P875" t="s">
        <v>57</v>
      </c>
      <c r="Q875" t="s">
        <v>1631</v>
      </c>
      <c r="R875" t="s">
        <v>3805</v>
      </c>
      <c r="S875" t="s">
        <v>3180</v>
      </c>
      <c r="T875" t="s">
        <v>57</v>
      </c>
    </row>
    <row r="876" ht="25.5" customHeight="1" spans="1:20">
      <c r="A876" t="s">
        <v>2989</v>
      </c>
      <c r="B876" t="s">
        <v>56</v>
      </c>
      <c r="D876" s="3"/>
      <c r="E876" s="2"/>
      <c r="M876" t="s">
        <v>3485</v>
      </c>
      <c r="N876" t="s">
        <v>1645</v>
      </c>
      <c r="O876" s="4">
        <v>45670.743587963</v>
      </c>
      <c r="P876" t="s">
        <v>57</v>
      </c>
      <c r="R876" t="s">
        <v>3133</v>
      </c>
      <c r="T876" t="s">
        <v>57</v>
      </c>
    </row>
    <row r="877" ht="25.5" customHeight="1" spans="1:20">
      <c r="A877" t="s">
        <v>2892</v>
      </c>
      <c r="B877" t="s">
        <v>3806</v>
      </c>
      <c r="C877" t="s">
        <v>3807</v>
      </c>
      <c r="D877" s="3"/>
      <c r="E877" s="2"/>
      <c r="M877" t="s">
        <v>3808</v>
      </c>
      <c r="N877" t="s">
        <v>3277</v>
      </c>
      <c r="O877" s="4">
        <v>45670.743587963</v>
      </c>
      <c r="P877" t="s">
        <v>3809</v>
      </c>
      <c r="R877" t="s">
        <v>3133</v>
      </c>
      <c r="T877" t="s">
        <v>3809</v>
      </c>
    </row>
    <row r="878" ht="25.5" customHeight="1" spans="1:20">
      <c r="A878" t="s">
        <v>2892</v>
      </c>
      <c r="B878" t="s">
        <v>3806</v>
      </c>
      <c r="C878" t="s">
        <v>3807</v>
      </c>
      <c r="D878" s="3"/>
      <c r="E878" s="2"/>
      <c r="M878" t="s">
        <v>3808</v>
      </c>
      <c r="N878" t="s">
        <v>3277</v>
      </c>
      <c r="O878" s="4">
        <v>45670.743587963</v>
      </c>
      <c r="P878" t="s">
        <v>3809</v>
      </c>
      <c r="R878" t="s">
        <v>3133</v>
      </c>
      <c r="T878" t="s">
        <v>3809</v>
      </c>
    </row>
    <row r="879" ht="25.5" customHeight="1" spans="1:20">
      <c r="A879" t="s">
        <v>1910</v>
      </c>
      <c r="B879" t="s">
        <v>65</v>
      </c>
      <c r="C879" t="s">
        <v>3810</v>
      </c>
      <c r="D879" s="3" t="str">
        <f>HYPERLINK("https://www.instagram.com/mago_jp_oficial/reels/","https://www.instagram.com/mago_jp_oficial/reels/")</f>
        <v>https://www.instagram.com/mago_jp_oficial/reels/</v>
      </c>
      <c r="E879" s="2">
        <v>45672</v>
      </c>
      <c r="F879">
        <v>920000</v>
      </c>
      <c r="G879">
        <v>41100</v>
      </c>
      <c r="H879">
        <v>1025</v>
      </c>
      <c r="I879">
        <v>37</v>
      </c>
      <c r="L879" t="s">
        <v>3138</v>
      </c>
      <c r="M879" t="s">
        <v>3811</v>
      </c>
      <c r="N879" t="s">
        <v>1630</v>
      </c>
      <c r="O879" s="4">
        <v>45674.6243171296</v>
      </c>
      <c r="P879" t="s">
        <v>116</v>
      </c>
      <c r="Q879" t="s">
        <v>1913</v>
      </c>
      <c r="R879" t="s">
        <v>3812</v>
      </c>
      <c r="T879" t="s">
        <v>116</v>
      </c>
    </row>
    <row r="880" ht="25.5" customHeight="1" spans="1:20">
      <c r="A880" t="s">
        <v>1910</v>
      </c>
      <c r="B880" t="s">
        <v>65</v>
      </c>
      <c r="C880" t="s">
        <v>3810</v>
      </c>
      <c r="D880" s="3"/>
      <c r="E880" s="2">
        <v>45674</v>
      </c>
      <c r="F880">
        <v>921000</v>
      </c>
      <c r="G880">
        <v>46000</v>
      </c>
      <c r="H880">
        <v>1139</v>
      </c>
      <c r="I880">
        <v>39</v>
      </c>
      <c r="L880" t="s">
        <v>3138</v>
      </c>
      <c r="M880" t="s">
        <v>3811</v>
      </c>
      <c r="N880" t="s">
        <v>1630</v>
      </c>
      <c r="O880" s="4">
        <v>45674.6245023148</v>
      </c>
      <c r="P880" t="s">
        <v>116</v>
      </c>
      <c r="Q880" t="s">
        <v>1913</v>
      </c>
      <c r="R880" t="s">
        <v>3813</v>
      </c>
      <c r="T880" t="s">
        <v>116</v>
      </c>
    </row>
    <row r="881" ht="25.5" customHeight="1" spans="1:20">
      <c r="A881" t="s">
        <v>1910</v>
      </c>
      <c r="B881" t="s">
        <v>65</v>
      </c>
      <c r="C881" t="s">
        <v>3810</v>
      </c>
      <c r="D881" s="3"/>
      <c r="E881" s="2">
        <v>45677</v>
      </c>
      <c r="F881">
        <v>922000</v>
      </c>
      <c r="G881">
        <v>51300</v>
      </c>
      <c r="H881">
        <v>1276</v>
      </c>
      <c r="I881">
        <v>41</v>
      </c>
      <c r="L881" t="s">
        <v>3138</v>
      </c>
      <c r="M881" t="s">
        <v>3811</v>
      </c>
      <c r="N881" t="s">
        <v>1630</v>
      </c>
      <c r="O881" s="4">
        <v>45677.4024421296</v>
      </c>
      <c r="P881" t="s">
        <v>116</v>
      </c>
      <c r="Q881" t="s">
        <v>1913</v>
      </c>
      <c r="R881" t="s">
        <v>3814</v>
      </c>
      <c r="T881" t="s">
        <v>116</v>
      </c>
    </row>
    <row r="882" ht="25.5" customHeight="1" spans="1:20">
      <c r="A882" t="s">
        <v>1910</v>
      </c>
      <c r="B882" t="s">
        <v>65</v>
      </c>
      <c r="C882" t="s">
        <v>3810</v>
      </c>
      <c r="D882" s="3"/>
      <c r="E882" s="2">
        <v>45678</v>
      </c>
      <c r="F882">
        <v>923000</v>
      </c>
      <c r="G882">
        <v>52800</v>
      </c>
      <c r="H882">
        <v>1310</v>
      </c>
      <c r="I882">
        <v>41</v>
      </c>
      <c r="L882" t="s">
        <v>3138</v>
      </c>
      <c r="M882" t="s">
        <v>3811</v>
      </c>
      <c r="N882" t="s">
        <v>1630</v>
      </c>
      <c r="O882" s="4">
        <v>45678.4997337963</v>
      </c>
      <c r="P882" t="s">
        <v>116</v>
      </c>
      <c r="Q882" t="s">
        <v>1913</v>
      </c>
      <c r="R882" t="s">
        <v>3815</v>
      </c>
      <c r="T882" t="s">
        <v>116</v>
      </c>
    </row>
    <row r="883" ht="25.5" customHeight="1" spans="1:20">
      <c r="A883" t="s">
        <v>1910</v>
      </c>
      <c r="B883" t="s">
        <v>65</v>
      </c>
      <c r="C883" t="s">
        <v>3810</v>
      </c>
      <c r="D883" s="3"/>
      <c r="E883" s="2">
        <v>45679</v>
      </c>
      <c r="F883">
        <v>923000</v>
      </c>
      <c r="G883">
        <v>53500</v>
      </c>
      <c r="H883">
        <v>1327</v>
      </c>
      <c r="I883">
        <v>41</v>
      </c>
      <c r="L883" t="s">
        <v>3138</v>
      </c>
      <c r="M883" t="s">
        <v>3811</v>
      </c>
      <c r="N883" t="s">
        <v>1630</v>
      </c>
      <c r="O883" s="4">
        <v>45679.6614699074</v>
      </c>
      <c r="P883" t="s">
        <v>116</v>
      </c>
      <c r="Q883" t="s">
        <v>1913</v>
      </c>
      <c r="R883" t="s">
        <v>3816</v>
      </c>
      <c r="T883" t="s">
        <v>116</v>
      </c>
    </row>
    <row r="884" ht="25.5" customHeight="1" spans="1:20">
      <c r="A884" t="s">
        <v>1910</v>
      </c>
      <c r="B884" t="s">
        <v>65</v>
      </c>
      <c r="C884" t="s">
        <v>3810</v>
      </c>
      <c r="D884" s="3"/>
      <c r="E884" s="2">
        <v>45680</v>
      </c>
      <c r="F884">
        <v>924000</v>
      </c>
      <c r="G884">
        <v>54100</v>
      </c>
      <c r="H884">
        <v>1340</v>
      </c>
      <c r="I884">
        <v>41</v>
      </c>
      <c r="L884" t="s">
        <v>3138</v>
      </c>
      <c r="M884" t="s">
        <v>3811</v>
      </c>
      <c r="N884" t="s">
        <v>1630</v>
      </c>
      <c r="O884" s="4">
        <v>45680.5113541667</v>
      </c>
      <c r="P884" t="s">
        <v>116</v>
      </c>
      <c r="Q884" t="s">
        <v>1913</v>
      </c>
      <c r="R884" t="s">
        <v>3817</v>
      </c>
      <c r="T884" t="s">
        <v>116</v>
      </c>
    </row>
    <row r="885" ht="25.5" customHeight="1" spans="1:20">
      <c r="A885" t="s">
        <v>1910</v>
      </c>
      <c r="B885" t="s">
        <v>65</v>
      </c>
      <c r="C885" t="s">
        <v>3810</v>
      </c>
      <c r="D885" s="3"/>
      <c r="E885" s="2">
        <v>45681</v>
      </c>
      <c r="F885">
        <v>924000</v>
      </c>
      <c r="G885">
        <v>54800</v>
      </c>
      <c r="H885">
        <v>1352</v>
      </c>
      <c r="I885">
        <v>41</v>
      </c>
      <c r="L885" t="s">
        <v>3138</v>
      </c>
      <c r="M885" t="s">
        <v>3811</v>
      </c>
      <c r="N885" t="s">
        <v>1630</v>
      </c>
      <c r="O885" s="4">
        <v>45681.4902546296</v>
      </c>
      <c r="P885" t="s">
        <v>116</v>
      </c>
      <c r="Q885" t="s">
        <v>1913</v>
      </c>
      <c r="R885" t="s">
        <v>3818</v>
      </c>
      <c r="T885" t="s">
        <v>116</v>
      </c>
    </row>
    <row r="886" ht="25.5" customHeight="1" spans="1:20">
      <c r="A886" t="s">
        <v>1910</v>
      </c>
      <c r="B886" t="s">
        <v>65</v>
      </c>
      <c r="C886" t="s">
        <v>3810</v>
      </c>
      <c r="D886" s="3"/>
      <c r="E886" s="2">
        <v>45683</v>
      </c>
      <c r="F886">
        <v>926000</v>
      </c>
      <c r="G886">
        <v>56600</v>
      </c>
      <c r="H886">
        <v>1386</v>
      </c>
      <c r="I886">
        <v>41</v>
      </c>
      <c r="L886" t="s">
        <v>3138</v>
      </c>
      <c r="M886" t="s">
        <v>3811</v>
      </c>
      <c r="N886" t="s">
        <v>1630</v>
      </c>
      <c r="O886" s="4">
        <v>45683.7125694444</v>
      </c>
      <c r="P886" t="s">
        <v>116</v>
      </c>
      <c r="Q886" t="s">
        <v>1913</v>
      </c>
      <c r="R886" t="s">
        <v>3819</v>
      </c>
      <c r="T886" t="s">
        <v>116</v>
      </c>
    </row>
    <row r="887" ht="25.5" customHeight="1" spans="1:20">
      <c r="A887" t="s">
        <v>1910</v>
      </c>
      <c r="B887" t="s">
        <v>65</v>
      </c>
      <c r="C887" t="s">
        <v>3810</v>
      </c>
      <c r="D887" s="3"/>
      <c r="E887" s="2">
        <v>45684</v>
      </c>
      <c r="F887">
        <v>927000</v>
      </c>
      <c r="G887">
        <v>57400</v>
      </c>
      <c r="H887">
        <v>1398</v>
      </c>
      <c r="I887">
        <v>42</v>
      </c>
      <c r="L887" t="s">
        <v>3138</v>
      </c>
      <c r="M887" t="s">
        <v>3811</v>
      </c>
      <c r="N887" t="s">
        <v>1630</v>
      </c>
      <c r="O887" s="4">
        <v>45684.7744560185</v>
      </c>
      <c r="P887" t="s">
        <v>116</v>
      </c>
      <c r="Q887" t="s">
        <v>1913</v>
      </c>
      <c r="R887" t="s">
        <v>3820</v>
      </c>
      <c r="T887" t="s">
        <v>116</v>
      </c>
    </row>
    <row r="888" ht="25.5" customHeight="1" spans="1:20">
      <c r="A888" t="s">
        <v>1910</v>
      </c>
      <c r="B888" t="s">
        <v>65</v>
      </c>
      <c r="C888" t="s">
        <v>3810</v>
      </c>
      <c r="D888" s="3"/>
      <c r="E888" s="2">
        <v>45693</v>
      </c>
      <c r="F888">
        <v>931000</v>
      </c>
      <c r="G888">
        <v>61000</v>
      </c>
      <c r="H888">
        <v>1465</v>
      </c>
      <c r="I888">
        <v>42</v>
      </c>
      <c r="L888" t="s">
        <v>3138</v>
      </c>
      <c r="M888" t="s">
        <v>3811</v>
      </c>
      <c r="N888" t="s">
        <v>1630</v>
      </c>
      <c r="O888" s="4">
        <v>45693.7750694444</v>
      </c>
      <c r="P888" t="s">
        <v>116</v>
      </c>
      <c r="Q888" t="s">
        <v>1913</v>
      </c>
      <c r="R888" t="s">
        <v>3821</v>
      </c>
      <c r="T888" t="s">
        <v>116</v>
      </c>
    </row>
    <row r="889" ht="25.5" customHeight="1" spans="1:20">
      <c r="A889" t="s">
        <v>1910</v>
      </c>
      <c r="B889" t="s">
        <v>65</v>
      </c>
      <c r="C889" t="s">
        <v>3810</v>
      </c>
      <c r="D889" s="3"/>
      <c r="E889" s="2">
        <v>45694</v>
      </c>
      <c r="F889">
        <v>931000</v>
      </c>
      <c r="G889">
        <v>61300</v>
      </c>
      <c r="H889">
        <v>1471</v>
      </c>
      <c r="I889">
        <v>42</v>
      </c>
      <c r="L889" t="s">
        <v>3138</v>
      </c>
      <c r="M889" t="s">
        <v>3811</v>
      </c>
      <c r="N889" t="s">
        <v>1630</v>
      </c>
      <c r="O889" s="4">
        <v>45698.6216782407</v>
      </c>
      <c r="P889" t="s">
        <v>116</v>
      </c>
      <c r="Q889" t="s">
        <v>1913</v>
      </c>
      <c r="R889" t="s">
        <v>3822</v>
      </c>
      <c r="S889" t="s">
        <v>3169</v>
      </c>
      <c r="T889" t="s">
        <v>116</v>
      </c>
    </row>
    <row r="890" ht="25.5" customHeight="1" spans="1:20">
      <c r="A890" t="s">
        <v>1910</v>
      </c>
      <c r="B890" t="s">
        <v>65</v>
      </c>
      <c r="C890" t="s">
        <v>3810</v>
      </c>
      <c r="D890" s="3"/>
      <c r="E890" s="2">
        <v>45695</v>
      </c>
      <c r="F890">
        <v>932000</v>
      </c>
      <c r="G890">
        <v>61500</v>
      </c>
      <c r="H890">
        <v>1475</v>
      </c>
      <c r="I890">
        <v>42</v>
      </c>
      <c r="L890" t="s">
        <v>3138</v>
      </c>
      <c r="M890" t="s">
        <v>3811</v>
      </c>
      <c r="N890" t="s">
        <v>1630</v>
      </c>
      <c r="O890" s="4">
        <v>45695.4847685185</v>
      </c>
      <c r="P890" t="s">
        <v>116</v>
      </c>
      <c r="Q890" t="s">
        <v>1913</v>
      </c>
      <c r="R890" t="s">
        <v>3823</v>
      </c>
      <c r="T890" t="s">
        <v>116</v>
      </c>
    </row>
    <row r="891" ht="25.5" customHeight="1" spans="1:20">
      <c r="A891" t="s">
        <v>1910</v>
      </c>
      <c r="B891" t="s">
        <v>65</v>
      </c>
      <c r="C891" t="s">
        <v>3810</v>
      </c>
      <c r="D891" s="3"/>
      <c r="E891" s="2">
        <v>45696</v>
      </c>
      <c r="F891">
        <v>933000</v>
      </c>
      <c r="G891">
        <v>61700</v>
      </c>
      <c r="H891">
        <v>1475</v>
      </c>
      <c r="I891">
        <v>42</v>
      </c>
      <c r="L891" t="s">
        <v>3138</v>
      </c>
      <c r="M891" t="s">
        <v>3811</v>
      </c>
      <c r="N891" t="s">
        <v>1630</v>
      </c>
      <c r="O891" s="4">
        <v>45696.4480439815</v>
      </c>
      <c r="P891" t="s">
        <v>116</v>
      </c>
      <c r="Q891" t="s">
        <v>1913</v>
      </c>
      <c r="R891" t="s">
        <v>3823</v>
      </c>
      <c r="T891" t="s">
        <v>116</v>
      </c>
    </row>
    <row r="892" ht="25.5" customHeight="1" spans="1:20">
      <c r="A892" t="s">
        <v>2310</v>
      </c>
      <c r="B892" t="s">
        <v>65</v>
      </c>
      <c r="C892" t="s">
        <v>3824</v>
      </c>
      <c r="D892" s="3" t="str">
        <f>HYPERLINK("https://www.instagram.com/thejeremymura/","https://www.instagram.com/thejeremymura/")</f>
        <v>https://www.instagram.com/thejeremymura/</v>
      </c>
      <c r="E892" s="2">
        <v>45674</v>
      </c>
      <c r="F892">
        <v>101000</v>
      </c>
      <c r="G892">
        <v>1564</v>
      </c>
      <c r="H892">
        <v>35</v>
      </c>
      <c r="I892">
        <v>9</v>
      </c>
      <c r="L892" t="s">
        <v>3138</v>
      </c>
      <c r="M892" t="s">
        <v>3825</v>
      </c>
      <c r="N892" t="s">
        <v>1630</v>
      </c>
      <c r="O892" s="4">
        <v>45695.4871759259</v>
      </c>
      <c r="P892" t="s">
        <v>66</v>
      </c>
      <c r="Q892" t="s">
        <v>1631</v>
      </c>
      <c r="R892" t="s">
        <v>3507</v>
      </c>
      <c r="T892" t="s">
        <v>66</v>
      </c>
    </row>
    <row r="893" ht="25.5" customHeight="1" spans="1:20">
      <c r="A893" t="s">
        <v>2310</v>
      </c>
      <c r="B893" t="s">
        <v>65</v>
      </c>
      <c r="C893" t="s">
        <v>3824</v>
      </c>
      <c r="D893" s="3"/>
      <c r="E893" s="2">
        <v>45677</v>
      </c>
      <c r="F893">
        <v>101000</v>
      </c>
      <c r="G893">
        <v>1564</v>
      </c>
      <c r="H893">
        <v>44</v>
      </c>
      <c r="I893">
        <v>9</v>
      </c>
      <c r="L893" t="s">
        <v>3138</v>
      </c>
      <c r="M893" t="s">
        <v>3825</v>
      </c>
      <c r="N893" t="s">
        <v>1630</v>
      </c>
      <c r="O893" s="4">
        <v>45695.4871875</v>
      </c>
      <c r="P893" t="s">
        <v>66</v>
      </c>
      <c r="Q893" t="s">
        <v>1631</v>
      </c>
      <c r="R893" t="s">
        <v>3271</v>
      </c>
      <c r="T893" t="s">
        <v>66</v>
      </c>
    </row>
    <row r="894" ht="25.5" customHeight="1" spans="1:20">
      <c r="A894" t="s">
        <v>2310</v>
      </c>
      <c r="B894" t="s">
        <v>65</v>
      </c>
      <c r="C894" t="s">
        <v>3824</v>
      </c>
      <c r="D894" s="3"/>
      <c r="E894" s="2">
        <v>45678</v>
      </c>
      <c r="F894">
        <v>101000</v>
      </c>
      <c r="G894">
        <v>1564</v>
      </c>
      <c r="H894">
        <v>45</v>
      </c>
      <c r="I894">
        <v>9</v>
      </c>
      <c r="L894" t="s">
        <v>3138</v>
      </c>
      <c r="M894" t="s">
        <v>3825</v>
      </c>
      <c r="N894" t="s">
        <v>1630</v>
      </c>
      <c r="O894" s="4">
        <v>45695.4871990741</v>
      </c>
      <c r="P894" t="s">
        <v>66</v>
      </c>
      <c r="Q894" t="s">
        <v>1631</v>
      </c>
      <c r="R894" t="s">
        <v>3272</v>
      </c>
      <c r="T894" t="s">
        <v>66</v>
      </c>
    </row>
    <row r="895" ht="25.5" customHeight="1" spans="1:20">
      <c r="A895" t="s">
        <v>2310</v>
      </c>
      <c r="B895" t="s">
        <v>65</v>
      </c>
      <c r="C895" t="s">
        <v>3824</v>
      </c>
      <c r="D895" s="3"/>
      <c r="E895" s="2">
        <v>45679</v>
      </c>
      <c r="F895">
        <v>101000</v>
      </c>
      <c r="G895">
        <v>1564</v>
      </c>
      <c r="H895">
        <v>47</v>
      </c>
      <c r="I895">
        <v>9</v>
      </c>
      <c r="L895" t="s">
        <v>3138</v>
      </c>
      <c r="M895" t="s">
        <v>3825</v>
      </c>
      <c r="N895" t="s">
        <v>1630</v>
      </c>
      <c r="O895" s="4">
        <v>45695.4871990741</v>
      </c>
      <c r="P895" t="s">
        <v>66</v>
      </c>
      <c r="Q895" t="s">
        <v>1631</v>
      </c>
      <c r="R895" t="s">
        <v>3273</v>
      </c>
      <c r="T895" t="s">
        <v>66</v>
      </c>
    </row>
    <row r="896" ht="25.5" customHeight="1" spans="1:20">
      <c r="A896" t="s">
        <v>2310</v>
      </c>
      <c r="B896" t="s">
        <v>65</v>
      </c>
      <c r="C896" t="s">
        <v>3824</v>
      </c>
      <c r="D896" s="3"/>
      <c r="E896" s="2">
        <v>45680</v>
      </c>
      <c r="F896">
        <v>101000</v>
      </c>
      <c r="G896">
        <v>1564</v>
      </c>
      <c r="H896">
        <v>47</v>
      </c>
      <c r="I896">
        <v>9</v>
      </c>
      <c r="L896" t="s">
        <v>3138</v>
      </c>
      <c r="M896" t="s">
        <v>3825</v>
      </c>
      <c r="N896" t="s">
        <v>1630</v>
      </c>
      <c r="O896" s="4">
        <v>45695.4871990741</v>
      </c>
      <c r="P896" t="s">
        <v>66</v>
      </c>
      <c r="Q896" t="s">
        <v>1631</v>
      </c>
      <c r="R896" t="s">
        <v>3273</v>
      </c>
      <c r="T896" t="s">
        <v>66</v>
      </c>
    </row>
    <row r="897" ht="25.5" customHeight="1" spans="1:20">
      <c r="A897" t="s">
        <v>2310</v>
      </c>
      <c r="B897" t="s">
        <v>65</v>
      </c>
      <c r="C897" t="s">
        <v>3824</v>
      </c>
      <c r="D897" s="3"/>
      <c r="E897" s="2">
        <v>45681</v>
      </c>
      <c r="F897">
        <v>101000</v>
      </c>
      <c r="G897">
        <v>1564</v>
      </c>
      <c r="H897">
        <v>48</v>
      </c>
      <c r="I897">
        <v>9</v>
      </c>
      <c r="L897" t="s">
        <v>3138</v>
      </c>
      <c r="M897" t="s">
        <v>3825</v>
      </c>
      <c r="N897" t="s">
        <v>1630</v>
      </c>
      <c r="O897" s="4">
        <v>45695.4872222222</v>
      </c>
      <c r="P897" t="s">
        <v>66</v>
      </c>
      <c r="Q897" t="s">
        <v>1631</v>
      </c>
      <c r="R897" t="s">
        <v>3395</v>
      </c>
      <c r="T897" t="s">
        <v>66</v>
      </c>
    </row>
    <row r="898" ht="25.5" customHeight="1" spans="1:20">
      <c r="A898" t="s">
        <v>2310</v>
      </c>
      <c r="B898" t="s">
        <v>65</v>
      </c>
      <c r="C898" t="s">
        <v>3824</v>
      </c>
      <c r="D898" s="3"/>
      <c r="E898" s="2">
        <v>45683</v>
      </c>
      <c r="F898">
        <v>101000</v>
      </c>
      <c r="G898">
        <v>1564</v>
      </c>
      <c r="H898">
        <v>48</v>
      </c>
      <c r="I898">
        <v>9</v>
      </c>
      <c r="L898" t="s">
        <v>3138</v>
      </c>
      <c r="M898" t="s">
        <v>3825</v>
      </c>
      <c r="N898" t="s">
        <v>1630</v>
      </c>
      <c r="O898" s="4">
        <v>45695.4872222222</v>
      </c>
      <c r="P898" t="s">
        <v>66</v>
      </c>
      <c r="Q898" t="s">
        <v>1631</v>
      </c>
      <c r="R898" t="s">
        <v>3395</v>
      </c>
      <c r="T898" t="s">
        <v>66</v>
      </c>
    </row>
    <row r="899" ht="25.5" customHeight="1" spans="1:20">
      <c r="A899" t="s">
        <v>2310</v>
      </c>
      <c r="B899" t="s">
        <v>65</v>
      </c>
      <c r="C899" t="s">
        <v>3824</v>
      </c>
      <c r="D899" s="3"/>
      <c r="E899" s="2">
        <v>45684</v>
      </c>
      <c r="F899">
        <v>101000</v>
      </c>
      <c r="G899">
        <v>1564</v>
      </c>
      <c r="H899">
        <v>48</v>
      </c>
      <c r="I899">
        <v>9</v>
      </c>
      <c r="L899" t="s">
        <v>3138</v>
      </c>
      <c r="M899" t="s">
        <v>3825</v>
      </c>
      <c r="N899" t="s">
        <v>1630</v>
      </c>
      <c r="O899" s="4">
        <v>45695.4872337963</v>
      </c>
      <c r="P899" t="s">
        <v>66</v>
      </c>
      <c r="Q899" t="s">
        <v>1631</v>
      </c>
      <c r="R899" t="s">
        <v>3395</v>
      </c>
      <c r="T899" t="s">
        <v>66</v>
      </c>
    </row>
    <row r="900" ht="25.5" customHeight="1" spans="1:20">
      <c r="A900" t="s">
        <v>2310</v>
      </c>
      <c r="B900" t="s">
        <v>65</v>
      </c>
      <c r="C900" t="s">
        <v>3824</v>
      </c>
      <c r="D900" s="3"/>
      <c r="E900" s="2">
        <v>45693</v>
      </c>
      <c r="F900">
        <v>101000</v>
      </c>
      <c r="G900">
        <v>1564</v>
      </c>
      <c r="H900">
        <v>49</v>
      </c>
      <c r="I900">
        <v>9</v>
      </c>
      <c r="L900" t="s">
        <v>3138</v>
      </c>
      <c r="M900" t="s">
        <v>3825</v>
      </c>
      <c r="N900" t="s">
        <v>1630</v>
      </c>
      <c r="O900" s="4">
        <v>45695.4872337963</v>
      </c>
      <c r="P900" t="s">
        <v>66</v>
      </c>
      <c r="Q900" t="s">
        <v>1631</v>
      </c>
      <c r="R900" t="s">
        <v>3299</v>
      </c>
      <c r="T900" t="s">
        <v>66</v>
      </c>
    </row>
    <row r="901" ht="25.5" customHeight="1" spans="1:20">
      <c r="A901" t="s">
        <v>2310</v>
      </c>
      <c r="B901" t="s">
        <v>65</v>
      </c>
      <c r="C901" t="s">
        <v>3824</v>
      </c>
      <c r="D901" s="3"/>
      <c r="E901" s="2">
        <v>45694</v>
      </c>
      <c r="F901">
        <v>101000</v>
      </c>
      <c r="G901">
        <v>1564</v>
      </c>
      <c r="H901">
        <v>50</v>
      </c>
      <c r="I901">
        <v>9</v>
      </c>
      <c r="L901" t="s">
        <v>3138</v>
      </c>
      <c r="M901" t="s">
        <v>3825</v>
      </c>
      <c r="N901" t="s">
        <v>1630</v>
      </c>
      <c r="O901" s="4">
        <v>45698.6216782407</v>
      </c>
      <c r="P901" t="s">
        <v>66</v>
      </c>
      <c r="Q901" t="s">
        <v>1631</v>
      </c>
      <c r="R901" t="s">
        <v>3790</v>
      </c>
      <c r="S901" t="s">
        <v>3245</v>
      </c>
      <c r="T901" t="s">
        <v>66</v>
      </c>
    </row>
    <row r="902" ht="25.5" customHeight="1" spans="1:20">
      <c r="A902" t="s">
        <v>2310</v>
      </c>
      <c r="B902" t="s">
        <v>65</v>
      </c>
      <c r="C902" t="s">
        <v>3824</v>
      </c>
      <c r="D902" s="3"/>
      <c r="E902" s="2">
        <v>45695</v>
      </c>
      <c r="F902">
        <v>101000</v>
      </c>
      <c r="G902">
        <v>1564</v>
      </c>
      <c r="H902">
        <v>50</v>
      </c>
      <c r="I902">
        <v>9</v>
      </c>
      <c r="L902" t="s">
        <v>3138</v>
      </c>
      <c r="M902" t="s">
        <v>3825</v>
      </c>
      <c r="N902" t="s">
        <v>1630</v>
      </c>
      <c r="O902" s="4">
        <v>45695.4872569444</v>
      </c>
      <c r="P902" t="s">
        <v>66</v>
      </c>
      <c r="Q902" t="s">
        <v>1631</v>
      </c>
      <c r="R902" t="s">
        <v>3790</v>
      </c>
      <c r="T902" t="s">
        <v>66</v>
      </c>
    </row>
    <row r="903" ht="25.5" customHeight="1" spans="1:20">
      <c r="A903" t="s">
        <v>2310</v>
      </c>
      <c r="B903" t="s">
        <v>65</v>
      </c>
      <c r="C903" t="s">
        <v>3824</v>
      </c>
      <c r="D903" s="3"/>
      <c r="E903" s="2">
        <v>45696</v>
      </c>
      <c r="F903">
        <v>101000</v>
      </c>
      <c r="G903">
        <v>1564</v>
      </c>
      <c r="H903">
        <v>50</v>
      </c>
      <c r="I903">
        <v>9</v>
      </c>
      <c r="L903" t="s">
        <v>3138</v>
      </c>
      <c r="M903" t="s">
        <v>3825</v>
      </c>
      <c r="N903" t="s">
        <v>1630</v>
      </c>
      <c r="O903" s="4">
        <v>45696.4480902778</v>
      </c>
      <c r="P903" t="s">
        <v>66</v>
      </c>
      <c r="Q903" t="s">
        <v>1631</v>
      </c>
      <c r="R903" t="s">
        <v>3790</v>
      </c>
      <c r="T903" t="s">
        <v>66</v>
      </c>
    </row>
    <row r="904" ht="25.5" customHeight="1" spans="1:18">
      <c r="A904" t="s">
        <v>3826</v>
      </c>
      <c r="D904" s="3"/>
      <c r="E904" s="2"/>
      <c r="O904" s="4">
        <v>45670.743587963</v>
      </c>
      <c r="R904" t="s">
        <v>3133</v>
      </c>
    </row>
    <row r="905" ht="25.5" customHeight="1" spans="1:20">
      <c r="A905" t="s">
        <v>2781</v>
      </c>
      <c r="B905" t="s">
        <v>56</v>
      </c>
      <c r="C905" t="s">
        <v>3827</v>
      </c>
      <c r="D905" s="3" t="str">
        <f>HYPERLINK("https://www.tiktok.com/@medicenjoca","https://www.tiktok.com/@medicenjoca")</f>
        <v>https://www.tiktok.com/@medicenjoca</v>
      </c>
      <c r="E905" s="2">
        <v>45667</v>
      </c>
      <c r="F905">
        <v>244800</v>
      </c>
      <c r="G905">
        <v>239800</v>
      </c>
      <c r="H905">
        <v>31600</v>
      </c>
      <c r="I905">
        <v>195</v>
      </c>
      <c r="J905">
        <v>4403</v>
      </c>
      <c r="K905">
        <v>3318</v>
      </c>
      <c r="L905" t="s">
        <v>3220</v>
      </c>
      <c r="M905" t="s">
        <v>3666</v>
      </c>
      <c r="N905" t="s">
        <v>1630</v>
      </c>
      <c r="O905" s="4">
        <v>45670.860787037</v>
      </c>
      <c r="P905" t="s">
        <v>57</v>
      </c>
      <c r="Q905" t="s">
        <v>97</v>
      </c>
      <c r="R905" t="s">
        <v>3828</v>
      </c>
      <c r="T905" t="s">
        <v>57</v>
      </c>
    </row>
    <row r="906" ht="25.5" customHeight="1" spans="1:20">
      <c r="A906" t="s">
        <v>2781</v>
      </c>
      <c r="B906" t="s">
        <v>56</v>
      </c>
      <c r="C906" t="s">
        <v>3827</v>
      </c>
      <c r="D906" s="3"/>
      <c r="E906" s="2">
        <v>45671</v>
      </c>
      <c r="F906">
        <v>244900</v>
      </c>
      <c r="G906">
        <v>255000</v>
      </c>
      <c r="H906">
        <v>33400</v>
      </c>
      <c r="I906">
        <v>205</v>
      </c>
      <c r="J906">
        <v>4644</v>
      </c>
      <c r="K906">
        <v>3519</v>
      </c>
      <c r="L906" t="s">
        <v>3220</v>
      </c>
      <c r="M906" t="s">
        <v>3666</v>
      </c>
      <c r="N906" t="s">
        <v>1630</v>
      </c>
      <c r="O906" s="4">
        <v>45672.5030092593</v>
      </c>
      <c r="P906" t="s">
        <v>57</v>
      </c>
      <c r="Q906" t="s">
        <v>97</v>
      </c>
      <c r="R906" t="s">
        <v>3829</v>
      </c>
      <c r="T906" t="s">
        <v>57</v>
      </c>
    </row>
    <row r="907" ht="25.5" customHeight="1" spans="1:20">
      <c r="A907" t="s">
        <v>2781</v>
      </c>
      <c r="B907" t="s">
        <v>56</v>
      </c>
      <c r="C907" t="s">
        <v>3827</v>
      </c>
      <c r="D907" s="3"/>
      <c r="E907" s="2">
        <v>45672</v>
      </c>
      <c r="F907">
        <v>245200</v>
      </c>
      <c r="G907">
        <v>262100</v>
      </c>
      <c r="H907">
        <v>34200</v>
      </c>
      <c r="I907">
        <v>212</v>
      </c>
      <c r="J907">
        <v>4762</v>
      </c>
      <c r="K907">
        <v>3606</v>
      </c>
      <c r="L907" t="s">
        <v>3220</v>
      </c>
      <c r="M907" t="s">
        <v>3666</v>
      </c>
      <c r="N907" t="s">
        <v>1630</v>
      </c>
      <c r="O907" s="4">
        <v>45672.519537037</v>
      </c>
      <c r="P907" t="s">
        <v>57</v>
      </c>
      <c r="Q907" t="s">
        <v>97</v>
      </c>
      <c r="R907" t="s">
        <v>3830</v>
      </c>
      <c r="T907" t="s">
        <v>57</v>
      </c>
    </row>
    <row r="908" ht="25.5" customHeight="1" spans="1:20">
      <c r="A908" t="s">
        <v>2781</v>
      </c>
      <c r="B908" t="s">
        <v>56</v>
      </c>
      <c r="C908" t="s">
        <v>3827</v>
      </c>
      <c r="D908" s="3"/>
      <c r="E908" s="2">
        <v>45673</v>
      </c>
      <c r="F908">
        <v>248400</v>
      </c>
      <c r="G908">
        <v>273700</v>
      </c>
      <c r="H908">
        <v>35400</v>
      </c>
      <c r="I908">
        <v>221</v>
      </c>
      <c r="J908">
        <v>4911</v>
      </c>
      <c r="K908">
        <v>3700</v>
      </c>
      <c r="L908" t="s">
        <v>3831</v>
      </c>
      <c r="M908" t="s">
        <v>3666</v>
      </c>
      <c r="N908" t="s">
        <v>1630</v>
      </c>
      <c r="O908" s="4">
        <v>45673.6086805556</v>
      </c>
      <c r="P908" t="s">
        <v>57</v>
      </c>
      <c r="Q908" t="s">
        <v>97</v>
      </c>
      <c r="R908" t="s">
        <v>3832</v>
      </c>
      <c r="T908" t="s">
        <v>57</v>
      </c>
    </row>
    <row r="909" ht="25.5" customHeight="1" spans="1:20">
      <c r="A909" t="s">
        <v>2781</v>
      </c>
      <c r="B909" t="s">
        <v>56</v>
      </c>
      <c r="C909" t="s">
        <v>3827</v>
      </c>
      <c r="D909" s="3"/>
      <c r="E909" s="2">
        <v>45674</v>
      </c>
      <c r="F909">
        <v>249500</v>
      </c>
      <c r="G909">
        <v>279100</v>
      </c>
      <c r="H909">
        <v>36000</v>
      </c>
      <c r="I909">
        <v>223</v>
      </c>
      <c r="J909">
        <v>4992</v>
      </c>
      <c r="K909">
        <v>3739</v>
      </c>
      <c r="L909" t="s">
        <v>3831</v>
      </c>
      <c r="M909" t="s">
        <v>3666</v>
      </c>
      <c r="N909" t="s">
        <v>1630</v>
      </c>
      <c r="O909" s="4">
        <v>45674.6700231481</v>
      </c>
      <c r="P909" t="s">
        <v>57</v>
      </c>
      <c r="Q909" t="s">
        <v>97</v>
      </c>
      <c r="R909" t="s">
        <v>3833</v>
      </c>
      <c r="T909" t="s">
        <v>57</v>
      </c>
    </row>
    <row r="910" ht="25.5" customHeight="1" spans="1:20">
      <c r="A910" t="s">
        <v>2781</v>
      </c>
      <c r="B910" t="s">
        <v>56</v>
      </c>
      <c r="C910" t="s">
        <v>3827</v>
      </c>
      <c r="D910" s="3"/>
      <c r="E910" s="2">
        <v>45677</v>
      </c>
      <c r="F910">
        <v>250600</v>
      </c>
      <c r="G910">
        <v>292200</v>
      </c>
      <c r="H910">
        <v>37200</v>
      </c>
      <c r="I910">
        <v>229</v>
      </c>
      <c r="J910">
        <v>5150</v>
      </c>
      <c r="K910">
        <v>3821</v>
      </c>
      <c r="L910" t="s">
        <v>3831</v>
      </c>
      <c r="M910" t="s">
        <v>3666</v>
      </c>
      <c r="N910" t="s">
        <v>1630</v>
      </c>
      <c r="O910" s="4">
        <v>45677.4263425926</v>
      </c>
      <c r="P910" t="s">
        <v>57</v>
      </c>
      <c r="Q910" t="s">
        <v>97</v>
      </c>
      <c r="R910" t="s">
        <v>3834</v>
      </c>
      <c r="T910" t="s">
        <v>57</v>
      </c>
    </row>
    <row r="911" ht="25.5" customHeight="1" spans="1:20">
      <c r="A911" t="s">
        <v>2781</v>
      </c>
      <c r="B911" t="s">
        <v>56</v>
      </c>
      <c r="C911" t="s">
        <v>3827</v>
      </c>
      <c r="D911" s="3"/>
      <c r="E911" s="2">
        <v>45678</v>
      </c>
      <c r="F911">
        <v>250700</v>
      </c>
      <c r="G911">
        <v>301400</v>
      </c>
      <c r="H911">
        <v>38000</v>
      </c>
      <c r="I911">
        <v>232</v>
      </c>
      <c r="J911">
        <v>5237</v>
      </c>
      <c r="K911">
        <v>3884</v>
      </c>
      <c r="L911" t="s">
        <v>3831</v>
      </c>
      <c r="M911" t="s">
        <v>3666</v>
      </c>
      <c r="N911" t="s">
        <v>1630</v>
      </c>
      <c r="O911" s="4">
        <v>45678.6332407407</v>
      </c>
      <c r="P911" t="s">
        <v>57</v>
      </c>
      <c r="Q911" t="s">
        <v>97</v>
      </c>
      <c r="R911" t="s">
        <v>3835</v>
      </c>
      <c r="T911" t="s">
        <v>57</v>
      </c>
    </row>
    <row r="912" ht="25.5" customHeight="1" spans="1:20">
      <c r="A912" t="s">
        <v>2781</v>
      </c>
      <c r="B912" t="s">
        <v>56</v>
      </c>
      <c r="C912" t="s">
        <v>3827</v>
      </c>
      <c r="D912" s="3"/>
      <c r="E912" s="2">
        <v>45679</v>
      </c>
      <c r="F912">
        <v>250900</v>
      </c>
      <c r="G912">
        <v>307100</v>
      </c>
      <c r="H912">
        <v>38500</v>
      </c>
      <c r="I912">
        <v>234</v>
      </c>
      <c r="J912">
        <v>5314</v>
      </c>
      <c r="K912">
        <v>3921</v>
      </c>
      <c r="L912" t="s">
        <v>3831</v>
      </c>
      <c r="M912" t="s">
        <v>3666</v>
      </c>
      <c r="N912" t="s">
        <v>1630</v>
      </c>
      <c r="O912" s="4">
        <v>45679.6911342593</v>
      </c>
      <c r="P912" t="s">
        <v>57</v>
      </c>
      <c r="Q912" t="s">
        <v>97</v>
      </c>
      <c r="R912" t="s">
        <v>3836</v>
      </c>
      <c r="T912" t="s">
        <v>57</v>
      </c>
    </row>
    <row r="913" ht="25.5" customHeight="1" spans="1:20">
      <c r="A913" t="s">
        <v>2781</v>
      </c>
      <c r="B913" t="s">
        <v>56</v>
      </c>
      <c r="C913" t="s">
        <v>3827</v>
      </c>
      <c r="D913" s="3"/>
      <c r="E913" s="2">
        <v>45680</v>
      </c>
      <c r="F913">
        <v>251100</v>
      </c>
      <c r="G913">
        <v>313500</v>
      </c>
      <c r="H913">
        <v>39100</v>
      </c>
      <c r="I913">
        <v>240</v>
      </c>
      <c r="J913">
        <v>5398</v>
      </c>
      <c r="K913">
        <v>3969</v>
      </c>
      <c r="L913" t="s">
        <v>3831</v>
      </c>
      <c r="M913" t="s">
        <v>3666</v>
      </c>
      <c r="N913" t="s">
        <v>1630</v>
      </c>
      <c r="O913" s="4">
        <v>45680.6462962963</v>
      </c>
      <c r="P913" t="s">
        <v>57</v>
      </c>
      <c r="Q913" t="s">
        <v>97</v>
      </c>
      <c r="R913" t="s">
        <v>3837</v>
      </c>
      <c r="T913" t="s">
        <v>57</v>
      </c>
    </row>
    <row r="914" ht="25.5" customHeight="1" spans="1:20">
      <c r="A914" t="s">
        <v>2781</v>
      </c>
      <c r="B914" t="s">
        <v>56</v>
      </c>
      <c r="C914" t="s">
        <v>3827</v>
      </c>
      <c r="D914" s="3"/>
      <c r="E914" s="2">
        <v>45681</v>
      </c>
      <c r="F914">
        <v>251200</v>
      </c>
      <c r="G914">
        <v>318400</v>
      </c>
      <c r="H914">
        <v>39500</v>
      </c>
      <c r="I914">
        <v>247</v>
      </c>
      <c r="J914">
        <v>5451</v>
      </c>
      <c r="K914">
        <v>3989</v>
      </c>
      <c r="L914" t="s">
        <v>3831</v>
      </c>
      <c r="M914" t="s">
        <v>3666</v>
      </c>
      <c r="N914" t="s">
        <v>1630</v>
      </c>
      <c r="O914" s="4">
        <v>45681.6051851852</v>
      </c>
      <c r="P914" t="s">
        <v>57</v>
      </c>
      <c r="Q914" t="s">
        <v>97</v>
      </c>
      <c r="R914" t="s">
        <v>3838</v>
      </c>
      <c r="T914" t="s">
        <v>57</v>
      </c>
    </row>
    <row r="915" ht="25.5" customHeight="1" spans="1:20">
      <c r="A915" t="s">
        <v>2781</v>
      </c>
      <c r="B915" t="s">
        <v>56</v>
      </c>
      <c r="C915" t="s">
        <v>3827</v>
      </c>
      <c r="D915" s="3"/>
      <c r="E915" s="2">
        <v>45683</v>
      </c>
      <c r="F915">
        <v>251800</v>
      </c>
      <c r="G915">
        <v>333700</v>
      </c>
      <c r="H915">
        <v>41000</v>
      </c>
      <c r="I915">
        <v>258</v>
      </c>
      <c r="J915">
        <v>5681</v>
      </c>
      <c r="K915">
        <v>4120</v>
      </c>
      <c r="L915" t="s">
        <v>3831</v>
      </c>
      <c r="M915" t="s">
        <v>3666</v>
      </c>
      <c r="N915" t="s">
        <v>1630</v>
      </c>
      <c r="O915" s="4">
        <v>45683.7638657407</v>
      </c>
      <c r="P915" t="s">
        <v>57</v>
      </c>
      <c r="Q915" t="s">
        <v>97</v>
      </c>
      <c r="R915" t="s">
        <v>3839</v>
      </c>
      <c r="T915" t="s">
        <v>57</v>
      </c>
    </row>
    <row r="916" ht="25.5" customHeight="1" spans="1:20">
      <c r="A916" t="s">
        <v>2781</v>
      </c>
      <c r="B916" t="s">
        <v>56</v>
      </c>
      <c r="C916" t="s">
        <v>3827</v>
      </c>
      <c r="D916" s="3"/>
      <c r="E916" s="2">
        <v>45684</v>
      </c>
      <c r="F916">
        <v>251800</v>
      </c>
      <c r="G916">
        <v>338400</v>
      </c>
      <c r="H916">
        <v>41600</v>
      </c>
      <c r="I916">
        <v>261</v>
      </c>
      <c r="J916">
        <v>5751</v>
      </c>
      <c r="K916">
        <v>4159</v>
      </c>
      <c r="L916" t="s">
        <v>3831</v>
      </c>
      <c r="M916" t="s">
        <v>3666</v>
      </c>
      <c r="N916" t="s">
        <v>1630</v>
      </c>
      <c r="O916" s="4">
        <v>45684.8305671296</v>
      </c>
      <c r="P916" t="s">
        <v>57</v>
      </c>
      <c r="Q916" t="s">
        <v>97</v>
      </c>
      <c r="R916" t="s">
        <v>3840</v>
      </c>
      <c r="T916" t="s">
        <v>57</v>
      </c>
    </row>
    <row r="917" ht="25.5" customHeight="1" spans="1:20">
      <c r="A917" t="s">
        <v>2781</v>
      </c>
      <c r="B917" t="s">
        <v>56</v>
      </c>
      <c r="C917" t="s">
        <v>3827</v>
      </c>
      <c r="D917" s="3"/>
      <c r="E917" s="2">
        <v>45693</v>
      </c>
      <c r="F917">
        <v>252400</v>
      </c>
      <c r="G917">
        <v>387100</v>
      </c>
      <c r="H917">
        <v>46600</v>
      </c>
      <c r="I917">
        <v>298</v>
      </c>
      <c r="J917">
        <v>6505</v>
      </c>
      <c r="K917">
        <v>4581</v>
      </c>
      <c r="L917" t="s">
        <v>3227</v>
      </c>
      <c r="M917" t="s">
        <v>3666</v>
      </c>
      <c r="N917" t="s">
        <v>1630</v>
      </c>
      <c r="O917" s="4">
        <v>45693.8200578704</v>
      </c>
      <c r="P917" t="s">
        <v>57</v>
      </c>
      <c r="Q917" t="s">
        <v>97</v>
      </c>
      <c r="R917" t="s">
        <v>3841</v>
      </c>
      <c r="T917" t="s">
        <v>57</v>
      </c>
    </row>
    <row r="918" ht="25.5" customHeight="1" spans="1:20">
      <c r="A918" t="s">
        <v>2781</v>
      </c>
      <c r="B918" t="s">
        <v>56</v>
      </c>
      <c r="C918" t="s">
        <v>3827</v>
      </c>
      <c r="D918" s="3"/>
      <c r="E918" s="2">
        <v>45694</v>
      </c>
      <c r="F918">
        <v>252400</v>
      </c>
      <c r="G918">
        <v>390800</v>
      </c>
      <c r="H918">
        <v>46900</v>
      </c>
      <c r="I918">
        <v>298</v>
      </c>
      <c r="J918">
        <v>6569</v>
      </c>
      <c r="K918">
        <v>4614</v>
      </c>
      <c r="L918" t="s">
        <v>3227</v>
      </c>
      <c r="M918" t="s">
        <v>3666</v>
      </c>
      <c r="N918" t="s">
        <v>1630</v>
      </c>
      <c r="O918" s="4">
        <v>45698.6216782407</v>
      </c>
      <c r="P918" t="s">
        <v>57</v>
      </c>
      <c r="Q918" t="s">
        <v>97</v>
      </c>
      <c r="R918" t="s">
        <v>3842</v>
      </c>
      <c r="S918" t="s">
        <v>3245</v>
      </c>
      <c r="T918" t="s">
        <v>57</v>
      </c>
    </row>
    <row r="919" ht="25.5" customHeight="1" spans="1:20">
      <c r="A919" t="s">
        <v>2582</v>
      </c>
      <c r="B919" t="s">
        <v>56</v>
      </c>
      <c r="D919" s="3"/>
      <c r="E919" s="2"/>
      <c r="M919" t="s">
        <v>3225</v>
      </c>
      <c r="N919" t="s">
        <v>1645</v>
      </c>
      <c r="O919" s="4">
        <v>45670.743587963</v>
      </c>
      <c r="P919" t="s">
        <v>57</v>
      </c>
      <c r="R919" t="s">
        <v>3133</v>
      </c>
      <c r="T919" t="s">
        <v>57</v>
      </c>
    </row>
    <row r="920" ht="25.5" customHeight="1" spans="1:20">
      <c r="A920" t="s">
        <v>2946</v>
      </c>
      <c r="B920" t="s">
        <v>56</v>
      </c>
      <c r="D920" s="3"/>
      <c r="E920" s="2"/>
      <c r="M920" t="s">
        <v>3270</v>
      </c>
      <c r="N920" t="s">
        <v>1645</v>
      </c>
      <c r="O920" s="4">
        <v>45670.743587963</v>
      </c>
      <c r="P920" t="s">
        <v>57</v>
      </c>
      <c r="R920" t="s">
        <v>3133</v>
      </c>
      <c r="T920" t="s">
        <v>57</v>
      </c>
    </row>
    <row r="921" ht="25.5" customHeight="1" spans="1:20">
      <c r="A921" t="s">
        <v>2789</v>
      </c>
      <c r="B921" t="s">
        <v>56</v>
      </c>
      <c r="D921" s="3"/>
      <c r="E921" s="2"/>
      <c r="M921" t="s">
        <v>3666</v>
      </c>
      <c r="N921" t="s">
        <v>1645</v>
      </c>
      <c r="O921" s="4">
        <v>45670.743587963</v>
      </c>
      <c r="P921" t="s">
        <v>57</v>
      </c>
      <c r="R921" t="s">
        <v>3133</v>
      </c>
      <c r="T921" t="s">
        <v>57</v>
      </c>
    </row>
    <row r="922" ht="25.5" customHeight="1" spans="1:20">
      <c r="A922" t="s">
        <v>3062</v>
      </c>
      <c r="B922" t="s">
        <v>56</v>
      </c>
      <c r="C922" t="s">
        <v>3843</v>
      </c>
      <c r="D922" s="3" t="str">
        <f>HYPERLINK("https://www.tiktok.com/@xjummarx","https://www.tiktok.com/@xjummarx")</f>
        <v>https://www.tiktok.com/@xjummarx</v>
      </c>
      <c r="E922" s="2">
        <v>45665</v>
      </c>
      <c r="F922">
        <v>8872</v>
      </c>
      <c r="G922">
        <v>310</v>
      </c>
      <c r="H922">
        <v>23</v>
      </c>
      <c r="I922">
        <v>1</v>
      </c>
      <c r="J922">
        <v>5</v>
      </c>
      <c r="K922">
        <v>3</v>
      </c>
      <c r="L922" t="s">
        <v>3230</v>
      </c>
      <c r="M922" t="s">
        <v>3662</v>
      </c>
      <c r="N922" t="s">
        <v>1630</v>
      </c>
      <c r="O922" s="4">
        <v>45670.8609375</v>
      </c>
      <c r="P922" t="s">
        <v>57</v>
      </c>
      <c r="Q922" t="s">
        <v>1753</v>
      </c>
      <c r="R922" t="s">
        <v>3844</v>
      </c>
      <c r="T922" t="s">
        <v>57</v>
      </c>
    </row>
    <row r="923" ht="25.5" customHeight="1" spans="1:20">
      <c r="A923" t="s">
        <v>3062</v>
      </c>
      <c r="B923" t="s">
        <v>56</v>
      </c>
      <c r="C923" t="s">
        <v>3843</v>
      </c>
      <c r="D923" s="3"/>
      <c r="E923" s="2">
        <v>45670</v>
      </c>
      <c r="F923">
        <v>8868</v>
      </c>
      <c r="G923">
        <v>425</v>
      </c>
      <c r="H923">
        <v>33</v>
      </c>
      <c r="I923">
        <v>2</v>
      </c>
      <c r="J923">
        <v>7</v>
      </c>
      <c r="K923">
        <v>3</v>
      </c>
      <c r="L923" t="s">
        <v>3230</v>
      </c>
      <c r="M923" t="s">
        <v>3662</v>
      </c>
      <c r="N923" t="s">
        <v>1630</v>
      </c>
      <c r="O923" s="4">
        <v>45672.5030092593</v>
      </c>
      <c r="P923" t="s">
        <v>57</v>
      </c>
      <c r="Q923" t="s">
        <v>1753</v>
      </c>
      <c r="R923" t="s">
        <v>3508</v>
      </c>
      <c r="T923" t="s">
        <v>57</v>
      </c>
    </row>
    <row r="924" ht="25.5" customHeight="1" spans="1:20">
      <c r="A924" t="s">
        <v>3062</v>
      </c>
      <c r="B924" t="s">
        <v>56</v>
      </c>
      <c r="C924" t="s">
        <v>3843</v>
      </c>
      <c r="D924" s="3"/>
      <c r="E924" s="2">
        <v>45671</v>
      </c>
      <c r="F924">
        <v>8866</v>
      </c>
      <c r="G924">
        <v>437</v>
      </c>
      <c r="H924">
        <v>35</v>
      </c>
      <c r="I924">
        <v>2</v>
      </c>
      <c r="J924">
        <v>8</v>
      </c>
      <c r="K924">
        <v>3</v>
      </c>
      <c r="L924" t="s">
        <v>3230</v>
      </c>
      <c r="M924" t="s">
        <v>3662</v>
      </c>
      <c r="N924" t="s">
        <v>1630</v>
      </c>
      <c r="O924" s="4">
        <v>45672.5030092593</v>
      </c>
      <c r="P924" t="s">
        <v>57</v>
      </c>
      <c r="Q924" t="s">
        <v>1753</v>
      </c>
      <c r="R924" t="s">
        <v>3174</v>
      </c>
      <c r="T924" t="s">
        <v>57</v>
      </c>
    </row>
    <row r="925" ht="25.5" customHeight="1" spans="1:20">
      <c r="A925" t="s">
        <v>3062</v>
      </c>
      <c r="B925" t="s">
        <v>56</v>
      </c>
      <c r="C925" t="s">
        <v>3843</v>
      </c>
      <c r="D925" s="3"/>
      <c r="E925" s="2">
        <v>45672</v>
      </c>
      <c r="F925">
        <v>8865</v>
      </c>
      <c r="G925">
        <v>456</v>
      </c>
      <c r="H925">
        <v>35</v>
      </c>
      <c r="I925">
        <v>2</v>
      </c>
      <c r="J925">
        <v>8</v>
      </c>
      <c r="K925">
        <v>3</v>
      </c>
      <c r="L925" t="s">
        <v>3230</v>
      </c>
      <c r="M925" t="s">
        <v>3662</v>
      </c>
      <c r="N925" t="s">
        <v>1630</v>
      </c>
      <c r="O925" s="4">
        <v>45672.5197453704</v>
      </c>
      <c r="P925" t="s">
        <v>57</v>
      </c>
      <c r="Q925" t="s">
        <v>1753</v>
      </c>
      <c r="R925" t="s">
        <v>3174</v>
      </c>
      <c r="T925" t="s">
        <v>57</v>
      </c>
    </row>
    <row r="926" ht="25.5" customHeight="1" spans="1:20">
      <c r="A926" t="s">
        <v>3062</v>
      </c>
      <c r="B926" t="s">
        <v>56</v>
      </c>
      <c r="C926" t="s">
        <v>3843</v>
      </c>
      <c r="D926" s="3"/>
      <c r="E926" s="2">
        <v>45673</v>
      </c>
      <c r="F926">
        <v>8867</v>
      </c>
      <c r="G926">
        <v>470</v>
      </c>
      <c r="H926">
        <v>36</v>
      </c>
      <c r="I926">
        <v>2</v>
      </c>
      <c r="J926">
        <v>8</v>
      </c>
      <c r="K926">
        <v>3</v>
      </c>
      <c r="L926" t="s">
        <v>3230</v>
      </c>
      <c r="M926" t="s">
        <v>3662</v>
      </c>
      <c r="N926" t="s">
        <v>1630</v>
      </c>
      <c r="O926" s="4">
        <v>45673.6089236111</v>
      </c>
      <c r="P926" t="s">
        <v>57</v>
      </c>
      <c r="Q926" t="s">
        <v>1753</v>
      </c>
      <c r="R926" t="s">
        <v>3177</v>
      </c>
      <c r="T926" t="s">
        <v>57</v>
      </c>
    </row>
    <row r="927" ht="25.5" customHeight="1" spans="1:20">
      <c r="A927" t="s">
        <v>3062</v>
      </c>
      <c r="B927" t="s">
        <v>56</v>
      </c>
      <c r="C927" t="s">
        <v>3843</v>
      </c>
      <c r="D927" s="3"/>
      <c r="E927" s="2">
        <v>45674</v>
      </c>
      <c r="F927">
        <v>8867</v>
      </c>
      <c r="G927">
        <v>481</v>
      </c>
      <c r="H927">
        <v>36</v>
      </c>
      <c r="I927">
        <v>2</v>
      </c>
      <c r="J927">
        <v>8</v>
      </c>
      <c r="K927">
        <v>3</v>
      </c>
      <c r="L927" t="s">
        <v>3230</v>
      </c>
      <c r="M927" t="s">
        <v>3662</v>
      </c>
      <c r="N927" t="s">
        <v>1630</v>
      </c>
      <c r="O927" s="4">
        <v>45674.6702314815</v>
      </c>
      <c r="P927" t="s">
        <v>57</v>
      </c>
      <c r="Q927" t="s">
        <v>1753</v>
      </c>
      <c r="R927" t="s">
        <v>3177</v>
      </c>
      <c r="T927" t="s">
        <v>57</v>
      </c>
    </row>
    <row r="928" ht="25.5" customHeight="1" spans="1:20">
      <c r="A928" t="s">
        <v>3062</v>
      </c>
      <c r="B928" t="s">
        <v>56</v>
      </c>
      <c r="C928" t="s">
        <v>3843</v>
      </c>
      <c r="D928" s="3"/>
      <c r="E928" s="2">
        <v>45677</v>
      </c>
      <c r="F928">
        <v>8883</v>
      </c>
      <c r="G928">
        <v>499</v>
      </c>
      <c r="H928">
        <v>36</v>
      </c>
      <c r="I928">
        <v>2</v>
      </c>
      <c r="J928">
        <v>8</v>
      </c>
      <c r="K928">
        <v>3</v>
      </c>
      <c r="L928" t="s">
        <v>3317</v>
      </c>
      <c r="M928" t="s">
        <v>3662</v>
      </c>
      <c r="N928" t="s">
        <v>1630</v>
      </c>
      <c r="O928" s="4">
        <v>45677.4264930556</v>
      </c>
      <c r="P928" t="s">
        <v>57</v>
      </c>
      <c r="Q928" t="s">
        <v>1753</v>
      </c>
      <c r="R928" t="s">
        <v>3177</v>
      </c>
      <c r="T928" t="s">
        <v>57</v>
      </c>
    </row>
    <row r="929" ht="25.5" customHeight="1" spans="1:20">
      <c r="A929" t="s">
        <v>3062</v>
      </c>
      <c r="B929" t="s">
        <v>56</v>
      </c>
      <c r="C929" t="s">
        <v>3843</v>
      </c>
      <c r="D929" s="3"/>
      <c r="E929" s="2">
        <v>45678</v>
      </c>
      <c r="F929">
        <v>8908</v>
      </c>
      <c r="G929">
        <v>517</v>
      </c>
      <c r="H929">
        <v>38</v>
      </c>
      <c r="I929">
        <v>2</v>
      </c>
      <c r="J929">
        <v>9</v>
      </c>
      <c r="K929">
        <v>3</v>
      </c>
      <c r="L929" t="s">
        <v>3317</v>
      </c>
      <c r="M929" t="s">
        <v>3662</v>
      </c>
      <c r="N929" t="s">
        <v>1630</v>
      </c>
      <c r="O929" s="4">
        <v>45679.6911805556</v>
      </c>
      <c r="P929" t="s">
        <v>57</v>
      </c>
      <c r="Q929" t="s">
        <v>1753</v>
      </c>
      <c r="R929" t="s">
        <v>3179</v>
      </c>
      <c r="T929" t="s">
        <v>57</v>
      </c>
    </row>
    <row r="930" ht="25.5" customHeight="1" spans="1:20">
      <c r="A930" t="s">
        <v>3062</v>
      </c>
      <c r="B930" t="s">
        <v>56</v>
      </c>
      <c r="C930" t="s">
        <v>3843</v>
      </c>
      <c r="D930" s="3"/>
      <c r="E930" s="2">
        <v>45679</v>
      </c>
      <c r="F930">
        <v>8925</v>
      </c>
      <c r="G930">
        <v>523</v>
      </c>
      <c r="H930">
        <v>38</v>
      </c>
      <c r="I930">
        <v>2</v>
      </c>
      <c r="J930">
        <v>9</v>
      </c>
      <c r="K930">
        <v>3</v>
      </c>
      <c r="L930" t="s">
        <v>3317</v>
      </c>
      <c r="M930" t="s">
        <v>3662</v>
      </c>
      <c r="N930" t="s">
        <v>1630</v>
      </c>
      <c r="O930" s="4">
        <v>45679.6912847222</v>
      </c>
      <c r="P930" t="s">
        <v>57</v>
      </c>
      <c r="Q930" t="s">
        <v>1753</v>
      </c>
      <c r="R930" t="s">
        <v>3179</v>
      </c>
      <c r="T930" t="s">
        <v>57</v>
      </c>
    </row>
    <row r="931" ht="25.5" customHeight="1" spans="1:20">
      <c r="A931" t="s">
        <v>3062</v>
      </c>
      <c r="B931" t="s">
        <v>56</v>
      </c>
      <c r="C931" t="s">
        <v>3843</v>
      </c>
      <c r="D931" s="3"/>
      <c r="E931" s="2">
        <v>45680</v>
      </c>
      <c r="F931">
        <v>8928</v>
      </c>
      <c r="G931">
        <v>527</v>
      </c>
      <c r="H931">
        <v>38</v>
      </c>
      <c r="I931">
        <v>2</v>
      </c>
      <c r="J931">
        <v>9</v>
      </c>
      <c r="K931">
        <v>3</v>
      </c>
      <c r="L931" t="s">
        <v>3317</v>
      </c>
      <c r="M931" t="s">
        <v>3662</v>
      </c>
      <c r="N931" t="s">
        <v>1630</v>
      </c>
      <c r="O931" s="4">
        <v>45680.6468287037</v>
      </c>
      <c r="P931" t="s">
        <v>57</v>
      </c>
      <c r="Q931" t="s">
        <v>1753</v>
      </c>
      <c r="R931" t="s">
        <v>3179</v>
      </c>
      <c r="T931" t="s">
        <v>57</v>
      </c>
    </row>
    <row r="932" ht="25.5" customHeight="1" spans="1:20">
      <c r="A932" t="s">
        <v>3062</v>
      </c>
      <c r="B932" t="s">
        <v>56</v>
      </c>
      <c r="C932" t="s">
        <v>3843</v>
      </c>
      <c r="D932" s="3"/>
      <c r="E932" s="2">
        <v>45681</v>
      </c>
      <c r="F932">
        <v>8930</v>
      </c>
      <c r="G932">
        <v>536</v>
      </c>
      <c r="H932">
        <v>38</v>
      </c>
      <c r="I932">
        <v>2</v>
      </c>
      <c r="J932">
        <v>9</v>
      </c>
      <c r="K932">
        <v>3</v>
      </c>
      <c r="L932" t="s">
        <v>3317</v>
      </c>
      <c r="M932" t="s">
        <v>3662</v>
      </c>
      <c r="N932" t="s">
        <v>1630</v>
      </c>
      <c r="O932" s="4">
        <v>45681.6053587963</v>
      </c>
      <c r="P932" t="s">
        <v>57</v>
      </c>
      <c r="Q932" t="s">
        <v>1753</v>
      </c>
      <c r="R932" t="s">
        <v>3179</v>
      </c>
      <c r="T932" t="s">
        <v>57</v>
      </c>
    </row>
    <row r="933" ht="25.5" customHeight="1" spans="1:20">
      <c r="A933" t="s">
        <v>3062</v>
      </c>
      <c r="B933" t="s">
        <v>56</v>
      </c>
      <c r="C933" t="s">
        <v>3843</v>
      </c>
      <c r="D933" s="3"/>
      <c r="E933" s="2">
        <v>45683</v>
      </c>
      <c r="F933">
        <v>8947</v>
      </c>
      <c r="G933">
        <v>546</v>
      </c>
      <c r="H933">
        <v>38</v>
      </c>
      <c r="I933">
        <v>2</v>
      </c>
      <c r="J933">
        <v>9</v>
      </c>
      <c r="K933">
        <v>3</v>
      </c>
      <c r="L933" t="s">
        <v>3317</v>
      </c>
      <c r="M933" t="s">
        <v>3662</v>
      </c>
      <c r="N933" t="s">
        <v>1630</v>
      </c>
      <c r="O933" s="4">
        <v>45683.7640856481</v>
      </c>
      <c r="P933" t="s">
        <v>57</v>
      </c>
      <c r="Q933" t="s">
        <v>1753</v>
      </c>
      <c r="R933" t="s">
        <v>3179</v>
      </c>
      <c r="T933" t="s">
        <v>57</v>
      </c>
    </row>
    <row r="934" ht="25.5" customHeight="1" spans="1:20">
      <c r="A934" t="s">
        <v>3062</v>
      </c>
      <c r="B934" t="s">
        <v>56</v>
      </c>
      <c r="C934" t="s">
        <v>3843</v>
      </c>
      <c r="D934" s="3"/>
      <c r="E934" s="2">
        <v>45684</v>
      </c>
      <c r="F934">
        <v>8962</v>
      </c>
      <c r="G934">
        <v>551</v>
      </c>
      <c r="H934">
        <v>38</v>
      </c>
      <c r="I934">
        <v>2</v>
      </c>
      <c r="J934">
        <v>9</v>
      </c>
      <c r="K934">
        <v>3</v>
      </c>
      <c r="L934" t="s">
        <v>3317</v>
      </c>
      <c r="M934" t="s">
        <v>3662</v>
      </c>
      <c r="N934" t="s">
        <v>1630</v>
      </c>
      <c r="O934" s="4">
        <v>45684.8307986111</v>
      </c>
      <c r="P934" t="s">
        <v>57</v>
      </c>
      <c r="Q934" t="s">
        <v>1753</v>
      </c>
      <c r="R934" t="s">
        <v>3179</v>
      </c>
      <c r="T934" t="s">
        <v>57</v>
      </c>
    </row>
    <row r="935" ht="25.5" customHeight="1" spans="1:20">
      <c r="A935" t="s">
        <v>3062</v>
      </c>
      <c r="B935" t="s">
        <v>56</v>
      </c>
      <c r="C935" t="s">
        <v>3843</v>
      </c>
      <c r="D935" s="3"/>
      <c r="E935" s="2">
        <v>45693</v>
      </c>
      <c r="F935">
        <v>9003</v>
      </c>
      <c r="G935">
        <v>581</v>
      </c>
      <c r="H935">
        <v>40</v>
      </c>
      <c r="I935">
        <v>2</v>
      </c>
      <c r="J935">
        <v>9</v>
      </c>
      <c r="K935">
        <v>3</v>
      </c>
      <c r="L935" t="s">
        <v>3317</v>
      </c>
      <c r="M935" t="s">
        <v>3662</v>
      </c>
      <c r="N935" t="s">
        <v>1630</v>
      </c>
      <c r="O935" s="4">
        <v>45693.8202546296</v>
      </c>
      <c r="P935" t="s">
        <v>57</v>
      </c>
      <c r="Q935" t="s">
        <v>1753</v>
      </c>
      <c r="R935" t="s">
        <v>3272</v>
      </c>
      <c r="T935" t="s">
        <v>57</v>
      </c>
    </row>
    <row r="936" ht="25.5" customHeight="1" spans="1:20">
      <c r="A936" t="s">
        <v>3062</v>
      </c>
      <c r="B936" t="s">
        <v>56</v>
      </c>
      <c r="C936" t="s">
        <v>3843</v>
      </c>
      <c r="D936" s="3"/>
      <c r="E936" s="2">
        <v>45694</v>
      </c>
      <c r="F936">
        <v>9005</v>
      </c>
      <c r="G936">
        <v>584</v>
      </c>
      <c r="H936">
        <v>40</v>
      </c>
      <c r="I936">
        <v>2</v>
      </c>
      <c r="J936">
        <v>9</v>
      </c>
      <c r="K936">
        <v>3</v>
      </c>
      <c r="L936" t="s">
        <v>3317</v>
      </c>
      <c r="M936" t="s">
        <v>3662</v>
      </c>
      <c r="N936" t="s">
        <v>1630</v>
      </c>
      <c r="O936" s="4">
        <v>45698.6216782407</v>
      </c>
      <c r="P936" t="s">
        <v>57</v>
      </c>
      <c r="Q936" t="s">
        <v>1753</v>
      </c>
      <c r="R936" t="s">
        <v>3272</v>
      </c>
      <c r="S936" t="s">
        <v>3301</v>
      </c>
      <c r="T936" t="s">
        <v>57</v>
      </c>
    </row>
    <row r="937" ht="25.5" customHeight="1" spans="1:20">
      <c r="A937" t="s">
        <v>3051</v>
      </c>
      <c r="B937" t="s">
        <v>56</v>
      </c>
      <c r="D937" s="3"/>
      <c r="E937" s="2"/>
      <c r="M937" t="s">
        <v>3662</v>
      </c>
      <c r="N937" t="s">
        <v>1645</v>
      </c>
      <c r="O937" s="4">
        <v>45670.743587963</v>
      </c>
      <c r="P937" t="s">
        <v>57</v>
      </c>
      <c r="R937" t="s">
        <v>3133</v>
      </c>
      <c r="T937" t="s">
        <v>57</v>
      </c>
    </row>
    <row r="938" ht="25.5" customHeight="1" spans="1:20">
      <c r="A938" t="s">
        <v>1796</v>
      </c>
      <c r="B938" t="s">
        <v>65</v>
      </c>
      <c r="C938" t="s">
        <v>3845</v>
      </c>
      <c r="D938" s="3" t="str">
        <f>HYPERLINK("https://www.instagram.com/pampisman/reels/","https://www.instagram.com/pampisman/reels/")</f>
        <v>https://www.instagram.com/pampisman/reels/</v>
      </c>
      <c r="E938" s="2">
        <v>45677</v>
      </c>
      <c r="F938">
        <v>533000</v>
      </c>
      <c r="G938">
        <v>633000</v>
      </c>
      <c r="H938">
        <v>25943</v>
      </c>
      <c r="I938">
        <v>135</v>
      </c>
      <c r="L938" t="s">
        <v>3195</v>
      </c>
      <c r="M938" t="s">
        <v>3414</v>
      </c>
      <c r="N938" t="s">
        <v>1630</v>
      </c>
      <c r="O938" s="4">
        <v>45677.401712963</v>
      </c>
      <c r="P938" t="s">
        <v>116</v>
      </c>
      <c r="Q938" t="s">
        <v>97</v>
      </c>
      <c r="R938" t="s">
        <v>3846</v>
      </c>
      <c r="T938" t="s">
        <v>116</v>
      </c>
    </row>
    <row r="939" ht="25.5" customHeight="1" spans="1:20">
      <c r="A939" t="s">
        <v>1796</v>
      </c>
      <c r="B939" t="s">
        <v>65</v>
      </c>
      <c r="C939" t="s">
        <v>3845</v>
      </c>
      <c r="D939" s="3"/>
      <c r="E939" s="2">
        <v>45678</v>
      </c>
      <c r="F939">
        <v>535000</v>
      </c>
      <c r="G939">
        <v>721000</v>
      </c>
      <c r="H939">
        <v>30143</v>
      </c>
      <c r="I939">
        <v>146</v>
      </c>
      <c r="L939" t="s">
        <v>3258</v>
      </c>
      <c r="M939" t="s">
        <v>3414</v>
      </c>
      <c r="N939" t="s">
        <v>1630</v>
      </c>
      <c r="O939" s="4">
        <v>45678.5011921296</v>
      </c>
      <c r="P939" t="s">
        <v>116</v>
      </c>
      <c r="Q939" t="s">
        <v>97</v>
      </c>
      <c r="R939" t="s">
        <v>3847</v>
      </c>
      <c r="T939" t="s">
        <v>116</v>
      </c>
    </row>
    <row r="940" ht="25.5" customHeight="1" spans="1:20">
      <c r="A940" t="s">
        <v>1796</v>
      </c>
      <c r="B940" t="s">
        <v>65</v>
      </c>
      <c r="C940" t="s">
        <v>3845</v>
      </c>
      <c r="D940" s="3"/>
      <c r="E940" s="2">
        <v>45679</v>
      </c>
      <c r="F940">
        <v>536000</v>
      </c>
      <c r="G940">
        <v>789000</v>
      </c>
      <c r="H940">
        <v>33100</v>
      </c>
      <c r="I940">
        <v>157</v>
      </c>
      <c r="L940" t="s">
        <v>3258</v>
      </c>
      <c r="M940" t="s">
        <v>3414</v>
      </c>
      <c r="N940" t="s">
        <v>1630</v>
      </c>
      <c r="O940" s="4">
        <v>45679.6621990741</v>
      </c>
      <c r="P940" t="s">
        <v>116</v>
      </c>
      <c r="Q940" t="s">
        <v>97</v>
      </c>
      <c r="R940" t="s">
        <v>3848</v>
      </c>
      <c r="T940" t="s">
        <v>116</v>
      </c>
    </row>
    <row r="941" ht="25.5" customHeight="1" spans="1:20">
      <c r="A941" t="s">
        <v>1796</v>
      </c>
      <c r="B941" t="s">
        <v>65</v>
      </c>
      <c r="C941" t="s">
        <v>3845</v>
      </c>
      <c r="D941" s="3"/>
      <c r="E941" s="2">
        <v>45680</v>
      </c>
      <c r="F941">
        <v>538000</v>
      </c>
      <c r="G941">
        <v>843000</v>
      </c>
      <c r="H941">
        <v>35300</v>
      </c>
      <c r="I941">
        <v>159</v>
      </c>
      <c r="L941" t="s">
        <v>3248</v>
      </c>
      <c r="M941" t="s">
        <v>3414</v>
      </c>
      <c r="N941" t="s">
        <v>1630</v>
      </c>
      <c r="O941" s="4">
        <v>45680.5118402778</v>
      </c>
      <c r="P941" t="s">
        <v>116</v>
      </c>
      <c r="Q941" t="s">
        <v>97</v>
      </c>
      <c r="R941" t="s">
        <v>3849</v>
      </c>
      <c r="T941" t="s">
        <v>116</v>
      </c>
    </row>
    <row r="942" ht="25.5" customHeight="1" spans="1:20">
      <c r="A942" t="s">
        <v>1796</v>
      </c>
      <c r="B942" t="s">
        <v>65</v>
      </c>
      <c r="C942" t="s">
        <v>3845</v>
      </c>
      <c r="D942" s="3"/>
      <c r="E942" s="2">
        <v>45681</v>
      </c>
      <c r="F942">
        <v>539000</v>
      </c>
      <c r="G942">
        <v>894000</v>
      </c>
      <c r="H942">
        <v>37400</v>
      </c>
      <c r="I942">
        <v>170</v>
      </c>
      <c r="L942" t="s">
        <v>3248</v>
      </c>
      <c r="M942" t="s">
        <v>3414</v>
      </c>
      <c r="N942" t="s">
        <v>1630</v>
      </c>
      <c r="O942" s="4">
        <v>45681.4906481481</v>
      </c>
      <c r="P942" t="s">
        <v>116</v>
      </c>
      <c r="Q942" t="s">
        <v>97</v>
      </c>
      <c r="R942" t="s">
        <v>3850</v>
      </c>
      <c r="T942" t="s">
        <v>116</v>
      </c>
    </row>
    <row r="943" ht="25.5" customHeight="1" spans="1:20">
      <c r="A943" t="s">
        <v>1796</v>
      </c>
      <c r="B943" t="s">
        <v>65</v>
      </c>
      <c r="C943" t="s">
        <v>3845</v>
      </c>
      <c r="D943" s="3"/>
      <c r="E943" s="2">
        <v>45683</v>
      </c>
      <c r="F943">
        <v>541000</v>
      </c>
      <c r="G943">
        <v>979000</v>
      </c>
      <c r="H943">
        <v>41000</v>
      </c>
      <c r="I943">
        <v>185</v>
      </c>
      <c r="L943" t="s">
        <v>3317</v>
      </c>
      <c r="M943" t="s">
        <v>3414</v>
      </c>
      <c r="N943" t="s">
        <v>1630</v>
      </c>
      <c r="O943" s="4">
        <v>45683.7133101852</v>
      </c>
      <c r="P943" t="s">
        <v>116</v>
      </c>
      <c r="Q943" t="s">
        <v>97</v>
      </c>
      <c r="R943" t="s">
        <v>3851</v>
      </c>
      <c r="T943" t="s">
        <v>116</v>
      </c>
    </row>
    <row r="944" ht="25.5" customHeight="1" spans="1:20">
      <c r="A944" t="s">
        <v>1796</v>
      </c>
      <c r="B944" t="s">
        <v>65</v>
      </c>
      <c r="C944" t="s">
        <v>3845</v>
      </c>
      <c r="D944" s="3"/>
      <c r="E944" s="2">
        <v>45684</v>
      </c>
      <c r="F944">
        <v>543000</v>
      </c>
      <c r="G944">
        <v>1000000</v>
      </c>
      <c r="H944">
        <v>43000</v>
      </c>
      <c r="I944">
        <v>190</v>
      </c>
      <c r="L944" t="s">
        <v>3317</v>
      </c>
      <c r="M944" t="s">
        <v>3414</v>
      </c>
      <c r="N944" t="s">
        <v>1630</v>
      </c>
      <c r="O944" s="4">
        <v>45684.7746990741</v>
      </c>
      <c r="P944" t="s">
        <v>116</v>
      </c>
      <c r="Q944" t="s">
        <v>97</v>
      </c>
      <c r="R944" t="s">
        <v>3852</v>
      </c>
      <c r="T944" t="s">
        <v>116</v>
      </c>
    </row>
    <row r="945" ht="25.5" customHeight="1" spans="1:20">
      <c r="A945" t="s">
        <v>1796</v>
      </c>
      <c r="B945" t="s">
        <v>65</v>
      </c>
      <c r="C945" t="s">
        <v>3845</v>
      </c>
      <c r="D945" s="3"/>
      <c r="E945" s="2">
        <v>45693</v>
      </c>
      <c r="F945">
        <v>557000</v>
      </c>
      <c r="G945">
        <v>1200000</v>
      </c>
      <c r="H945">
        <v>54000</v>
      </c>
      <c r="I945">
        <v>236</v>
      </c>
      <c r="L945" t="s">
        <v>3260</v>
      </c>
      <c r="M945" t="s">
        <v>3414</v>
      </c>
      <c r="N945" t="s">
        <v>1630</v>
      </c>
      <c r="O945" s="4">
        <v>45694.4163310185</v>
      </c>
      <c r="P945" t="s">
        <v>116</v>
      </c>
      <c r="Q945" t="s">
        <v>97</v>
      </c>
      <c r="R945" t="s">
        <v>3853</v>
      </c>
      <c r="T945" t="s">
        <v>116</v>
      </c>
    </row>
    <row r="946" ht="25.5" customHeight="1" spans="1:20">
      <c r="A946" t="s">
        <v>1796</v>
      </c>
      <c r="B946" t="s">
        <v>65</v>
      </c>
      <c r="C946" t="s">
        <v>3845</v>
      </c>
      <c r="D946" s="3"/>
      <c r="E946" s="2">
        <v>45694</v>
      </c>
      <c r="F946">
        <v>557000</v>
      </c>
      <c r="G946">
        <v>1200000</v>
      </c>
      <c r="H946">
        <v>54400</v>
      </c>
      <c r="I946">
        <v>236</v>
      </c>
      <c r="L946" t="s">
        <v>3260</v>
      </c>
      <c r="M946" t="s">
        <v>3414</v>
      </c>
      <c r="N946" t="s">
        <v>1630</v>
      </c>
      <c r="O946" s="4">
        <v>45698.6216782407</v>
      </c>
      <c r="P946" t="s">
        <v>116</v>
      </c>
      <c r="Q946" t="s">
        <v>97</v>
      </c>
      <c r="R946" t="s">
        <v>3854</v>
      </c>
      <c r="S946" t="s">
        <v>3169</v>
      </c>
      <c r="T946" t="s">
        <v>116</v>
      </c>
    </row>
    <row r="947" ht="25.5" customHeight="1" spans="1:20">
      <c r="A947" t="s">
        <v>1796</v>
      </c>
      <c r="B947" t="s">
        <v>65</v>
      </c>
      <c r="C947" t="s">
        <v>3845</v>
      </c>
      <c r="D947" s="3"/>
      <c r="E947" s="2">
        <v>45695</v>
      </c>
      <c r="F947">
        <v>558000</v>
      </c>
      <c r="G947">
        <v>1300000</v>
      </c>
      <c r="H947">
        <v>54900</v>
      </c>
      <c r="I947">
        <v>236</v>
      </c>
      <c r="L947" t="s">
        <v>3260</v>
      </c>
      <c r="M947" t="s">
        <v>3414</v>
      </c>
      <c r="N947" t="s">
        <v>1630</v>
      </c>
      <c r="O947" s="4">
        <v>45695.4863541667</v>
      </c>
      <c r="P947" t="s">
        <v>116</v>
      </c>
      <c r="Q947" t="s">
        <v>97</v>
      </c>
      <c r="R947" t="s">
        <v>3855</v>
      </c>
      <c r="T947" t="s">
        <v>116</v>
      </c>
    </row>
    <row r="948" ht="25.5" customHeight="1" spans="1:20">
      <c r="A948" t="s">
        <v>1796</v>
      </c>
      <c r="B948" t="s">
        <v>65</v>
      </c>
      <c r="C948" t="s">
        <v>3845</v>
      </c>
      <c r="D948" s="3"/>
      <c r="E948" s="2">
        <v>45696</v>
      </c>
      <c r="F948">
        <v>558000</v>
      </c>
      <c r="G948">
        <v>1300000</v>
      </c>
      <c r="H948">
        <v>55300</v>
      </c>
      <c r="I948">
        <v>239</v>
      </c>
      <c r="L948" t="s">
        <v>3260</v>
      </c>
      <c r="M948" t="s">
        <v>3414</v>
      </c>
      <c r="N948" t="s">
        <v>1630</v>
      </c>
      <c r="O948" s="4">
        <v>45696.4486805556</v>
      </c>
      <c r="P948" t="s">
        <v>116</v>
      </c>
      <c r="Q948" t="s">
        <v>97</v>
      </c>
      <c r="R948" t="s">
        <v>3856</v>
      </c>
      <c r="T948" t="s">
        <v>116</v>
      </c>
    </row>
    <row r="949" ht="25.5" customHeight="1" spans="1:20">
      <c r="A949" t="s">
        <v>2595</v>
      </c>
      <c r="B949" t="s">
        <v>56</v>
      </c>
      <c r="C949" t="s">
        <v>3857</v>
      </c>
      <c r="D949" s="3" t="str">
        <f>HYPERLINK("https://www.tiktok.com/@kiredroid_yt","https://www.tiktok.com/@kiredroid_yt")</f>
        <v>https://www.tiktok.com/@kiredroid_yt</v>
      </c>
      <c r="E949" s="2">
        <v>45665</v>
      </c>
      <c r="F949">
        <v>11400</v>
      </c>
      <c r="G949">
        <v>441</v>
      </c>
      <c r="H949">
        <v>9</v>
      </c>
      <c r="I949">
        <v>2</v>
      </c>
      <c r="J949">
        <v>2</v>
      </c>
      <c r="K949">
        <v>0</v>
      </c>
      <c r="L949" t="s">
        <v>3281</v>
      </c>
      <c r="M949" t="s">
        <v>3225</v>
      </c>
      <c r="N949" t="s">
        <v>1630</v>
      </c>
      <c r="O949" s="4">
        <v>45670.8612152778</v>
      </c>
      <c r="P949" t="s">
        <v>57</v>
      </c>
      <c r="Q949" t="s">
        <v>1652</v>
      </c>
      <c r="R949" t="s">
        <v>3858</v>
      </c>
      <c r="T949" t="s">
        <v>57</v>
      </c>
    </row>
    <row r="950" ht="25.5" customHeight="1" spans="1:20">
      <c r="A950" t="s">
        <v>2595</v>
      </c>
      <c r="B950" t="s">
        <v>56</v>
      </c>
      <c r="C950" t="s">
        <v>3857</v>
      </c>
      <c r="D950" s="3"/>
      <c r="E950" s="2">
        <v>45671</v>
      </c>
      <c r="F950">
        <v>11400</v>
      </c>
      <c r="G950">
        <v>450</v>
      </c>
      <c r="H950">
        <v>9</v>
      </c>
      <c r="I950">
        <v>2</v>
      </c>
      <c r="J950">
        <v>2</v>
      </c>
      <c r="K950">
        <v>0</v>
      </c>
      <c r="L950" t="s">
        <v>3281</v>
      </c>
      <c r="M950" t="s">
        <v>3225</v>
      </c>
      <c r="N950" t="s">
        <v>1630</v>
      </c>
      <c r="O950" s="4">
        <v>45672.5030092593</v>
      </c>
      <c r="P950" t="s">
        <v>57</v>
      </c>
      <c r="Q950" t="s">
        <v>1652</v>
      </c>
      <c r="R950" t="s">
        <v>3858</v>
      </c>
      <c r="T950" t="s">
        <v>57</v>
      </c>
    </row>
    <row r="951" ht="25.5" customHeight="1" spans="1:20">
      <c r="A951" t="s">
        <v>2595</v>
      </c>
      <c r="B951" t="s">
        <v>56</v>
      </c>
      <c r="C951" t="s">
        <v>3857</v>
      </c>
      <c r="D951" s="3"/>
      <c r="E951" s="2">
        <v>45672</v>
      </c>
      <c r="F951">
        <v>11400</v>
      </c>
      <c r="G951">
        <v>456</v>
      </c>
      <c r="H951">
        <v>9</v>
      </c>
      <c r="I951">
        <v>2</v>
      </c>
      <c r="J951">
        <v>2</v>
      </c>
      <c r="K951">
        <v>0</v>
      </c>
      <c r="L951" t="s">
        <v>3281</v>
      </c>
      <c r="M951" t="s">
        <v>3225</v>
      </c>
      <c r="N951" t="s">
        <v>1630</v>
      </c>
      <c r="O951" s="4">
        <v>45672.5198958333</v>
      </c>
      <c r="P951" t="s">
        <v>57</v>
      </c>
      <c r="Q951" t="s">
        <v>1652</v>
      </c>
      <c r="R951" t="s">
        <v>3858</v>
      </c>
      <c r="T951" t="s">
        <v>57</v>
      </c>
    </row>
    <row r="952" ht="25.5" customHeight="1" spans="1:20">
      <c r="A952" t="s">
        <v>2595</v>
      </c>
      <c r="B952" t="s">
        <v>56</v>
      </c>
      <c r="C952" t="s">
        <v>3857</v>
      </c>
      <c r="D952" s="3"/>
      <c r="E952" s="2">
        <v>45673</v>
      </c>
      <c r="F952">
        <v>11400</v>
      </c>
      <c r="G952">
        <v>466</v>
      </c>
      <c r="H952">
        <v>8</v>
      </c>
      <c r="I952">
        <v>2</v>
      </c>
      <c r="J952">
        <v>2</v>
      </c>
      <c r="K952">
        <v>0</v>
      </c>
      <c r="L952" t="s">
        <v>3281</v>
      </c>
      <c r="M952" t="s">
        <v>3225</v>
      </c>
      <c r="N952" t="s">
        <v>1630</v>
      </c>
      <c r="O952" s="4">
        <v>45674.670474537</v>
      </c>
      <c r="P952" t="s">
        <v>57</v>
      </c>
      <c r="Q952" t="s">
        <v>1652</v>
      </c>
      <c r="R952" t="s">
        <v>3859</v>
      </c>
      <c r="T952" t="s">
        <v>57</v>
      </c>
    </row>
    <row r="953" ht="25.5" customHeight="1" spans="1:20">
      <c r="A953" t="s">
        <v>2595</v>
      </c>
      <c r="B953" t="s">
        <v>56</v>
      </c>
      <c r="C953" t="s">
        <v>3857</v>
      </c>
      <c r="D953" s="3"/>
      <c r="E953" s="2">
        <v>45674</v>
      </c>
      <c r="F953">
        <v>11400</v>
      </c>
      <c r="G953">
        <v>478</v>
      </c>
      <c r="H953">
        <v>9</v>
      </c>
      <c r="I953">
        <v>2</v>
      </c>
      <c r="J953">
        <v>2</v>
      </c>
      <c r="K953">
        <v>0</v>
      </c>
      <c r="L953" t="s">
        <v>3281</v>
      </c>
      <c r="M953" t="s">
        <v>3225</v>
      </c>
      <c r="N953" t="s">
        <v>1630</v>
      </c>
      <c r="O953" s="4">
        <v>45674.6705324074</v>
      </c>
      <c r="P953" t="s">
        <v>57</v>
      </c>
      <c r="Q953" t="s">
        <v>1652</v>
      </c>
      <c r="R953" t="s">
        <v>3858</v>
      </c>
      <c r="T953" t="s">
        <v>57</v>
      </c>
    </row>
    <row r="954" ht="25.5" customHeight="1" spans="1:20">
      <c r="A954" t="s">
        <v>2595</v>
      </c>
      <c r="B954" t="s">
        <v>56</v>
      </c>
      <c r="C954" t="s">
        <v>3857</v>
      </c>
      <c r="D954" s="3"/>
      <c r="E954" s="2">
        <v>45677</v>
      </c>
      <c r="F954">
        <v>11500</v>
      </c>
      <c r="G954">
        <v>515</v>
      </c>
      <c r="H954">
        <v>9</v>
      </c>
      <c r="I954">
        <v>2</v>
      </c>
      <c r="J954">
        <v>3</v>
      </c>
      <c r="K954">
        <v>0</v>
      </c>
      <c r="L954" t="s">
        <v>3281</v>
      </c>
      <c r="M954" t="s">
        <v>3225</v>
      </c>
      <c r="N954" t="s">
        <v>1630</v>
      </c>
      <c r="O954" s="4">
        <v>45677.4266319444</v>
      </c>
      <c r="P954" t="s">
        <v>57</v>
      </c>
      <c r="Q954" t="s">
        <v>1652</v>
      </c>
      <c r="R954" t="s">
        <v>3486</v>
      </c>
      <c r="T954" t="s">
        <v>57</v>
      </c>
    </row>
    <row r="955" ht="25.5" customHeight="1" spans="1:20">
      <c r="A955" t="s">
        <v>2595</v>
      </c>
      <c r="B955" t="s">
        <v>56</v>
      </c>
      <c r="C955" t="s">
        <v>3857</v>
      </c>
      <c r="D955" s="3"/>
      <c r="E955" s="2">
        <v>45678</v>
      </c>
      <c r="F955">
        <v>11500</v>
      </c>
      <c r="G955">
        <v>522</v>
      </c>
      <c r="H955">
        <v>9</v>
      </c>
      <c r="I955">
        <v>2</v>
      </c>
      <c r="J955">
        <v>3</v>
      </c>
      <c r="K955">
        <v>0</v>
      </c>
      <c r="L955" t="s">
        <v>3281</v>
      </c>
      <c r="M955" t="s">
        <v>3225</v>
      </c>
      <c r="N955" t="s">
        <v>1630</v>
      </c>
      <c r="O955" s="4">
        <v>45678.6346296296</v>
      </c>
      <c r="P955" t="s">
        <v>57</v>
      </c>
      <c r="Q955" t="s">
        <v>1652</v>
      </c>
      <c r="R955" t="s">
        <v>3486</v>
      </c>
      <c r="T955" t="s">
        <v>57</v>
      </c>
    </row>
    <row r="956" ht="25.5" customHeight="1" spans="1:20">
      <c r="A956" t="s">
        <v>2595</v>
      </c>
      <c r="B956" t="s">
        <v>56</v>
      </c>
      <c r="C956" t="s">
        <v>3857</v>
      </c>
      <c r="D956" s="3"/>
      <c r="E956" s="2">
        <v>45679</v>
      </c>
      <c r="F956">
        <v>11500</v>
      </c>
      <c r="G956">
        <v>533</v>
      </c>
      <c r="H956">
        <v>9</v>
      </c>
      <c r="I956">
        <v>2</v>
      </c>
      <c r="J956">
        <v>3</v>
      </c>
      <c r="K956">
        <v>0</v>
      </c>
      <c r="L956" t="s">
        <v>3281</v>
      </c>
      <c r="M956" t="s">
        <v>3225</v>
      </c>
      <c r="N956" t="s">
        <v>1630</v>
      </c>
      <c r="O956" s="4">
        <v>45679.691412037</v>
      </c>
      <c r="P956" t="s">
        <v>57</v>
      </c>
      <c r="Q956" t="s">
        <v>1652</v>
      </c>
      <c r="R956" t="s">
        <v>3486</v>
      </c>
      <c r="T956" t="s">
        <v>57</v>
      </c>
    </row>
    <row r="957" ht="25.5" customHeight="1" spans="1:20">
      <c r="A957" t="s">
        <v>2595</v>
      </c>
      <c r="B957" t="s">
        <v>56</v>
      </c>
      <c r="C957" t="s">
        <v>3857</v>
      </c>
      <c r="D957" s="3"/>
      <c r="E957" s="2">
        <v>45680</v>
      </c>
      <c r="F957">
        <v>11500</v>
      </c>
      <c r="G957">
        <v>544</v>
      </c>
      <c r="H957">
        <v>9</v>
      </c>
      <c r="I957">
        <v>2</v>
      </c>
      <c r="J957">
        <v>3</v>
      </c>
      <c r="K957">
        <v>0</v>
      </c>
      <c r="L957" t="s">
        <v>3281</v>
      </c>
      <c r="M957" t="s">
        <v>3225</v>
      </c>
      <c r="N957" t="s">
        <v>1630</v>
      </c>
      <c r="O957" s="4">
        <v>45680.647037037</v>
      </c>
      <c r="P957" t="s">
        <v>57</v>
      </c>
      <c r="Q957" t="s">
        <v>1652</v>
      </c>
      <c r="R957" t="s">
        <v>3486</v>
      </c>
      <c r="T957" t="s">
        <v>57</v>
      </c>
    </row>
    <row r="958" ht="25.5" customHeight="1" spans="1:20">
      <c r="A958" t="s">
        <v>2595</v>
      </c>
      <c r="B958" t="s">
        <v>56</v>
      </c>
      <c r="C958" t="s">
        <v>3857</v>
      </c>
      <c r="D958" s="3"/>
      <c r="E958" s="2">
        <v>45681</v>
      </c>
      <c r="F958">
        <v>11500</v>
      </c>
      <c r="G958">
        <v>561</v>
      </c>
      <c r="H958">
        <v>10</v>
      </c>
      <c r="I958">
        <v>2</v>
      </c>
      <c r="J958">
        <v>3</v>
      </c>
      <c r="K958">
        <v>0</v>
      </c>
      <c r="L958" t="s">
        <v>3281</v>
      </c>
      <c r="M958" t="s">
        <v>3225</v>
      </c>
      <c r="N958" t="s">
        <v>1630</v>
      </c>
      <c r="O958" s="4">
        <v>45681.6056018519</v>
      </c>
      <c r="P958" t="s">
        <v>57</v>
      </c>
      <c r="Q958" t="s">
        <v>1652</v>
      </c>
      <c r="R958" t="s">
        <v>3487</v>
      </c>
      <c r="T958" t="s">
        <v>57</v>
      </c>
    </row>
    <row r="959" ht="25.5" customHeight="1" spans="1:20">
      <c r="A959" t="s">
        <v>2595</v>
      </c>
      <c r="B959" t="s">
        <v>56</v>
      </c>
      <c r="C959" t="s">
        <v>3857</v>
      </c>
      <c r="D959" s="3"/>
      <c r="E959" s="2">
        <v>45683</v>
      </c>
      <c r="F959">
        <v>11500</v>
      </c>
      <c r="G959">
        <v>677</v>
      </c>
      <c r="H959">
        <v>10</v>
      </c>
      <c r="I959">
        <v>2</v>
      </c>
      <c r="J959">
        <v>3</v>
      </c>
      <c r="K959">
        <v>0</v>
      </c>
      <c r="L959" t="s">
        <v>3281</v>
      </c>
      <c r="M959" t="s">
        <v>3225</v>
      </c>
      <c r="N959" t="s">
        <v>1630</v>
      </c>
      <c r="O959" s="4">
        <v>45683.7644560185</v>
      </c>
      <c r="P959" t="s">
        <v>57</v>
      </c>
      <c r="Q959" t="s">
        <v>1652</v>
      </c>
      <c r="R959" t="s">
        <v>3487</v>
      </c>
      <c r="T959" t="s">
        <v>57</v>
      </c>
    </row>
    <row r="960" ht="25.5" customHeight="1" spans="1:20">
      <c r="A960" t="s">
        <v>2595</v>
      </c>
      <c r="B960" t="s">
        <v>56</v>
      </c>
      <c r="C960" t="s">
        <v>3857</v>
      </c>
      <c r="D960" s="3"/>
      <c r="E960" s="2">
        <v>45684</v>
      </c>
      <c r="F960">
        <v>11500</v>
      </c>
      <c r="G960">
        <v>738</v>
      </c>
      <c r="H960">
        <v>10</v>
      </c>
      <c r="I960">
        <v>2</v>
      </c>
      <c r="J960">
        <v>3</v>
      </c>
      <c r="K960">
        <v>0</v>
      </c>
      <c r="L960" t="s">
        <v>3281</v>
      </c>
      <c r="M960" t="s">
        <v>3225</v>
      </c>
      <c r="N960" t="s">
        <v>1630</v>
      </c>
      <c r="O960" s="4">
        <v>45684.8309953704</v>
      </c>
      <c r="P960" t="s">
        <v>57</v>
      </c>
      <c r="Q960" t="s">
        <v>1652</v>
      </c>
      <c r="R960" t="s">
        <v>3487</v>
      </c>
      <c r="T960" t="s">
        <v>57</v>
      </c>
    </row>
    <row r="961" ht="25.5" customHeight="1" spans="1:20">
      <c r="A961" t="s">
        <v>2595</v>
      </c>
      <c r="B961" t="s">
        <v>56</v>
      </c>
      <c r="C961" t="s">
        <v>3857</v>
      </c>
      <c r="D961" s="3"/>
      <c r="E961" s="2">
        <v>45693</v>
      </c>
      <c r="F961">
        <v>11500</v>
      </c>
      <c r="G961">
        <v>886</v>
      </c>
      <c r="H961">
        <v>11</v>
      </c>
      <c r="I961">
        <v>2</v>
      </c>
      <c r="J961">
        <v>4</v>
      </c>
      <c r="K961">
        <v>0</v>
      </c>
      <c r="L961" t="s">
        <v>3331</v>
      </c>
      <c r="M961" t="s">
        <v>3225</v>
      </c>
      <c r="N961" t="s">
        <v>1630</v>
      </c>
      <c r="O961" s="4">
        <v>45693.8205787037</v>
      </c>
      <c r="P961" t="s">
        <v>57</v>
      </c>
      <c r="Q961" t="s">
        <v>1652</v>
      </c>
      <c r="R961" t="s">
        <v>3860</v>
      </c>
      <c r="T961" t="s">
        <v>57</v>
      </c>
    </row>
    <row r="962" ht="25.5" customHeight="1" spans="1:20">
      <c r="A962" t="s">
        <v>2595</v>
      </c>
      <c r="B962" t="s">
        <v>56</v>
      </c>
      <c r="C962" t="s">
        <v>3857</v>
      </c>
      <c r="D962" s="3"/>
      <c r="E962" s="2">
        <v>45694</v>
      </c>
      <c r="F962">
        <v>11500</v>
      </c>
      <c r="G962">
        <v>890</v>
      </c>
      <c r="H962">
        <v>11</v>
      </c>
      <c r="I962">
        <v>2</v>
      </c>
      <c r="J962">
        <v>4</v>
      </c>
      <c r="K962">
        <v>0</v>
      </c>
      <c r="L962" t="s">
        <v>3331</v>
      </c>
      <c r="M962" t="s">
        <v>3225</v>
      </c>
      <c r="N962" t="s">
        <v>1630</v>
      </c>
      <c r="O962" s="4">
        <v>45698.6216782407</v>
      </c>
      <c r="P962" t="s">
        <v>57</v>
      </c>
      <c r="Q962" t="s">
        <v>1652</v>
      </c>
      <c r="R962" t="s">
        <v>3860</v>
      </c>
      <c r="S962" t="s">
        <v>3180</v>
      </c>
      <c r="T962" t="s">
        <v>57</v>
      </c>
    </row>
    <row r="963" ht="25.5" customHeight="1" spans="1:20">
      <c r="A963" t="s">
        <v>3105</v>
      </c>
      <c r="B963" t="s">
        <v>65</v>
      </c>
      <c r="C963" t="s">
        <v>3861</v>
      </c>
      <c r="D963" s="3" t="str">
        <f>HYPERLINK("https://www.instagram.com/kiredroid/reels/","https://www.instagram.com/kiredroid/reels/")</f>
        <v>https://www.instagram.com/kiredroid/reels/</v>
      </c>
      <c r="E963" s="2">
        <v>45665</v>
      </c>
      <c r="F963">
        <v>178</v>
      </c>
      <c r="G963">
        <v>1414</v>
      </c>
      <c r="H963">
        <v>36</v>
      </c>
      <c r="I963">
        <v>0</v>
      </c>
      <c r="L963" t="s">
        <v>3862</v>
      </c>
      <c r="N963" t="s">
        <v>1630</v>
      </c>
      <c r="O963" s="4">
        <v>45670.7729398148</v>
      </c>
      <c r="P963" t="s">
        <v>116</v>
      </c>
      <c r="Q963" t="s">
        <v>1652</v>
      </c>
      <c r="R963" t="s">
        <v>3504</v>
      </c>
      <c r="T963" t="s">
        <v>116</v>
      </c>
    </row>
    <row r="964" ht="25.5" customHeight="1" spans="1:20">
      <c r="A964" t="s">
        <v>3105</v>
      </c>
      <c r="B964" t="s">
        <v>65</v>
      </c>
      <c r="C964" t="s">
        <v>3861</v>
      </c>
      <c r="D964" s="3"/>
      <c r="E964" s="2">
        <v>45671</v>
      </c>
      <c r="F964">
        <v>179</v>
      </c>
      <c r="G964">
        <v>1417</v>
      </c>
      <c r="H964">
        <v>36</v>
      </c>
      <c r="I964">
        <v>0</v>
      </c>
      <c r="L964" t="s">
        <v>3862</v>
      </c>
      <c r="N964" t="s">
        <v>1630</v>
      </c>
      <c r="O964" s="4">
        <v>45672.5030092593</v>
      </c>
      <c r="P964" t="s">
        <v>116</v>
      </c>
      <c r="Q964" t="s">
        <v>1652</v>
      </c>
      <c r="R964" t="s">
        <v>3504</v>
      </c>
      <c r="T964" t="s">
        <v>116</v>
      </c>
    </row>
    <row r="965" ht="25.5" customHeight="1" spans="1:20">
      <c r="A965" t="s">
        <v>3105</v>
      </c>
      <c r="B965" t="s">
        <v>65</v>
      </c>
      <c r="C965" t="s">
        <v>3861</v>
      </c>
      <c r="D965" s="3"/>
      <c r="E965" s="2">
        <v>45672</v>
      </c>
      <c r="F965">
        <v>179</v>
      </c>
      <c r="G965">
        <v>1421</v>
      </c>
      <c r="H965">
        <v>36</v>
      </c>
      <c r="I965">
        <v>0</v>
      </c>
      <c r="L965" t="s">
        <v>3862</v>
      </c>
      <c r="N965" t="s">
        <v>1630</v>
      </c>
      <c r="O965" s="4">
        <v>45672.5062152778</v>
      </c>
      <c r="P965" t="s">
        <v>116</v>
      </c>
      <c r="Q965" t="s">
        <v>1652</v>
      </c>
      <c r="R965" t="s">
        <v>3504</v>
      </c>
      <c r="T965" t="s">
        <v>116</v>
      </c>
    </row>
    <row r="966" ht="25.5" customHeight="1" spans="1:20">
      <c r="A966" t="s">
        <v>3105</v>
      </c>
      <c r="B966" t="s">
        <v>65</v>
      </c>
      <c r="C966" t="s">
        <v>3861</v>
      </c>
      <c r="D966" s="3"/>
      <c r="E966" s="2">
        <v>45673</v>
      </c>
      <c r="F966">
        <v>179</v>
      </c>
      <c r="G966">
        <v>1425</v>
      </c>
      <c r="H966">
        <v>37</v>
      </c>
      <c r="I966">
        <v>0</v>
      </c>
      <c r="L966" t="s">
        <v>3510</v>
      </c>
      <c r="N966" t="s">
        <v>1630</v>
      </c>
      <c r="O966" s="4">
        <v>45673.4886458333</v>
      </c>
      <c r="P966" t="s">
        <v>116</v>
      </c>
      <c r="Q966" t="s">
        <v>1652</v>
      </c>
      <c r="R966" t="s">
        <v>3505</v>
      </c>
      <c r="T966" t="s">
        <v>116</v>
      </c>
    </row>
    <row r="967" ht="25.5" customHeight="1" spans="1:20">
      <c r="A967" t="s">
        <v>3105</v>
      </c>
      <c r="B967" t="s">
        <v>65</v>
      </c>
      <c r="C967" t="s">
        <v>3861</v>
      </c>
      <c r="D967" s="3"/>
      <c r="E967" s="2">
        <v>45674</v>
      </c>
      <c r="F967">
        <v>179</v>
      </c>
      <c r="G967">
        <v>1429</v>
      </c>
      <c r="H967">
        <v>37</v>
      </c>
      <c r="I967">
        <v>0</v>
      </c>
      <c r="L967" t="s">
        <v>3510</v>
      </c>
      <c r="N967" t="s">
        <v>1630</v>
      </c>
      <c r="O967" s="4">
        <v>45674.6252777778</v>
      </c>
      <c r="P967" t="s">
        <v>116</v>
      </c>
      <c r="Q967" t="s">
        <v>1652</v>
      </c>
      <c r="R967" t="s">
        <v>3505</v>
      </c>
      <c r="T967" t="s">
        <v>116</v>
      </c>
    </row>
    <row r="968" ht="25.5" customHeight="1" spans="1:20">
      <c r="A968" t="s">
        <v>3105</v>
      </c>
      <c r="B968" t="s">
        <v>65</v>
      </c>
      <c r="C968" t="s">
        <v>3861</v>
      </c>
      <c r="D968" s="3"/>
      <c r="E968" s="2">
        <v>45677</v>
      </c>
      <c r="F968">
        <v>179</v>
      </c>
      <c r="G968">
        <v>1441</v>
      </c>
      <c r="H968">
        <v>37</v>
      </c>
      <c r="I968">
        <v>0</v>
      </c>
      <c r="L968" t="s">
        <v>3510</v>
      </c>
      <c r="N968" t="s">
        <v>1630</v>
      </c>
      <c r="O968" s="4">
        <v>45677.4031481482</v>
      </c>
      <c r="P968" t="s">
        <v>116</v>
      </c>
      <c r="Q968" t="s">
        <v>1652</v>
      </c>
      <c r="R968" t="s">
        <v>3505</v>
      </c>
      <c r="T968" t="s">
        <v>116</v>
      </c>
    </row>
    <row r="969" ht="25.5" customHeight="1" spans="1:20">
      <c r="A969" t="s">
        <v>3105</v>
      </c>
      <c r="B969" t="s">
        <v>65</v>
      </c>
      <c r="C969" t="s">
        <v>3861</v>
      </c>
      <c r="D969" s="3"/>
      <c r="E969" s="2">
        <v>45678</v>
      </c>
      <c r="F969">
        <v>179</v>
      </c>
      <c r="G969">
        <v>1442</v>
      </c>
      <c r="H969">
        <v>37</v>
      </c>
      <c r="I969">
        <v>0</v>
      </c>
      <c r="L969" t="s">
        <v>3510</v>
      </c>
      <c r="N969" t="s">
        <v>1630</v>
      </c>
      <c r="O969" s="4">
        <v>45678.5021412037</v>
      </c>
      <c r="P969" t="s">
        <v>116</v>
      </c>
      <c r="Q969" t="s">
        <v>1652</v>
      </c>
      <c r="R969" t="s">
        <v>3505</v>
      </c>
      <c r="T969" t="s">
        <v>116</v>
      </c>
    </row>
    <row r="970" ht="25.5" customHeight="1" spans="1:20">
      <c r="A970" t="s">
        <v>3105</v>
      </c>
      <c r="B970" t="s">
        <v>65</v>
      </c>
      <c r="C970" t="s">
        <v>3861</v>
      </c>
      <c r="D970" s="3"/>
      <c r="E970" s="2">
        <v>45679</v>
      </c>
      <c r="F970">
        <v>179</v>
      </c>
      <c r="G970">
        <v>1442</v>
      </c>
      <c r="H970">
        <v>37</v>
      </c>
      <c r="I970">
        <v>0</v>
      </c>
      <c r="L970" t="s">
        <v>3510</v>
      </c>
      <c r="N970" t="s">
        <v>1630</v>
      </c>
      <c r="O970" s="4">
        <v>45679.662337963</v>
      </c>
      <c r="P970" t="s">
        <v>116</v>
      </c>
      <c r="Q970" t="s">
        <v>1652</v>
      </c>
      <c r="R970" t="s">
        <v>3505</v>
      </c>
      <c r="T970" t="s">
        <v>116</v>
      </c>
    </row>
    <row r="971" ht="25.5" customHeight="1" spans="1:20">
      <c r="A971" t="s">
        <v>3105</v>
      </c>
      <c r="B971" t="s">
        <v>65</v>
      </c>
      <c r="C971" t="s">
        <v>3861</v>
      </c>
      <c r="D971" s="3"/>
      <c r="E971" s="2">
        <v>45680</v>
      </c>
      <c r="F971">
        <v>179</v>
      </c>
      <c r="G971">
        <v>1446</v>
      </c>
      <c r="H971">
        <v>37</v>
      </c>
      <c r="I971">
        <v>0</v>
      </c>
      <c r="L971" t="s">
        <v>3510</v>
      </c>
      <c r="N971" t="s">
        <v>1630</v>
      </c>
      <c r="O971" s="4">
        <v>45680.512037037</v>
      </c>
      <c r="P971" t="s">
        <v>116</v>
      </c>
      <c r="Q971" t="s">
        <v>1652</v>
      </c>
      <c r="R971" t="s">
        <v>3505</v>
      </c>
      <c r="T971" t="s">
        <v>116</v>
      </c>
    </row>
    <row r="972" ht="25.5" customHeight="1" spans="1:20">
      <c r="A972" t="s">
        <v>3105</v>
      </c>
      <c r="B972" t="s">
        <v>65</v>
      </c>
      <c r="C972" t="s">
        <v>3861</v>
      </c>
      <c r="D972" s="3"/>
      <c r="E972" s="2">
        <v>45681</v>
      </c>
      <c r="F972">
        <v>179</v>
      </c>
      <c r="G972">
        <v>1447</v>
      </c>
      <c r="H972">
        <v>37</v>
      </c>
      <c r="I972">
        <v>0</v>
      </c>
      <c r="L972" t="s">
        <v>3510</v>
      </c>
      <c r="N972" t="s">
        <v>1630</v>
      </c>
      <c r="O972" s="4">
        <v>45681.4908796296</v>
      </c>
      <c r="P972" t="s">
        <v>116</v>
      </c>
      <c r="Q972" t="s">
        <v>1652</v>
      </c>
      <c r="R972" t="s">
        <v>3505</v>
      </c>
      <c r="T972" t="s">
        <v>116</v>
      </c>
    </row>
    <row r="973" ht="25.5" customHeight="1" spans="1:20">
      <c r="A973" t="s">
        <v>3105</v>
      </c>
      <c r="B973" t="s">
        <v>65</v>
      </c>
      <c r="C973" t="s">
        <v>3861</v>
      </c>
      <c r="D973" s="3"/>
      <c r="E973" s="2">
        <v>45683</v>
      </c>
      <c r="F973">
        <v>179</v>
      </c>
      <c r="G973">
        <v>1447</v>
      </c>
      <c r="H973">
        <v>37</v>
      </c>
      <c r="I973">
        <v>0</v>
      </c>
      <c r="L973" t="s">
        <v>3510</v>
      </c>
      <c r="N973" t="s">
        <v>1630</v>
      </c>
      <c r="O973" s="4">
        <v>45683.7134953704</v>
      </c>
      <c r="P973" t="s">
        <v>116</v>
      </c>
      <c r="Q973" t="s">
        <v>1652</v>
      </c>
      <c r="R973" t="s">
        <v>3505</v>
      </c>
      <c r="T973" t="s">
        <v>116</v>
      </c>
    </row>
    <row r="974" ht="25.5" customHeight="1" spans="1:20">
      <c r="A974" t="s">
        <v>3105</v>
      </c>
      <c r="B974" t="s">
        <v>65</v>
      </c>
      <c r="C974" t="s">
        <v>3861</v>
      </c>
      <c r="D974" s="3"/>
      <c r="E974" s="2">
        <v>45684</v>
      </c>
      <c r="F974">
        <v>179</v>
      </c>
      <c r="G974">
        <v>1447</v>
      </c>
      <c r="H974">
        <v>37</v>
      </c>
      <c r="I974">
        <v>0</v>
      </c>
      <c r="L974" t="s">
        <v>3510</v>
      </c>
      <c r="N974" t="s">
        <v>1630</v>
      </c>
      <c r="O974" s="4">
        <v>45684.7748263889</v>
      </c>
      <c r="P974" t="s">
        <v>116</v>
      </c>
      <c r="Q974" t="s">
        <v>1652</v>
      </c>
      <c r="R974" t="s">
        <v>3505</v>
      </c>
      <c r="T974" t="s">
        <v>116</v>
      </c>
    </row>
    <row r="975" ht="25.5" customHeight="1" spans="1:20">
      <c r="A975" t="s">
        <v>3105</v>
      </c>
      <c r="B975" t="s">
        <v>65</v>
      </c>
      <c r="C975" t="s">
        <v>3861</v>
      </c>
      <c r="D975" s="3"/>
      <c r="E975" s="2">
        <v>45693</v>
      </c>
      <c r="F975">
        <v>176</v>
      </c>
      <c r="G975">
        <v>1454</v>
      </c>
      <c r="H975">
        <v>37</v>
      </c>
      <c r="I975">
        <v>0</v>
      </c>
      <c r="L975" t="s">
        <v>3510</v>
      </c>
      <c r="N975" t="s">
        <v>1630</v>
      </c>
      <c r="O975" s="4">
        <v>45693.775625</v>
      </c>
      <c r="P975" t="s">
        <v>116</v>
      </c>
      <c r="Q975" t="s">
        <v>1652</v>
      </c>
      <c r="R975" t="s">
        <v>3505</v>
      </c>
      <c r="T975" t="s">
        <v>116</v>
      </c>
    </row>
    <row r="976" ht="25.5" customHeight="1" spans="1:20">
      <c r="A976" t="s">
        <v>3105</v>
      </c>
      <c r="B976" t="s">
        <v>65</v>
      </c>
      <c r="C976" t="s">
        <v>3861</v>
      </c>
      <c r="D976" s="3"/>
      <c r="E976" s="2">
        <v>45694</v>
      </c>
      <c r="F976">
        <v>176</v>
      </c>
      <c r="G976">
        <v>1454</v>
      </c>
      <c r="H976">
        <v>37</v>
      </c>
      <c r="I976">
        <v>0</v>
      </c>
      <c r="L976" t="s">
        <v>3510</v>
      </c>
      <c r="N976" t="s">
        <v>1630</v>
      </c>
      <c r="O976" s="4">
        <v>45698.6221296296</v>
      </c>
      <c r="P976" t="s">
        <v>116</v>
      </c>
      <c r="Q976" t="s">
        <v>1652</v>
      </c>
      <c r="R976" t="s">
        <v>3505</v>
      </c>
      <c r="S976" t="s">
        <v>3301</v>
      </c>
      <c r="T976" t="s">
        <v>116</v>
      </c>
    </row>
    <row r="977" ht="25.5" customHeight="1" spans="1:20">
      <c r="A977" t="s">
        <v>3105</v>
      </c>
      <c r="B977" t="s">
        <v>65</v>
      </c>
      <c r="C977" t="s">
        <v>3861</v>
      </c>
      <c r="D977" s="3"/>
      <c r="E977" s="2">
        <v>45695</v>
      </c>
      <c r="F977">
        <v>176</v>
      </c>
      <c r="G977">
        <v>1454</v>
      </c>
      <c r="H977">
        <v>37</v>
      </c>
      <c r="I977">
        <v>0</v>
      </c>
      <c r="L977" t="s">
        <v>3510</v>
      </c>
      <c r="N977" t="s">
        <v>1630</v>
      </c>
      <c r="O977" s="4">
        <v>45695.486400463</v>
      </c>
      <c r="P977" t="s">
        <v>116</v>
      </c>
      <c r="Q977" t="s">
        <v>1652</v>
      </c>
      <c r="R977" t="s">
        <v>3505</v>
      </c>
      <c r="T977" t="s">
        <v>116</v>
      </c>
    </row>
    <row r="978" ht="25.5" customHeight="1" spans="1:20">
      <c r="A978" t="s">
        <v>616</v>
      </c>
      <c r="B978" t="s">
        <v>3274</v>
      </c>
      <c r="C978" t="s">
        <v>3863</v>
      </c>
      <c r="D978" s="3"/>
      <c r="E978" s="2"/>
      <c r="M978" t="s">
        <v>3864</v>
      </c>
      <c r="N978" t="s">
        <v>3277</v>
      </c>
      <c r="O978" s="4">
        <v>45670.743587963</v>
      </c>
      <c r="P978" t="s">
        <v>3278</v>
      </c>
      <c r="Q978" t="s">
        <v>3627</v>
      </c>
      <c r="R978" t="s">
        <v>3133</v>
      </c>
      <c r="T978" t="s">
        <v>3278</v>
      </c>
    </row>
    <row r="979" ht="25.5" customHeight="1" spans="1:20">
      <c r="A979" t="s">
        <v>616</v>
      </c>
      <c r="B979" t="s">
        <v>3274</v>
      </c>
      <c r="C979" t="s">
        <v>3863</v>
      </c>
      <c r="D979" s="3"/>
      <c r="E979" s="2"/>
      <c r="M979" t="s">
        <v>3864</v>
      </c>
      <c r="N979" t="s">
        <v>3277</v>
      </c>
      <c r="O979" s="4">
        <v>45670.743587963</v>
      </c>
      <c r="P979" t="s">
        <v>3278</v>
      </c>
      <c r="Q979" t="s">
        <v>3627</v>
      </c>
      <c r="R979" t="s">
        <v>3133</v>
      </c>
      <c r="T979" t="s">
        <v>3278</v>
      </c>
    </row>
    <row r="980" ht="25.5" customHeight="1" spans="1:20">
      <c r="A980" t="s">
        <v>803</v>
      </c>
      <c r="B980" t="s">
        <v>65</v>
      </c>
      <c r="C980" t="s">
        <v>3865</v>
      </c>
      <c r="D980" s="3" t="str">
        <f>HYPERLINK("https://www.instagram.com/lplucas/reels/","https://www.instagram.com/lplucas/reels/")</f>
        <v>https://www.instagram.com/lplucas/reels/</v>
      </c>
      <c r="E980" s="2">
        <v>45677</v>
      </c>
      <c r="F980">
        <v>114000</v>
      </c>
      <c r="G980">
        <v>18700</v>
      </c>
      <c r="H980">
        <v>1676</v>
      </c>
      <c r="I980">
        <v>8</v>
      </c>
      <c r="L980" t="s">
        <v>3331</v>
      </c>
      <c r="M980" t="s">
        <v>3594</v>
      </c>
      <c r="N980" t="s">
        <v>1630</v>
      </c>
      <c r="O980" s="4">
        <v>45679.6624768519</v>
      </c>
      <c r="P980" t="s">
        <v>116</v>
      </c>
      <c r="Q980" t="s">
        <v>1652</v>
      </c>
      <c r="R980" t="s">
        <v>3866</v>
      </c>
      <c r="T980" t="s">
        <v>116</v>
      </c>
    </row>
    <row r="981" ht="25.5" customHeight="1" spans="1:20">
      <c r="A981" t="s">
        <v>803</v>
      </c>
      <c r="B981" t="s">
        <v>65</v>
      </c>
      <c r="C981" t="s">
        <v>3865</v>
      </c>
      <c r="D981" s="3"/>
      <c r="E981" s="2">
        <v>45678</v>
      </c>
      <c r="F981">
        <v>114000</v>
      </c>
      <c r="G981">
        <v>19200</v>
      </c>
      <c r="H981">
        <v>1715</v>
      </c>
      <c r="I981">
        <v>8</v>
      </c>
      <c r="L981" t="s">
        <v>3281</v>
      </c>
      <c r="M981" t="s">
        <v>3594</v>
      </c>
      <c r="N981" t="s">
        <v>1630</v>
      </c>
      <c r="O981" s="4">
        <v>45678.5025231481</v>
      </c>
      <c r="P981" t="s">
        <v>116</v>
      </c>
      <c r="Q981" t="s">
        <v>1652</v>
      </c>
      <c r="R981" t="s">
        <v>3867</v>
      </c>
      <c r="T981" t="s">
        <v>116</v>
      </c>
    </row>
    <row r="982" ht="25.5" customHeight="1" spans="1:20">
      <c r="A982" t="s">
        <v>803</v>
      </c>
      <c r="B982" t="s">
        <v>65</v>
      </c>
      <c r="C982" t="s">
        <v>3865</v>
      </c>
      <c r="D982" s="3"/>
      <c r="E982" s="2">
        <v>45679</v>
      </c>
      <c r="F982">
        <v>114000</v>
      </c>
      <c r="G982">
        <v>19700</v>
      </c>
      <c r="H982">
        <v>1762</v>
      </c>
      <c r="I982">
        <v>8</v>
      </c>
      <c r="L982" t="s">
        <v>3281</v>
      </c>
      <c r="M982" t="s">
        <v>3594</v>
      </c>
      <c r="N982" t="s">
        <v>1630</v>
      </c>
      <c r="O982" s="4">
        <v>45679.662650463</v>
      </c>
      <c r="P982" t="s">
        <v>116</v>
      </c>
      <c r="Q982" t="s">
        <v>1652</v>
      </c>
      <c r="R982" t="s">
        <v>3868</v>
      </c>
      <c r="T982" t="s">
        <v>116</v>
      </c>
    </row>
    <row r="983" ht="25.5" customHeight="1" spans="1:20">
      <c r="A983" t="s">
        <v>803</v>
      </c>
      <c r="B983" t="s">
        <v>65</v>
      </c>
      <c r="C983" t="s">
        <v>3865</v>
      </c>
      <c r="D983" s="3"/>
      <c r="E983" s="2">
        <v>45680</v>
      </c>
      <c r="F983">
        <v>114000</v>
      </c>
      <c r="G983">
        <v>20100</v>
      </c>
      <c r="H983">
        <v>1782</v>
      </c>
      <c r="I983">
        <v>8</v>
      </c>
      <c r="L983" t="s">
        <v>3281</v>
      </c>
      <c r="M983" t="s">
        <v>3594</v>
      </c>
      <c r="N983" t="s">
        <v>1630</v>
      </c>
      <c r="O983" s="4">
        <v>45680.512337963</v>
      </c>
      <c r="P983" t="s">
        <v>116</v>
      </c>
      <c r="Q983" t="s">
        <v>1652</v>
      </c>
      <c r="R983" t="s">
        <v>3869</v>
      </c>
      <c r="T983" t="s">
        <v>116</v>
      </c>
    </row>
    <row r="984" ht="25.5" customHeight="1" spans="1:20">
      <c r="A984" t="s">
        <v>803</v>
      </c>
      <c r="B984" t="s">
        <v>65</v>
      </c>
      <c r="C984" t="s">
        <v>3865</v>
      </c>
      <c r="D984" s="3"/>
      <c r="E984" s="2">
        <v>45681</v>
      </c>
      <c r="F984">
        <v>114000</v>
      </c>
      <c r="G984">
        <v>20400</v>
      </c>
      <c r="H984">
        <v>1802</v>
      </c>
      <c r="I984">
        <v>8</v>
      </c>
      <c r="L984" t="s">
        <v>3281</v>
      </c>
      <c r="M984" t="s">
        <v>3594</v>
      </c>
      <c r="N984" t="s">
        <v>1630</v>
      </c>
      <c r="O984" s="4">
        <v>45681.491099537</v>
      </c>
      <c r="P984" t="s">
        <v>116</v>
      </c>
      <c r="Q984" t="s">
        <v>1652</v>
      </c>
      <c r="R984" t="s">
        <v>3870</v>
      </c>
      <c r="T984" t="s">
        <v>116</v>
      </c>
    </row>
    <row r="985" ht="25.5" customHeight="1" spans="1:20">
      <c r="A985" t="s">
        <v>803</v>
      </c>
      <c r="B985" t="s">
        <v>65</v>
      </c>
      <c r="C985" t="s">
        <v>3865</v>
      </c>
      <c r="D985" s="3"/>
      <c r="E985" s="2">
        <v>45683</v>
      </c>
      <c r="F985">
        <v>114000</v>
      </c>
      <c r="G985">
        <v>20900</v>
      </c>
      <c r="H985">
        <v>1846</v>
      </c>
      <c r="I985">
        <v>8</v>
      </c>
      <c r="L985" t="s">
        <v>3281</v>
      </c>
      <c r="M985" t="s">
        <v>3594</v>
      </c>
      <c r="N985" t="s">
        <v>1630</v>
      </c>
      <c r="O985" s="4">
        <v>45683.7137731481</v>
      </c>
      <c r="P985" t="s">
        <v>116</v>
      </c>
      <c r="Q985" t="s">
        <v>1652</v>
      </c>
      <c r="R985" t="s">
        <v>3871</v>
      </c>
      <c r="T985" t="s">
        <v>116</v>
      </c>
    </row>
    <row r="986" ht="25.5" customHeight="1" spans="1:20">
      <c r="A986" t="s">
        <v>803</v>
      </c>
      <c r="B986" t="s">
        <v>65</v>
      </c>
      <c r="C986" t="s">
        <v>3865</v>
      </c>
      <c r="D986" s="3"/>
      <c r="E986" s="2">
        <v>45684</v>
      </c>
      <c r="F986">
        <v>114000</v>
      </c>
      <c r="G986">
        <v>21200</v>
      </c>
      <c r="H986">
        <v>1866</v>
      </c>
      <c r="I986">
        <v>8</v>
      </c>
      <c r="L986" t="s">
        <v>3281</v>
      </c>
      <c r="M986" t="s">
        <v>3594</v>
      </c>
      <c r="N986" t="s">
        <v>1630</v>
      </c>
      <c r="O986" s="4">
        <v>45684.7749884259</v>
      </c>
      <c r="P986" t="s">
        <v>116</v>
      </c>
      <c r="Q986" t="s">
        <v>1652</v>
      </c>
      <c r="R986" t="s">
        <v>3872</v>
      </c>
      <c r="T986" t="s">
        <v>116</v>
      </c>
    </row>
    <row r="987" ht="25.5" customHeight="1" spans="1:20">
      <c r="A987" t="s">
        <v>803</v>
      </c>
      <c r="B987" t="s">
        <v>65</v>
      </c>
      <c r="C987" t="s">
        <v>3865</v>
      </c>
      <c r="D987" s="3" t="str">
        <f>HYPERLINK("https://www.instagram.com/lplucas/reels/","https://www.instagram.com/lplucas/reels/")</f>
        <v>https://www.instagram.com/lplucas/reels/</v>
      </c>
      <c r="E987" s="2">
        <v>45693</v>
      </c>
      <c r="F987">
        <v>114000</v>
      </c>
      <c r="G987">
        <v>21300</v>
      </c>
      <c r="H987">
        <v>1923</v>
      </c>
      <c r="I987">
        <v>9</v>
      </c>
      <c r="L987" t="s">
        <v>3281</v>
      </c>
      <c r="M987" t="s">
        <v>3594</v>
      </c>
      <c r="N987" t="s">
        <v>1630</v>
      </c>
      <c r="O987" s="4">
        <v>45695.4869328704</v>
      </c>
      <c r="P987" t="s">
        <v>116</v>
      </c>
      <c r="Q987" t="s">
        <v>1652</v>
      </c>
      <c r="R987" t="s">
        <v>3873</v>
      </c>
      <c r="T987" t="s">
        <v>116</v>
      </c>
    </row>
    <row r="988" ht="25.5" customHeight="1" spans="1:20">
      <c r="A988" t="s">
        <v>803</v>
      </c>
      <c r="B988" t="s">
        <v>65</v>
      </c>
      <c r="C988" t="s">
        <v>3865</v>
      </c>
      <c r="D988" s="3"/>
      <c r="E988" s="2">
        <v>45694</v>
      </c>
      <c r="F988">
        <v>114000</v>
      </c>
      <c r="G988">
        <v>21800</v>
      </c>
      <c r="H988">
        <v>1923</v>
      </c>
      <c r="I988">
        <v>9</v>
      </c>
      <c r="L988" t="s">
        <v>3281</v>
      </c>
      <c r="M988" t="s">
        <v>3594</v>
      </c>
      <c r="N988" t="s">
        <v>1630</v>
      </c>
      <c r="O988" s="4">
        <v>45698.6216782407</v>
      </c>
      <c r="P988" t="s">
        <v>116</v>
      </c>
      <c r="Q988" t="s">
        <v>1652</v>
      </c>
      <c r="R988" t="s">
        <v>3873</v>
      </c>
      <c r="S988" t="s">
        <v>3245</v>
      </c>
      <c r="T988" t="s">
        <v>116</v>
      </c>
    </row>
    <row r="989" ht="25.5" customHeight="1" spans="1:20">
      <c r="A989" t="s">
        <v>803</v>
      </c>
      <c r="B989" t="s">
        <v>65</v>
      </c>
      <c r="C989" t="s">
        <v>3865</v>
      </c>
      <c r="D989" s="3"/>
      <c r="E989" s="2">
        <v>45695</v>
      </c>
      <c r="F989">
        <v>114000</v>
      </c>
      <c r="G989">
        <v>21900</v>
      </c>
      <c r="H989">
        <v>1926</v>
      </c>
      <c r="I989">
        <v>9</v>
      </c>
      <c r="L989" t="s">
        <v>3281</v>
      </c>
      <c r="M989" t="s">
        <v>3594</v>
      </c>
      <c r="N989" t="s">
        <v>1630</v>
      </c>
      <c r="O989" s="4">
        <v>45695.4869675926</v>
      </c>
      <c r="P989" t="s">
        <v>116</v>
      </c>
      <c r="Q989" t="s">
        <v>1652</v>
      </c>
      <c r="R989" t="s">
        <v>3716</v>
      </c>
      <c r="T989" t="s">
        <v>116</v>
      </c>
    </row>
    <row r="990" ht="25.5" customHeight="1" spans="1:20">
      <c r="A990" t="s">
        <v>803</v>
      </c>
      <c r="B990" t="s">
        <v>65</v>
      </c>
      <c r="C990" t="s">
        <v>3865</v>
      </c>
      <c r="D990" s="3"/>
      <c r="E990" s="2">
        <v>45696</v>
      </c>
      <c r="F990">
        <v>114000</v>
      </c>
      <c r="G990">
        <v>21900</v>
      </c>
      <c r="H990">
        <v>1927</v>
      </c>
      <c r="I990">
        <v>9</v>
      </c>
      <c r="L990" t="s">
        <v>3281</v>
      </c>
      <c r="M990" t="s">
        <v>3594</v>
      </c>
      <c r="N990" t="s">
        <v>1630</v>
      </c>
      <c r="O990" s="4">
        <v>45696.4488310185</v>
      </c>
      <c r="P990" t="s">
        <v>116</v>
      </c>
      <c r="Q990" t="s">
        <v>1652</v>
      </c>
      <c r="R990" t="s">
        <v>3874</v>
      </c>
      <c r="T990" t="s">
        <v>116</v>
      </c>
    </row>
    <row r="991" ht="25.5" customHeight="1" spans="1:20">
      <c r="A991" t="s">
        <v>2792</v>
      </c>
      <c r="B991" t="s">
        <v>56</v>
      </c>
      <c r="D991" s="3"/>
      <c r="E991" s="2"/>
      <c r="M991" t="s">
        <v>3666</v>
      </c>
      <c r="N991" t="s">
        <v>1645</v>
      </c>
      <c r="O991" s="4">
        <v>45670.743587963</v>
      </c>
      <c r="P991" t="s">
        <v>57</v>
      </c>
      <c r="R991" t="s">
        <v>3133</v>
      </c>
      <c r="T991" t="s">
        <v>57</v>
      </c>
    </row>
    <row r="992" ht="25.5" customHeight="1" spans="1:20">
      <c r="A992" t="s">
        <v>2949</v>
      </c>
      <c r="B992" t="s">
        <v>56</v>
      </c>
      <c r="C992" t="s">
        <v>3875</v>
      </c>
      <c r="D992" s="3"/>
      <c r="E992" s="2">
        <v>45671</v>
      </c>
      <c r="F992">
        <v>244300</v>
      </c>
      <c r="G992">
        <v>271</v>
      </c>
      <c r="H992">
        <v>12</v>
      </c>
      <c r="I992">
        <v>1</v>
      </c>
      <c r="J992">
        <v>3</v>
      </c>
      <c r="K992">
        <v>0</v>
      </c>
      <c r="L992" t="s">
        <v>3195</v>
      </c>
      <c r="M992" t="s">
        <v>3270</v>
      </c>
      <c r="N992" t="s">
        <v>1630</v>
      </c>
      <c r="O992" s="4">
        <v>45672.5030092593</v>
      </c>
      <c r="P992" t="s">
        <v>57</v>
      </c>
      <c r="Q992" t="s">
        <v>1753</v>
      </c>
      <c r="R992" t="s">
        <v>3488</v>
      </c>
      <c r="T992" t="s">
        <v>57</v>
      </c>
    </row>
    <row r="993" ht="25.5" customHeight="1" spans="1:20">
      <c r="A993" t="s">
        <v>2949</v>
      </c>
      <c r="B993" t="s">
        <v>56</v>
      </c>
      <c r="C993" t="s">
        <v>3875</v>
      </c>
      <c r="D993" s="3"/>
      <c r="E993" s="2">
        <v>45672</v>
      </c>
      <c r="F993">
        <v>244300</v>
      </c>
      <c r="G993">
        <v>284</v>
      </c>
      <c r="H993">
        <v>14</v>
      </c>
      <c r="I993">
        <v>1</v>
      </c>
      <c r="J993">
        <v>3</v>
      </c>
      <c r="K993">
        <v>0</v>
      </c>
      <c r="L993" t="s">
        <v>3195</v>
      </c>
      <c r="M993" t="s">
        <v>3270</v>
      </c>
      <c r="N993" t="s">
        <v>1630</v>
      </c>
      <c r="O993" s="4">
        <v>45672.5200925926</v>
      </c>
      <c r="P993" t="s">
        <v>57</v>
      </c>
      <c r="Q993" t="s">
        <v>1753</v>
      </c>
      <c r="R993" t="s">
        <v>3876</v>
      </c>
      <c r="T993" t="s">
        <v>57</v>
      </c>
    </row>
    <row r="994" ht="25.5" customHeight="1" spans="1:20">
      <c r="A994" t="s">
        <v>2949</v>
      </c>
      <c r="B994" t="s">
        <v>56</v>
      </c>
      <c r="C994" t="s">
        <v>3875</v>
      </c>
      <c r="D994" s="3"/>
      <c r="E994" s="2">
        <v>45673</v>
      </c>
      <c r="F994">
        <v>244300</v>
      </c>
      <c r="G994">
        <v>291</v>
      </c>
      <c r="H994">
        <v>14</v>
      </c>
      <c r="I994">
        <v>1</v>
      </c>
      <c r="J994">
        <v>3</v>
      </c>
      <c r="K994">
        <v>0</v>
      </c>
      <c r="L994" t="s">
        <v>3195</v>
      </c>
      <c r="M994" t="s">
        <v>3270</v>
      </c>
      <c r="N994" t="s">
        <v>1630</v>
      </c>
      <c r="O994" s="4">
        <v>45673.6093055556</v>
      </c>
      <c r="P994" t="s">
        <v>57</v>
      </c>
      <c r="Q994" t="s">
        <v>1753</v>
      </c>
      <c r="R994" t="s">
        <v>3876</v>
      </c>
      <c r="T994" t="s">
        <v>57</v>
      </c>
    </row>
    <row r="995" ht="25.5" customHeight="1" spans="1:20">
      <c r="A995" t="s">
        <v>2949</v>
      </c>
      <c r="B995" t="s">
        <v>56</v>
      </c>
      <c r="C995" t="s">
        <v>3875</v>
      </c>
      <c r="D995" s="3"/>
      <c r="E995" s="2">
        <v>45674</v>
      </c>
      <c r="F995">
        <v>244300</v>
      </c>
      <c r="G995">
        <v>298</v>
      </c>
      <c r="H995">
        <v>14</v>
      </c>
      <c r="I995">
        <v>1</v>
      </c>
      <c r="J995">
        <v>3</v>
      </c>
      <c r="K995">
        <v>0</v>
      </c>
      <c r="L995" t="s">
        <v>3195</v>
      </c>
      <c r="M995" t="s">
        <v>3270</v>
      </c>
      <c r="N995" t="s">
        <v>1630</v>
      </c>
      <c r="O995" s="4">
        <v>45674.6719675926</v>
      </c>
      <c r="P995" t="s">
        <v>57</v>
      </c>
      <c r="Q995" t="s">
        <v>1753</v>
      </c>
      <c r="R995" t="s">
        <v>3876</v>
      </c>
      <c r="T995" t="s">
        <v>57</v>
      </c>
    </row>
    <row r="996" ht="25.5" customHeight="1" spans="1:20">
      <c r="A996" t="s">
        <v>2949</v>
      </c>
      <c r="B996" t="s">
        <v>56</v>
      </c>
      <c r="C996" t="s">
        <v>3875</v>
      </c>
      <c r="D996" s="3"/>
      <c r="E996" s="2">
        <v>45677</v>
      </c>
      <c r="F996">
        <v>244400</v>
      </c>
      <c r="G996">
        <v>314</v>
      </c>
      <c r="H996">
        <v>14</v>
      </c>
      <c r="I996">
        <v>1</v>
      </c>
      <c r="J996">
        <v>3</v>
      </c>
      <c r="K996">
        <v>0</v>
      </c>
      <c r="L996" t="s">
        <v>3195</v>
      </c>
      <c r="M996" t="s">
        <v>3270</v>
      </c>
      <c r="N996" t="s">
        <v>1630</v>
      </c>
      <c r="O996" s="4">
        <v>45677.4268518519</v>
      </c>
      <c r="P996" t="s">
        <v>57</v>
      </c>
      <c r="Q996" t="s">
        <v>1753</v>
      </c>
      <c r="R996" t="s">
        <v>3876</v>
      </c>
      <c r="T996" t="s">
        <v>57</v>
      </c>
    </row>
    <row r="997" ht="25.5" customHeight="1" spans="1:20">
      <c r="A997" t="s">
        <v>2949</v>
      </c>
      <c r="B997" t="s">
        <v>56</v>
      </c>
      <c r="C997" t="s">
        <v>3875</v>
      </c>
      <c r="D997" s="3"/>
      <c r="E997" s="2">
        <v>45678</v>
      </c>
      <c r="F997">
        <v>244400</v>
      </c>
      <c r="G997">
        <v>315</v>
      </c>
      <c r="H997">
        <v>14</v>
      </c>
      <c r="I997">
        <v>1</v>
      </c>
      <c r="J997">
        <v>3</v>
      </c>
      <c r="K997">
        <v>0</v>
      </c>
      <c r="L997" t="s">
        <v>3195</v>
      </c>
      <c r="M997" t="s">
        <v>3270</v>
      </c>
      <c r="N997" t="s">
        <v>1630</v>
      </c>
      <c r="O997" s="4">
        <v>45678.6348842593</v>
      </c>
      <c r="P997" t="s">
        <v>57</v>
      </c>
      <c r="Q997" t="s">
        <v>1753</v>
      </c>
      <c r="R997" t="s">
        <v>3876</v>
      </c>
      <c r="T997" t="s">
        <v>57</v>
      </c>
    </row>
    <row r="998" ht="25.5" customHeight="1" spans="1:20">
      <c r="A998" t="s">
        <v>2949</v>
      </c>
      <c r="B998" t="s">
        <v>56</v>
      </c>
      <c r="C998" t="s">
        <v>3875</v>
      </c>
      <c r="D998" s="3"/>
      <c r="E998" s="2">
        <v>45679</v>
      </c>
      <c r="F998">
        <v>244500</v>
      </c>
      <c r="G998">
        <v>319</v>
      </c>
      <c r="H998">
        <v>14</v>
      </c>
      <c r="I998">
        <v>1</v>
      </c>
      <c r="J998">
        <v>3</v>
      </c>
      <c r="K998">
        <v>0</v>
      </c>
      <c r="L998" t="s">
        <v>3195</v>
      </c>
      <c r="M998" t="s">
        <v>3270</v>
      </c>
      <c r="N998" t="s">
        <v>1630</v>
      </c>
      <c r="O998" s="4">
        <v>45679.6916087963</v>
      </c>
      <c r="P998" t="s">
        <v>57</v>
      </c>
      <c r="Q998" t="s">
        <v>1753</v>
      </c>
      <c r="R998" t="s">
        <v>3876</v>
      </c>
      <c r="T998" t="s">
        <v>57</v>
      </c>
    </row>
    <row r="999" ht="25.5" customHeight="1" spans="1:20">
      <c r="A999" t="s">
        <v>2949</v>
      </c>
      <c r="B999" t="s">
        <v>56</v>
      </c>
      <c r="C999" t="s">
        <v>3875</v>
      </c>
      <c r="D999" s="3"/>
      <c r="E999" s="2">
        <v>45680</v>
      </c>
      <c r="F999">
        <v>244500</v>
      </c>
      <c r="G999">
        <v>321</v>
      </c>
      <c r="H999">
        <v>14</v>
      </c>
      <c r="I999">
        <v>1</v>
      </c>
      <c r="J999">
        <v>3</v>
      </c>
      <c r="K999">
        <v>0</v>
      </c>
      <c r="L999" t="s">
        <v>3195</v>
      </c>
      <c r="M999" t="s">
        <v>3270</v>
      </c>
      <c r="N999" t="s">
        <v>1630</v>
      </c>
      <c r="O999" s="4">
        <v>45680.6472685185</v>
      </c>
      <c r="P999" t="s">
        <v>57</v>
      </c>
      <c r="Q999" t="s">
        <v>1753</v>
      </c>
      <c r="R999" t="s">
        <v>3876</v>
      </c>
      <c r="T999" t="s">
        <v>57</v>
      </c>
    </row>
    <row r="1000" ht="25.5" customHeight="1" spans="1:20">
      <c r="A1000" t="s">
        <v>2949</v>
      </c>
      <c r="B1000" t="s">
        <v>56</v>
      </c>
      <c r="C1000" t="s">
        <v>3875</v>
      </c>
      <c r="D1000" s="3"/>
      <c r="E1000" s="2">
        <v>45681</v>
      </c>
      <c r="F1000">
        <v>244500</v>
      </c>
      <c r="G1000">
        <v>322</v>
      </c>
      <c r="H1000">
        <v>14</v>
      </c>
      <c r="I1000">
        <v>1</v>
      </c>
      <c r="J1000">
        <v>3</v>
      </c>
      <c r="K1000">
        <v>0</v>
      </c>
      <c r="L1000" t="s">
        <v>3195</v>
      </c>
      <c r="M1000" t="s">
        <v>3270</v>
      </c>
      <c r="N1000" t="s">
        <v>1630</v>
      </c>
      <c r="O1000" s="4">
        <v>45681.6058564815</v>
      </c>
      <c r="P1000" t="s">
        <v>57</v>
      </c>
      <c r="Q1000" t="s">
        <v>1753</v>
      </c>
      <c r="R1000" t="s">
        <v>3876</v>
      </c>
      <c r="T1000" t="s">
        <v>57</v>
      </c>
    </row>
    <row r="1001" ht="25.5" customHeight="1" spans="1:20">
      <c r="A1001" t="s">
        <v>2949</v>
      </c>
      <c r="B1001" t="s">
        <v>56</v>
      </c>
      <c r="C1001" t="s">
        <v>3875</v>
      </c>
      <c r="D1001" s="3"/>
      <c r="E1001" s="2">
        <v>45683</v>
      </c>
      <c r="F1001">
        <v>244500</v>
      </c>
      <c r="G1001">
        <v>326</v>
      </c>
      <c r="H1001">
        <v>15</v>
      </c>
      <c r="I1001">
        <v>1</v>
      </c>
      <c r="J1001">
        <v>3</v>
      </c>
      <c r="K1001">
        <v>0</v>
      </c>
      <c r="L1001" t="s">
        <v>3195</v>
      </c>
      <c r="M1001" t="s">
        <v>3270</v>
      </c>
      <c r="N1001" t="s">
        <v>1630</v>
      </c>
      <c r="O1001" s="4">
        <v>45683.7646296296</v>
      </c>
      <c r="P1001" t="s">
        <v>57</v>
      </c>
      <c r="Q1001" t="s">
        <v>1753</v>
      </c>
      <c r="R1001" t="s">
        <v>3877</v>
      </c>
      <c r="T1001" t="s">
        <v>57</v>
      </c>
    </row>
    <row r="1002" ht="25.5" customHeight="1" spans="1:20">
      <c r="A1002" t="s">
        <v>2949</v>
      </c>
      <c r="B1002" t="s">
        <v>56</v>
      </c>
      <c r="C1002" t="s">
        <v>3875</v>
      </c>
      <c r="D1002" s="3"/>
      <c r="E1002" s="2">
        <v>45684</v>
      </c>
      <c r="F1002">
        <v>244400</v>
      </c>
      <c r="G1002">
        <v>327</v>
      </c>
      <c r="H1002">
        <v>15</v>
      </c>
      <c r="I1002">
        <v>1</v>
      </c>
      <c r="J1002">
        <v>3</v>
      </c>
      <c r="K1002">
        <v>0</v>
      </c>
      <c r="L1002" t="s">
        <v>3195</v>
      </c>
      <c r="M1002" t="s">
        <v>3270</v>
      </c>
      <c r="N1002" t="s">
        <v>1630</v>
      </c>
      <c r="O1002" s="4">
        <v>45684.8311689815</v>
      </c>
      <c r="P1002" t="s">
        <v>57</v>
      </c>
      <c r="Q1002" t="s">
        <v>1753</v>
      </c>
      <c r="R1002" t="s">
        <v>3877</v>
      </c>
      <c r="T1002" t="s">
        <v>57</v>
      </c>
    </row>
    <row r="1003" ht="25.5" customHeight="1" spans="1:20">
      <c r="A1003" t="s">
        <v>2949</v>
      </c>
      <c r="B1003" t="s">
        <v>56</v>
      </c>
      <c r="C1003" t="s">
        <v>3875</v>
      </c>
      <c r="D1003" s="3"/>
      <c r="E1003" s="2">
        <v>45693</v>
      </c>
      <c r="F1003">
        <v>244300</v>
      </c>
      <c r="G1003">
        <v>338</v>
      </c>
      <c r="H1003">
        <v>15</v>
      </c>
      <c r="I1003">
        <v>1</v>
      </c>
      <c r="J1003">
        <v>3</v>
      </c>
      <c r="K1003">
        <v>0</v>
      </c>
      <c r="L1003" t="s">
        <v>3195</v>
      </c>
      <c r="M1003" t="s">
        <v>3270</v>
      </c>
      <c r="N1003" t="s">
        <v>1630</v>
      </c>
      <c r="O1003" s="4">
        <v>45693.8207407407</v>
      </c>
      <c r="P1003" t="s">
        <v>57</v>
      </c>
      <c r="Q1003" t="s">
        <v>1753</v>
      </c>
      <c r="R1003" t="s">
        <v>3877</v>
      </c>
      <c r="T1003" t="s">
        <v>57</v>
      </c>
    </row>
    <row r="1004" ht="25.5" customHeight="1" spans="1:20">
      <c r="A1004" t="s">
        <v>2949</v>
      </c>
      <c r="B1004" t="s">
        <v>56</v>
      </c>
      <c r="C1004" t="s">
        <v>3875</v>
      </c>
      <c r="D1004" s="3"/>
      <c r="E1004" s="2">
        <v>45694</v>
      </c>
      <c r="F1004">
        <v>244300</v>
      </c>
      <c r="G1004">
        <v>343</v>
      </c>
      <c r="H1004">
        <v>16</v>
      </c>
      <c r="I1004">
        <v>1</v>
      </c>
      <c r="J1004">
        <v>3</v>
      </c>
      <c r="K1004">
        <v>0</v>
      </c>
      <c r="L1004" t="s">
        <v>3195</v>
      </c>
      <c r="M1004" t="s">
        <v>3270</v>
      </c>
      <c r="N1004" t="s">
        <v>1630</v>
      </c>
      <c r="O1004" s="4">
        <v>45698.6216782407</v>
      </c>
      <c r="P1004" t="s">
        <v>57</v>
      </c>
      <c r="Q1004" t="s">
        <v>1753</v>
      </c>
      <c r="R1004" t="s">
        <v>3878</v>
      </c>
      <c r="S1004" t="s">
        <v>3245</v>
      </c>
      <c r="T1004" t="s">
        <v>57</v>
      </c>
    </row>
    <row r="1005" ht="25.5" customHeight="1" spans="1:20">
      <c r="A1005" t="s">
        <v>2949</v>
      </c>
      <c r="B1005" t="s">
        <v>56</v>
      </c>
      <c r="C1005" t="s">
        <v>3875</v>
      </c>
      <c r="D1005" s="3"/>
      <c r="E1005" s="2">
        <v>45695</v>
      </c>
      <c r="F1005">
        <v>244300</v>
      </c>
      <c r="G1005">
        <v>345</v>
      </c>
      <c r="H1005">
        <v>16</v>
      </c>
      <c r="I1005">
        <v>1</v>
      </c>
      <c r="J1005">
        <v>3</v>
      </c>
      <c r="K1005">
        <v>0</v>
      </c>
      <c r="L1005" t="s">
        <v>3195</v>
      </c>
      <c r="M1005" t="s">
        <v>3270</v>
      </c>
      <c r="N1005" t="s">
        <v>1630</v>
      </c>
      <c r="O1005" s="4">
        <v>45695.7150578704</v>
      </c>
      <c r="P1005" t="s">
        <v>57</v>
      </c>
      <c r="Q1005" t="s">
        <v>1753</v>
      </c>
      <c r="R1005" t="s">
        <v>3878</v>
      </c>
      <c r="T1005" t="s">
        <v>57</v>
      </c>
    </row>
    <row r="1006" ht="25.5" customHeight="1" spans="1:20">
      <c r="A1006" t="s">
        <v>1823</v>
      </c>
      <c r="B1006" t="s">
        <v>65</v>
      </c>
      <c r="C1006" t="s">
        <v>3879</v>
      </c>
      <c r="D1006" s="3" t="str">
        <f>HYPERLINK("https://www.instagram.com/leoodeep/reels/","https://www.instagram.com/leoodeep/reels/")</f>
        <v>https://www.instagram.com/leoodeep/reels/</v>
      </c>
      <c r="E1006" s="2">
        <v>45668</v>
      </c>
      <c r="F1006">
        <v>58000</v>
      </c>
      <c r="G1006">
        <v>19900</v>
      </c>
      <c r="H1006">
        <v>791</v>
      </c>
      <c r="I1006">
        <v>200</v>
      </c>
      <c r="L1006" t="s">
        <v>3281</v>
      </c>
      <c r="M1006" t="s">
        <v>3880</v>
      </c>
      <c r="N1006" t="s">
        <v>1630</v>
      </c>
      <c r="O1006" s="4">
        <v>45670.7734606481</v>
      </c>
      <c r="P1006" t="s">
        <v>116</v>
      </c>
      <c r="Q1006" t="s">
        <v>1779</v>
      </c>
      <c r="R1006" t="s">
        <v>3881</v>
      </c>
      <c r="T1006" t="s">
        <v>116</v>
      </c>
    </row>
    <row r="1007" ht="25.5" customHeight="1" spans="1:20">
      <c r="A1007" t="s">
        <v>1823</v>
      </c>
      <c r="B1007" t="s">
        <v>65</v>
      </c>
      <c r="C1007" t="s">
        <v>3879</v>
      </c>
      <c r="D1007" s="3"/>
      <c r="E1007" s="2">
        <v>45671</v>
      </c>
      <c r="F1007">
        <v>58300</v>
      </c>
      <c r="G1007">
        <v>21400</v>
      </c>
      <c r="H1007">
        <v>862</v>
      </c>
      <c r="I1007">
        <v>219</v>
      </c>
      <c r="L1007" t="s">
        <v>3281</v>
      </c>
      <c r="M1007" t="s">
        <v>3880</v>
      </c>
      <c r="N1007" t="s">
        <v>1630</v>
      </c>
      <c r="O1007" s="4">
        <v>45672.5030092593</v>
      </c>
      <c r="P1007" t="s">
        <v>116</v>
      </c>
      <c r="Q1007" t="s">
        <v>1779</v>
      </c>
      <c r="R1007" t="s">
        <v>3882</v>
      </c>
      <c r="T1007" t="s">
        <v>116</v>
      </c>
    </row>
    <row r="1008" ht="25.5" customHeight="1" spans="1:20">
      <c r="A1008" t="s">
        <v>1823</v>
      </c>
      <c r="B1008" t="s">
        <v>65</v>
      </c>
      <c r="C1008" t="s">
        <v>3879</v>
      </c>
      <c r="D1008" s="3"/>
      <c r="E1008" s="2">
        <v>45672</v>
      </c>
      <c r="F1008">
        <v>58600</v>
      </c>
      <c r="G1008">
        <v>22700</v>
      </c>
      <c r="H1008">
        <v>922</v>
      </c>
      <c r="I1008">
        <v>228</v>
      </c>
      <c r="L1008" t="s">
        <v>3281</v>
      </c>
      <c r="M1008" t="s">
        <v>3880</v>
      </c>
      <c r="N1008" t="s">
        <v>1630</v>
      </c>
      <c r="O1008" s="4">
        <v>45672.5064699074</v>
      </c>
      <c r="P1008" t="s">
        <v>116</v>
      </c>
      <c r="Q1008" t="s">
        <v>1779</v>
      </c>
      <c r="R1008" t="s">
        <v>3541</v>
      </c>
      <c r="T1008" t="s">
        <v>116</v>
      </c>
    </row>
    <row r="1009" ht="25.5" customHeight="1" spans="1:20">
      <c r="A1009" t="s">
        <v>1823</v>
      </c>
      <c r="B1009" t="s">
        <v>65</v>
      </c>
      <c r="C1009" t="s">
        <v>3879</v>
      </c>
      <c r="D1009" s="3"/>
      <c r="E1009" s="2">
        <v>45673</v>
      </c>
      <c r="F1009">
        <v>58900</v>
      </c>
      <c r="G1009">
        <v>24100</v>
      </c>
      <c r="H1009">
        <v>979</v>
      </c>
      <c r="I1009">
        <v>239</v>
      </c>
      <c r="L1009" t="s">
        <v>3281</v>
      </c>
      <c r="M1009" t="s">
        <v>3880</v>
      </c>
      <c r="N1009" t="s">
        <v>1630</v>
      </c>
      <c r="O1009" s="4">
        <v>45673.4894212963</v>
      </c>
      <c r="P1009" t="s">
        <v>116</v>
      </c>
      <c r="Q1009" t="s">
        <v>1779</v>
      </c>
      <c r="R1009" t="s">
        <v>3883</v>
      </c>
      <c r="T1009" t="s">
        <v>116</v>
      </c>
    </row>
    <row r="1010" ht="25.5" customHeight="1" spans="1:20">
      <c r="A1010" t="s">
        <v>1823</v>
      </c>
      <c r="B1010" t="s">
        <v>65</v>
      </c>
      <c r="C1010" t="s">
        <v>3879</v>
      </c>
      <c r="D1010" s="3"/>
      <c r="E1010" s="2">
        <v>45674</v>
      </c>
      <c r="F1010">
        <v>59200</v>
      </c>
      <c r="G1010">
        <v>25800</v>
      </c>
      <c r="H1010">
        <v>1044</v>
      </c>
      <c r="I1010">
        <v>255</v>
      </c>
      <c r="L1010" t="s">
        <v>3281</v>
      </c>
      <c r="M1010" t="s">
        <v>3880</v>
      </c>
      <c r="N1010" t="s">
        <v>1630</v>
      </c>
      <c r="O1010" s="4">
        <v>45674.625625</v>
      </c>
      <c r="P1010" t="s">
        <v>116</v>
      </c>
      <c r="Q1010" t="s">
        <v>1779</v>
      </c>
      <c r="R1010" t="s">
        <v>3884</v>
      </c>
      <c r="T1010" t="s">
        <v>116</v>
      </c>
    </row>
    <row r="1011" ht="25.5" customHeight="1" spans="1:20">
      <c r="A1011" t="s">
        <v>1823</v>
      </c>
      <c r="B1011" t="s">
        <v>65</v>
      </c>
      <c r="C1011" t="s">
        <v>3879</v>
      </c>
      <c r="D1011" s="3"/>
      <c r="E1011" s="2">
        <v>45677</v>
      </c>
      <c r="F1011">
        <v>60200</v>
      </c>
      <c r="G1011">
        <v>31000</v>
      </c>
      <c r="H1011">
        <v>1256</v>
      </c>
      <c r="I1011">
        <v>297</v>
      </c>
      <c r="L1011" t="s">
        <v>3284</v>
      </c>
      <c r="M1011" t="s">
        <v>3880</v>
      </c>
      <c r="N1011" t="s">
        <v>1630</v>
      </c>
      <c r="O1011" s="4">
        <v>45677.4045949074</v>
      </c>
      <c r="P1011" t="s">
        <v>116</v>
      </c>
      <c r="Q1011" t="s">
        <v>1779</v>
      </c>
      <c r="R1011" t="s">
        <v>3885</v>
      </c>
      <c r="T1011" t="s">
        <v>116</v>
      </c>
    </row>
    <row r="1012" ht="25.5" customHeight="1" spans="1:20">
      <c r="A1012" t="s">
        <v>1823</v>
      </c>
      <c r="B1012" t="s">
        <v>65</v>
      </c>
      <c r="C1012" t="s">
        <v>3879</v>
      </c>
      <c r="D1012" s="3"/>
      <c r="E1012" s="2">
        <v>45678</v>
      </c>
      <c r="F1012">
        <v>60500</v>
      </c>
      <c r="G1012">
        <v>33000</v>
      </c>
      <c r="H1012">
        <v>1334</v>
      </c>
      <c r="I1012">
        <v>309</v>
      </c>
      <c r="L1012" t="s">
        <v>3284</v>
      </c>
      <c r="M1012" t="s">
        <v>3880</v>
      </c>
      <c r="N1012" t="s">
        <v>1630</v>
      </c>
      <c r="O1012" s="4">
        <v>45678.5027546296</v>
      </c>
      <c r="P1012" t="s">
        <v>116</v>
      </c>
      <c r="Q1012" t="s">
        <v>1779</v>
      </c>
      <c r="R1012" t="s">
        <v>3886</v>
      </c>
      <c r="T1012" t="s">
        <v>116</v>
      </c>
    </row>
    <row r="1013" ht="25.5" customHeight="1" spans="1:20">
      <c r="A1013" t="s">
        <v>1823</v>
      </c>
      <c r="B1013" t="s">
        <v>65</v>
      </c>
      <c r="C1013" t="s">
        <v>3879</v>
      </c>
      <c r="D1013" s="3"/>
      <c r="E1013" s="2">
        <v>45680</v>
      </c>
      <c r="F1013">
        <v>60800</v>
      </c>
      <c r="G1013">
        <v>35400</v>
      </c>
      <c r="H1013">
        <v>1440</v>
      </c>
      <c r="I1013">
        <v>328</v>
      </c>
      <c r="L1013" t="s">
        <v>3284</v>
      </c>
      <c r="M1013" t="s">
        <v>3880</v>
      </c>
      <c r="N1013" t="s">
        <v>1630</v>
      </c>
      <c r="O1013" s="4">
        <v>45680.5121759259</v>
      </c>
      <c r="P1013" t="s">
        <v>116</v>
      </c>
      <c r="Q1013" t="s">
        <v>1779</v>
      </c>
      <c r="R1013" t="s">
        <v>3887</v>
      </c>
      <c r="T1013" t="s">
        <v>116</v>
      </c>
    </row>
    <row r="1014" ht="25.5" customHeight="1" spans="1:20">
      <c r="A1014" t="s">
        <v>1823</v>
      </c>
      <c r="B1014" t="s">
        <v>65</v>
      </c>
      <c r="C1014" t="s">
        <v>3879</v>
      </c>
      <c r="D1014" s="3"/>
      <c r="E1014" s="2">
        <v>45680</v>
      </c>
      <c r="F1014">
        <v>61100</v>
      </c>
      <c r="G1014">
        <v>37100</v>
      </c>
      <c r="H1014">
        <v>1488</v>
      </c>
      <c r="I1014">
        <v>335</v>
      </c>
      <c r="L1014" t="s">
        <v>3284</v>
      </c>
      <c r="M1014" t="s">
        <v>3880</v>
      </c>
      <c r="N1014" t="s">
        <v>1630</v>
      </c>
      <c r="O1014" s="4">
        <v>45680.5125925926</v>
      </c>
      <c r="P1014" t="s">
        <v>116</v>
      </c>
      <c r="Q1014" t="s">
        <v>1779</v>
      </c>
      <c r="R1014" t="s">
        <v>3888</v>
      </c>
      <c r="T1014" t="s">
        <v>116</v>
      </c>
    </row>
    <row r="1015" ht="25.5" customHeight="1" spans="1:20">
      <c r="A1015" t="s">
        <v>1823</v>
      </c>
      <c r="B1015" t="s">
        <v>65</v>
      </c>
      <c r="C1015" t="s">
        <v>3879</v>
      </c>
      <c r="D1015" s="3"/>
      <c r="E1015" s="2">
        <v>45681</v>
      </c>
      <c r="F1015">
        <v>61300</v>
      </c>
      <c r="G1015">
        <v>39400</v>
      </c>
      <c r="H1015">
        <v>1571</v>
      </c>
      <c r="I1015">
        <v>347</v>
      </c>
      <c r="L1015" t="s">
        <v>3284</v>
      </c>
      <c r="M1015" t="s">
        <v>3880</v>
      </c>
      <c r="N1015" t="s">
        <v>1630</v>
      </c>
      <c r="O1015" s="4">
        <v>45681.4913773148</v>
      </c>
      <c r="P1015" t="s">
        <v>116</v>
      </c>
      <c r="Q1015" t="s">
        <v>1779</v>
      </c>
      <c r="R1015" t="s">
        <v>3889</v>
      </c>
      <c r="T1015" t="s">
        <v>116</v>
      </c>
    </row>
    <row r="1016" ht="25.5" customHeight="1" spans="1:20">
      <c r="A1016" t="s">
        <v>1823</v>
      </c>
      <c r="B1016" t="s">
        <v>65</v>
      </c>
      <c r="C1016" t="s">
        <v>3879</v>
      </c>
      <c r="D1016" s="3"/>
      <c r="E1016" s="2">
        <v>45683</v>
      </c>
      <c r="F1016">
        <v>61900</v>
      </c>
      <c r="G1016">
        <v>47300</v>
      </c>
      <c r="H1016">
        <v>1796</v>
      </c>
      <c r="I1016">
        <v>382</v>
      </c>
      <c r="L1016" t="s">
        <v>3208</v>
      </c>
      <c r="M1016" t="s">
        <v>3880</v>
      </c>
      <c r="N1016" t="s">
        <v>1630</v>
      </c>
      <c r="O1016" s="4">
        <v>45683.7140509259</v>
      </c>
      <c r="P1016" t="s">
        <v>116</v>
      </c>
      <c r="Q1016" t="s">
        <v>1779</v>
      </c>
      <c r="R1016" t="s">
        <v>3890</v>
      </c>
      <c r="T1016" t="s">
        <v>116</v>
      </c>
    </row>
    <row r="1017" ht="25.5" customHeight="1" spans="1:20">
      <c r="A1017" t="s">
        <v>1823</v>
      </c>
      <c r="B1017" t="s">
        <v>65</v>
      </c>
      <c r="C1017" t="s">
        <v>3879</v>
      </c>
      <c r="D1017" s="3"/>
      <c r="E1017" s="2">
        <v>45684</v>
      </c>
      <c r="F1017">
        <v>62200</v>
      </c>
      <c r="G1017">
        <v>50800</v>
      </c>
      <c r="H1017">
        <v>1902</v>
      </c>
      <c r="I1017">
        <v>394</v>
      </c>
      <c r="L1017" t="s">
        <v>3208</v>
      </c>
      <c r="M1017" t="s">
        <v>3880</v>
      </c>
      <c r="N1017" t="s">
        <v>1630</v>
      </c>
      <c r="O1017" s="4">
        <v>45684.7772453704</v>
      </c>
      <c r="P1017" t="s">
        <v>116</v>
      </c>
      <c r="Q1017" t="s">
        <v>1779</v>
      </c>
      <c r="R1017" t="s">
        <v>3891</v>
      </c>
      <c r="T1017" t="s">
        <v>116</v>
      </c>
    </row>
    <row r="1018" ht="25.5" customHeight="1" spans="1:20">
      <c r="A1018" t="s">
        <v>1823</v>
      </c>
      <c r="B1018" t="s">
        <v>65</v>
      </c>
      <c r="C1018" t="s">
        <v>3879</v>
      </c>
      <c r="D1018" s="3"/>
      <c r="E1018" s="2">
        <v>45693</v>
      </c>
      <c r="F1018">
        <v>64000</v>
      </c>
      <c r="G1018">
        <v>65000</v>
      </c>
      <c r="H1018">
        <v>2455</v>
      </c>
      <c r="I1018">
        <v>463</v>
      </c>
      <c r="L1018" t="s">
        <v>3195</v>
      </c>
      <c r="M1018" t="s">
        <v>3880</v>
      </c>
      <c r="N1018" t="s">
        <v>1630</v>
      </c>
      <c r="O1018" s="4">
        <v>45695.4869212963</v>
      </c>
      <c r="P1018" t="s">
        <v>116</v>
      </c>
      <c r="Q1018" t="s">
        <v>1779</v>
      </c>
      <c r="R1018" t="s">
        <v>3892</v>
      </c>
      <c r="T1018" t="s">
        <v>116</v>
      </c>
    </row>
    <row r="1019" ht="25.5" customHeight="1" spans="1:20">
      <c r="A1019" t="s">
        <v>1823</v>
      </c>
      <c r="B1019" t="s">
        <v>65</v>
      </c>
      <c r="C1019" t="s">
        <v>3879</v>
      </c>
      <c r="D1019" s="3"/>
      <c r="E1019" s="2">
        <v>45694</v>
      </c>
      <c r="F1019">
        <v>65100</v>
      </c>
      <c r="G1019">
        <v>66800</v>
      </c>
      <c r="H1019">
        <v>2499</v>
      </c>
      <c r="I1019">
        <v>470</v>
      </c>
      <c r="L1019" t="s">
        <v>3195</v>
      </c>
      <c r="M1019" t="s">
        <v>3880</v>
      </c>
      <c r="N1019" t="s">
        <v>1630</v>
      </c>
      <c r="O1019" s="4">
        <v>45698.6216782407</v>
      </c>
      <c r="P1019" t="s">
        <v>116</v>
      </c>
      <c r="Q1019" t="s">
        <v>1779</v>
      </c>
      <c r="R1019" t="s">
        <v>3893</v>
      </c>
      <c r="S1019" t="s">
        <v>3180</v>
      </c>
      <c r="T1019" t="s">
        <v>116</v>
      </c>
    </row>
    <row r="1020" ht="25.5" customHeight="1" spans="1:20">
      <c r="A1020" t="s">
        <v>1823</v>
      </c>
      <c r="B1020" t="s">
        <v>65</v>
      </c>
      <c r="C1020" t="s">
        <v>3879</v>
      </c>
      <c r="D1020" s="3"/>
      <c r="E1020" s="2">
        <v>45695</v>
      </c>
      <c r="F1020">
        <v>65400</v>
      </c>
      <c r="G1020">
        <v>68500</v>
      </c>
      <c r="H1020">
        <v>2565</v>
      </c>
      <c r="I1020">
        <v>480</v>
      </c>
      <c r="L1020" t="s">
        <v>3195</v>
      </c>
      <c r="M1020" t="s">
        <v>3880</v>
      </c>
      <c r="N1020" t="s">
        <v>1630</v>
      </c>
      <c r="O1020" s="4">
        <v>45695.487349537</v>
      </c>
      <c r="P1020" t="s">
        <v>116</v>
      </c>
      <c r="Q1020" t="s">
        <v>1779</v>
      </c>
      <c r="R1020" t="s">
        <v>3894</v>
      </c>
      <c r="T1020" t="s">
        <v>116</v>
      </c>
    </row>
    <row r="1021" ht="25.5" customHeight="1" spans="1:20">
      <c r="A1021" t="s">
        <v>3106</v>
      </c>
      <c r="B1021" t="s">
        <v>56</v>
      </c>
      <c r="C1021" t="s">
        <v>3895</v>
      </c>
      <c r="D1021" s="3" t="str">
        <f>HYPERLINK("https://www.tiktok.com/@leodeep","https://www.tiktok.com/@leodeep")</f>
        <v>https://www.tiktok.com/@leodeep</v>
      </c>
      <c r="E1021" s="2">
        <v>45668</v>
      </c>
      <c r="F1021">
        <v>261700</v>
      </c>
      <c r="G1021">
        <v>183400</v>
      </c>
      <c r="H1021">
        <v>7742</v>
      </c>
      <c r="I1021">
        <v>336</v>
      </c>
      <c r="J1021">
        <v>8591</v>
      </c>
      <c r="K1021">
        <v>2486</v>
      </c>
      <c r="L1021" t="s">
        <v>3258</v>
      </c>
      <c r="N1021" t="s">
        <v>1630</v>
      </c>
      <c r="O1021" s="4">
        <v>45670.8619444444</v>
      </c>
      <c r="P1021" t="s">
        <v>57</v>
      </c>
      <c r="Q1021" t="s">
        <v>1779</v>
      </c>
      <c r="R1021" t="s">
        <v>3896</v>
      </c>
      <c r="T1021" t="s">
        <v>57</v>
      </c>
    </row>
    <row r="1022" ht="25.5" customHeight="1" spans="1:20">
      <c r="A1022" t="s">
        <v>3106</v>
      </c>
      <c r="B1022" t="s">
        <v>56</v>
      </c>
      <c r="C1022" t="s">
        <v>3895</v>
      </c>
      <c r="D1022" s="3"/>
      <c r="E1022" s="2">
        <v>45671</v>
      </c>
      <c r="F1022">
        <v>262300</v>
      </c>
      <c r="G1022">
        <v>206000</v>
      </c>
      <c r="H1022">
        <v>8852</v>
      </c>
      <c r="I1022">
        <v>372</v>
      </c>
      <c r="J1022">
        <v>9681</v>
      </c>
      <c r="K1022">
        <v>2733</v>
      </c>
      <c r="L1022" t="s">
        <v>3258</v>
      </c>
      <c r="N1022" t="s">
        <v>1630</v>
      </c>
      <c r="O1022" s="4">
        <v>45672.5030092593</v>
      </c>
      <c r="P1022" t="s">
        <v>57</v>
      </c>
      <c r="Q1022" t="s">
        <v>1779</v>
      </c>
      <c r="R1022" t="s">
        <v>3897</v>
      </c>
      <c r="T1022" t="s">
        <v>57</v>
      </c>
    </row>
    <row r="1023" ht="25.5" customHeight="1" spans="1:20">
      <c r="A1023" t="s">
        <v>3106</v>
      </c>
      <c r="B1023" t="s">
        <v>56</v>
      </c>
      <c r="C1023" t="s">
        <v>3895</v>
      </c>
      <c r="D1023" s="3"/>
      <c r="E1023" s="2">
        <v>45672</v>
      </c>
      <c r="F1023">
        <v>263000</v>
      </c>
      <c r="G1023">
        <v>219300</v>
      </c>
      <c r="H1023">
        <v>9502</v>
      </c>
      <c r="I1023">
        <v>388</v>
      </c>
      <c r="J1023">
        <v>10200</v>
      </c>
      <c r="K1023">
        <v>2943</v>
      </c>
      <c r="L1023" t="s">
        <v>3258</v>
      </c>
      <c r="N1023" t="s">
        <v>1630</v>
      </c>
      <c r="O1023" s="4">
        <v>45672.5204398148</v>
      </c>
      <c r="P1023" t="s">
        <v>57</v>
      </c>
      <c r="Q1023" t="s">
        <v>1779</v>
      </c>
      <c r="R1023" t="s">
        <v>3898</v>
      </c>
      <c r="T1023" t="s">
        <v>57</v>
      </c>
    </row>
    <row r="1024" ht="25.5" customHeight="1" spans="1:20">
      <c r="A1024" t="s">
        <v>3106</v>
      </c>
      <c r="B1024" t="s">
        <v>56</v>
      </c>
      <c r="C1024" t="s">
        <v>3895</v>
      </c>
      <c r="D1024" s="3"/>
      <c r="E1024" s="2">
        <v>45673</v>
      </c>
      <c r="F1024">
        <v>263800</v>
      </c>
      <c r="G1024">
        <v>231900</v>
      </c>
      <c r="H1024">
        <v>10100</v>
      </c>
      <c r="I1024">
        <v>411</v>
      </c>
      <c r="J1024">
        <v>10700</v>
      </c>
      <c r="K1024">
        <v>3114</v>
      </c>
      <c r="L1024" t="s">
        <v>3258</v>
      </c>
      <c r="N1024" t="s">
        <v>1630</v>
      </c>
      <c r="O1024" s="4">
        <v>45673.6095949074</v>
      </c>
      <c r="P1024" t="s">
        <v>57</v>
      </c>
      <c r="Q1024" t="s">
        <v>1779</v>
      </c>
      <c r="R1024" t="s">
        <v>3899</v>
      </c>
      <c r="T1024" t="s">
        <v>57</v>
      </c>
    </row>
    <row r="1025" ht="25.5" customHeight="1" spans="1:20">
      <c r="A1025" t="s">
        <v>3106</v>
      </c>
      <c r="B1025" t="s">
        <v>56</v>
      </c>
      <c r="C1025" t="s">
        <v>3895</v>
      </c>
      <c r="D1025" s="3"/>
      <c r="E1025" s="2">
        <v>45674</v>
      </c>
      <c r="F1025">
        <v>264400</v>
      </c>
      <c r="G1025">
        <v>238500</v>
      </c>
      <c r="H1025">
        <v>10400</v>
      </c>
      <c r="I1025">
        <v>420</v>
      </c>
      <c r="J1025">
        <v>11000</v>
      </c>
      <c r="K1025">
        <v>3211</v>
      </c>
      <c r="L1025" t="s">
        <v>3258</v>
      </c>
      <c r="N1025" t="s">
        <v>1630</v>
      </c>
      <c r="O1025" s="4">
        <v>45674.6709027778</v>
      </c>
      <c r="P1025" t="s">
        <v>57</v>
      </c>
      <c r="Q1025" t="s">
        <v>1779</v>
      </c>
      <c r="R1025" t="s">
        <v>3900</v>
      </c>
      <c r="T1025" t="s">
        <v>57</v>
      </c>
    </row>
    <row r="1026" ht="25.5" customHeight="1" spans="1:20">
      <c r="A1026" t="s">
        <v>3106</v>
      </c>
      <c r="B1026" t="s">
        <v>56</v>
      </c>
      <c r="C1026" t="s">
        <v>3895</v>
      </c>
      <c r="D1026" s="3"/>
      <c r="E1026" s="2">
        <v>45677</v>
      </c>
      <c r="F1026">
        <v>266400</v>
      </c>
      <c r="G1026">
        <v>250200</v>
      </c>
      <c r="H1026">
        <v>10900</v>
      </c>
      <c r="I1026">
        <v>443</v>
      </c>
      <c r="J1026">
        <v>11400</v>
      </c>
      <c r="K1026">
        <v>3413</v>
      </c>
      <c r="L1026" t="s">
        <v>3258</v>
      </c>
      <c r="N1026" t="s">
        <v>1630</v>
      </c>
      <c r="O1026" s="4">
        <v>45677.4270833333</v>
      </c>
      <c r="P1026" t="s">
        <v>57</v>
      </c>
      <c r="Q1026" t="s">
        <v>1779</v>
      </c>
      <c r="R1026" t="s">
        <v>3901</v>
      </c>
      <c r="T1026" t="s">
        <v>57</v>
      </c>
    </row>
    <row r="1027" ht="25.5" customHeight="1" spans="1:20">
      <c r="A1027" t="s">
        <v>3106</v>
      </c>
      <c r="B1027" t="s">
        <v>56</v>
      </c>
      <c r="C1027" t="s">
        <v>3895</v>
      </c>
      <c r="D1027" s="3"/>
      <c r="E1027" s="2">
        <v>45678</v>
      </c>
      <c r="F1027">
        <v>266700</v>
      </c>
      <c r="G1027">
        <v>254200</v>
      </c>
      <c r="H1027">
        <v>11100</v>
      </c>
      <c r="I1027">
        <v>454</v>
      </c>
      <c r="J1027">
        <v>11600</v>
      </c>
      <c r="K1027">
        <v>3463</v>
      </c>
      <c r="L1027" t="s">
        <v>3258</v>
      </c>
      <c r="N1027" t="s">
        <v>1630</v>
      </c>
      <c r="O1027" s="4">
        <v>45678.6351736111</v>
      </c>
      <c r="P1027" t="s">
        <v>57</v>
      </c>
      <c r="Q1027" t="s">
        <v>1779</v>
      </c>
      <c r="R1027" t="s">
        <v>3902</v>
      </c>
      <c r="T1027" t="s">
        <v>57</v>
      </c>
    </row>
    <row r="1028" ht="25.5" customHeight="1" spans="1:20">
      <c r="A1028" t="s">
        <v>3106</v>
      </c>
      <c r="B1028" t="s">
        <v>56</v>
      </c>
      <c r="C1028" t="s">
        <v>3895</v>
      </c>
      <c r="D1028" s="3"/>
      <c r="E1028" s="2">
        <v>45679</v>
      </c>
      <c r="F1028">
        <v>267100</v>
      </c>
      <c r="G1028">
        <v>257900</v>
      </c>
      <c r="H1028">
        <v>11300</v>
      </c>
      <c r="I1028">
        <v>463</v>
      </c>
      <c r="J1028">
        <v>11800</v>
      </c>
      <c r="K1028">
        <v>3506</v>
      </c>
      <c r="L1028" t="s">
        <v>3258</v>
      </c>
      <c r="N1028" t="s">
        <v>1630</v>
      </c>
      <c r="O1028" s="4">
        <v>45680.6473842593</v>
      </c>
      <c r="P1028" t="s">
        <v>57</v>
      </c>
      <c r="Q1028" t="s">
        <v>1779</v>
      </c>
      <c r="R1028" t="s">
        <v>3903</v>
      </c>
      <c r="T1028" t="s">
        <v>57</v>
      </c>
    </row>
    <row r="1029" ht="25.5" customHeight="1" spans="1:20">
      <c r="A1029" t="s">
        <v>3106</v>
      </c>
      <c r="B1029" t="s">
        <v>56</v>
      </c>
      <c r="C1029" t="s">
        <v>3895</v>
      </c>
      <c r="D1029" s="3"/>
      <c r="E1029" s="2">
        <v>45680</v>
      </c>
      <c r="F1029">
        <v>267500</v>
      </c>
      <c r="G1029">
        <v>260400</v>
      </c>
      <c r="H1029">
        <v>11400</v>
      </c>
      <c r="I1029">
        <v>464</v>
      </c>
      <c r="J1029">
        <v>11900</v>
      </c>
      <c r="K1029">
        <v>3532</v>
      </c>
      <c r="L1029" t="s">
        <v>3258</v>
      </c>
      <c r="N1029" t="s">
        <v>1630</v>
      </c>
      <c r="O1029" s="4">
        <v>45680.647650463</v>
      </c>
      <c r="P1029" t="s">
        <v>57</v>
      </c>
      <c r="Q1029" t="s">
        <v>1779</v>
      </c>
      <c r="R1029" t="s">
        <v>3904</v>
      </c>
      <c r="T1029" t="s">
        <v>57</v>
      </c>
    </row>
    <row r="1030" ht="25.5" customHeight="1" spans="1:20">
      <c r="A1030" t="s">
        <v>3106</v>
      </c>
      <c r="B1030" t="s">
        <v>56</v>
      </c>
      <c r="C1030" t="s">
        <v>3895</v>
      </c>
      <c r="D1030" s="3"/>
      <c r="E1030" s="2">
        <v>45681</v>
      </c>
      <c r="F1030">
        <v>267800</v>
      </c>
      <c r="G1030">
        <v>262800</v>
      </c>
      <c r="H1030">
        <v>11600</v>
      </c>
      <c r="I1030">
        <v>471</v>
      </c>
      <c r="J1030">
        <v>12000</v>
      </c>
      <c r="K1030">
        <v>3567</v>
      </c>
      <c r="L1030" t="s">
        <v>3258</v>
      </c>
      <c r="N1030" t="s">
        <v>1630</v>
      </c>
      <c r="O1030" s="4">
        <v>45681.6091435185</v>
      </c>
      <c r="P1030" t="s">
        <v>57</v>
      </c>
      <c r="Q1030" t="s">
        <v>1779</v>
      </c>
      <c r="R1030" t="s">
        <v>3905</v>
      </c>
      <c r="T1030" t="s">
        <v>57</v>
      </c>
    </row>
    <row r="1031" ht="25.5" customHeight="1" spans="1:20">
      <c r="A1031" t="s">
        <v>3106</v>
      </c>
      <c r="B1031" t="s">
        <v>56</v>
      </c>
      <c r="C1031" t="s">
        <v>3895</v>
      </c>
      <c r="D1031" s="3"/>
      <c r="E1031" s="2">
        <v>45683</v>
      </c>
      <c r="F1031">
        <v>270100</v>
      </c>
      <c r="G1031">
        <v>267700</v>
      </c>
      <c r="H1031">
        <v>11800</v>
      </c>
      <c r="I1031">
        <v>483</v>
      </c>
      <c r="J1031">
        <v>12200</v>
      </c>
      <c r="K1031">
        <v>3618</v>
      </c>
      <c r="L1031" t="s">
        <v>3258</v>
      </c>
      <c r="N1031" t="s">
        <v>1630</v>
      </c>
      <c r="O1031" s="4">
        <v>45683.7648958333</v>
      </c>
      <c r="P1031" t="s">
        <v>57</v>
      </c>
      <c r="Q1031" t="s">
        <v>1779</v>
      </c>
      <c r="R1031" t="s">
        <v>3906</v>
      </c>
      <c r="T1031" t="s">
        <v>57</v>
      </c>
    </row>
    <row r="1032" ht="25.5" customHeight="1" spans="1:20">
      <c r="A1032" t="s">
        <v>3106</v>
      </c>
      <c r="B1032" t="s">
        <v>56</v>
      </c>
      <c r="C1032" t="s">
        <v>3895</v>
      </c>
      <c r="D1032" s="3"/>
      <c r="E1032" s="2">
        <v>45684</v>
      </c>
      <c r="F1032">
        <v>271200</v>
      </c>
      <c r="G1032">
        <v>270000</v>
      </c>
      <c r="H1032">
        <v>11900</v>
      </c>
      <c r="I1032">
        <v>485</v>
      </c>
      <c r="J1032">
        <v>12300</v>
      </c>
      <c r="K1032">
        <v>3642</v>
      </c>
      <c r="L1032" t="s">
        <v>3258</v>
      </c>
      <c r="N1032" t="s">
        <v>1630</v>
      </c>
      <c r="O1032" s="4">
        <v>45684.831400463</v>
      </c>
      <c r="P1032" t="s">
        <v>57</v>
      </c>
      <c r="Q1032" t="s">
        <v>1779</v>
      </c>
      <c r="R1032" t="s">
        <v>3907</v>
      </c>
      <c r="T1032" t="s">
        <v>57</v>
      </c>
    </row>
    <row r="1033" ht="25.5" customHeight="1" spans="1:20">
      <c r="A1033" t="s">
        <v>3106</v>
      </c>
      <c r="B1033" t="s">
        <v>56</v>
      </c>
      <c r="C1033" t="s">
        <v>3895</v>
      </c>
      <c r="D1033" s="3"/>
      <c r="E1033" s="2">
        <v>45693</v>
      </c>
      <c r="F1033">
        <v>284800</v>
      </c>
      <c r="G1033">
        <v>299600</v>
      </c>
      <c r="H1033">
        <v>13300</v>
      </c>
      <c r="I1033">
        <v>551</v>
      </c>
      <c r="J1033">
        <v>13600</v>
      </c>
      <c r="K1033">
        <v>4036</v>
      </c>
      <c r="L1033" t="s">
        <v>3258</v>
      </c>
      <c r="N1033" t="s">
        <v>1630</v>
      </c>
      <c r="O1033" s="4">
        <v>45693.8209953704</v>
      </c>
      <c r="P1033" t="s">
        <v>57</v>
      </c>
      <c r="Q1033" t="s">
        <v>1779</v>
      </c>
      <c r="R1033" t="s">
        <v>3908</v>
      </c>
      <c r="T1033" t="s">
        <v>57</v>
      </c>
    </row>
    <row r="1034" ht="25.5" customHeight="1" spans="1:20">
      <c r="A1034" t="s">
        <v>3106</v>
      </c>
      <c r="B1034" t="s">
        <v>56</v>
      </c>
      <c r="C1034" t="s">
        <v>3895</v>
      </c>
      <c r="D1034" s="3"/>
      <c r="E1034" s="2">
        <v>45694</v>
      </c>
      <c r="F1034">
        <v>286100</v>
      </c>
      <c r="G1034">
        <v>302700</v>
      </c>
      <c r="H1034">
        <v>13400</v>
      </c>
      <c r="I1034">
        <v>556</v>
      </c>
      <c r="J1034">
        <v>13700</v>
      </c>
      <c r="K1034">
        <v>4086</v>
      </c>
      <c r="L1034" t="s">
        <v>3258</v>
      </c>
      <c r="N1034" t="s">
        <v>1630</v>
      </c>
      <c r="O1034" s="4">
        <v>45698.6216782407</v>
      </c>
      <c r="P1034" t="s">
        <v>57</v>
      </c>
      <c r="Q1034" t="s">
        <v>1779</v>
      </c>
      <c r="R1034" t="s">
        <v>3909</v>
      </c>
      <c r="S1034" t="s">
        <v>3245</v>
      </c>
      <c r="T1034" t="s">
        <v>57</v>
      </c>
    </row>
    <row r="1035" ht="25.5" customHeight="1" spans="1:20">
      <c r="A1035" t="s">
        <v>3107</v>
      </c>
      <c r="B1035" t="s">
        <v>269</v>
      </c>
      <c r="C1035" t="s">
        <v>3910</v>
      </c>
      <c r="D1035" s="3" t="str">
        <f>HYPERLINK("https://www.youtube.com/@leoodeep/shorts","https://www.youtube.com/@leoodeep/shorts")</f>
        <v>https://www.youtube.com/@leoodeep/shorts</v>
      </c>
      <c r="E1035" s="2">
        <v>45668</v>
      </c>
      <c r="F1035">
        <v>72100</v>
      </c>
      <c r="G1035">
        <v>509</v>
      </c>
      <c r="H1035">
        <v>40</v>
      </c>
      <c r="I1035">
        <v>1</v>
      </c>
      <c r="L1035" t="s">
        <v>3138</v>
      </c>
      <c r="N1035" t="s">
        <v>1630</v>
      </c>
      <c r="O1035" s="4">
        <v>45670.8684953704</v>
      </c>
      <c r="P1035" t="s">
        <v>423</v>
      </c>
      <c r="Q1035" t="s">
        <v>1779</v>
      </c>
      <c r="R1035" t="s">
        <v>3283</v>
      </c>
      <c r="T1035" t="s">
        <v>423</v>
      </c>
    </row>
    <row r="1036" ht="25.5" customHeight="1" spans="1:20">
      <c r="A1036" t="s">
        <v>3107</v>
      </c>
      <c r="B1036" t="s">
        <v>269</v>
      </c>
      <c r="C1036" t="s">
        <v>3910</v>
      </c>
      <c r="D1036" s="3"/>
      <c r="E1036" s="2">
        <v>45674</v>
      </c>
      <c r="F1036">
        <v>72100</v>
      </c>
      <c r="G1036">
        <v>520</v>
      </c>
      <c r="H1036">
        <v>40</v>
      </c>
      <c r="I1036">
        <v>1</v>
      </c>
      <c r="L1036" t="s">
        <v>3138</v>
      </c>
      <c r="N1036" t="s">
        <v>1630</v>
      </c>
      <c r="O1036" s="4">
        <v>45674.7148611111</v>
      </c>
      <c r="P1036" t="s">
        <v>423</v>
      </c>
      <c r="Q1036" t="s">
        <v>1779</v>
      </c>
      <c r="R1036" t="s">
        <v>3283</v>
      </c>
      <c r="T1036" t="s">
        <v>423</v>
      </c>
    </row>
    <row r="1037" ht="25.5" customHeight="1" spans="1:20">
      <c r="A1037" t="s">
        <v>3107</v>
      </c>
      <c r="B1037" t="s">
        <v>269</v>
      </c>
      <c r="C1037" t="s">
        <v>3910</v>
      </c>
      <c r="D1037" s="3"/>
      <c r="E1037" s="2">
        <v>45677</v>
      </c>
      <c r="F1037">
        <v>72100</v>
      </c>
      <c r="G1037">
        <v>530</v>
      </c>
      <c r="H1037">
        <v>43</v>
      </c>
      <c r="I1037">
        <v>1</v>
      </c>
      <c r="L1037" t="s">
        <v>3138</v>
      </c>
      <c r="N1037" t="s">
        <v>1630</v>
      </c>
      <c r="O1037" s="4">
        <v>45678.520462963</v>
      </c>
      <c r="P1037" t="s">
        <v>423</v>
      </c>
      <c r="Q1037" t="s">
        <v>1779</v>
      </c>
      <c r="R1037" t="s">
        <v>3507</v>
      </c>
      <c r="T1037" t="s">
        <v>423</v>
      </c>
    </row>
    <row r="1038" ht="25.5" customHeight="1" spans="1:20">
      <c r="A1038" t="s">
        <v>3107</v>
      </c>
      <c r="B1038" t="s">
        <v>269</v>
      </c>
      <c r="C1038" t="s">
        <v>3910</v>
      </c>
      <c r="D1038" s="3"/>
      <c r="E1038" s="2">
        <v>45678</v>
      </c>
      <c r="F1038">
        <v>72100</v>
      </c>
      <c r="G1038">
        <v>531</v>
      </c>
      <c r="H1038">
        <v>43</v>
      </c>
      <c r="I1038">
        <v>1</v>
      </c>
      <c r="L1038" t="s">
        <v>3138</v>
      </c>
      <c r="N1038" t="s">
        <v>1630</v>
      </c>
      <c r="O1038" s="4">
        <v>45681.5335416667</v>
      </c>
      <c r="P1038" t="s">
        <v>423</v>
      </c>
      <c r="Q1038" t="s">
        <v>1779</v>
      </c>
      <c r="R1038" t="s">
        <v>3507</v>
      </c>
      <c r="T1038" t="s">
        <v>423</v>
      </c>
    </row>
    <row r="1039" ht="25.5" customHeight="1" spans="1:20">
      <c r="A1039" t="s">
        <v>3107</v>
      </c>
      <c r="B1039" t="s">
        <v>269</v>
      </c>
      <c r="C1039" t="s">
        <v>3910</v>
      </c>
      <c r="D1039" s="3"/>
      <c r="E1039" s="2">
        <v>45679</v>
      </c>
      <c r="F1039">
        <v>72100</v>
      </c>
      <c r="G1039">
        <v>533</v>
      </c>
      <c r="H1039">
        <v>43</v>
      </c>
      <c r="I1039">
        <v>1</v>
      </c>
      <c r="L1039" t="s">
        <v>3138</v>
      </c>
      <c r="N1039" t="s">
        <v>1630</v>
      </c>
      <c r="O1039" s="4">
        <v>45681.533587963</v>
      </c>
      <c r="P1039" t="s">
        <v>423</v>
      </c>
      <c r="Q1039" t="s">
        <v>1779</v>
      </c>
      <c r="R1039" t="s">
        <v>3507</v>
      </c>
      <c r="T1039" t="s">
        <v>423</v>
      </c>
    </row>
    <row r="1040" ht="25.5" customHeight="1" spans="1:20">
      <c r="A1040" t="s">
        <v>3107</v>
      </c>
      <c r="B1040" t="s">
        <v>269</v>
      </c>
      <c r="C1040" t="s">
        <v>3910</v>
      </c>
      <c r="D1040" s="3"/>
      <c r="E1040" s="2">
        <v>45680</v>
      </c>
      <c r="F1040">
        <v>72100</v>
      </c>
      <c r="G1040">
        <v>535</v>
      </c>
      <c r="H1040">
        <v>43</v>
      </c>
      <c r="I1040">
        <v>1</v>
      </c>
      <c r="L1040" t="s">
        <v>3138</v>
      </c>
      <c r="N1040" t="s">
        <v>1630</v>
      </c>
      <c r="O1040" s="4">
        <v>45681.5336111111</v>
      </c>
      <c r="P1040" t="s">
        <v>423</v>
      </c>
      <c r="Q1040" t="s">
        <v>1779</v>
      </c>
      <c r="R1040" t="s">
        <v>3507</v>
      </c>
      <c r="T1040" t="s">
        <v>423</v>
      </c>
    </row>
    <row r="1041" ht="25.5" customHeight="1" spans="1:20">
      <c r="A1041" t="s">
        <v>3107</v>
      </c>
      <c r="B1041" t="s">
        <v>269</v>
      </c>
      <c r="C1041" t="s">
        <v>3910</v>
      </c>
      <c r="D1041" s="3"/>
      <c r="E1041" s="2">
        <v>45681</v>
      </c>
      <c r="F1041">
        <v>72100</v>
      </c>
      <c r="G1041">
        <v>537</v>
      </c>
      <c r="H1041">
        <v>43</v>
      </c>
      <c r="I1041">
        <v>1</v>
      </c>
      <c r="L1041" t="s">
        <v>3138</v>
      </c>
      <c r="N1041" t="s">
        <v>1630</v>
      </c>
      <c r="O1041" s="4">
        <v>45681.5320949074</v>
      </c>
      <c r="P1041" t="s">
        <v>423</v>
      </c>
      <c r="Q1041" t="s">
        <v>1779</v>
      </c>
      <c r="R1041" t="s">
        <v>3507</v>
      </c>
      <c r="T1041" t="s">
        <v>423</v>
      </c>
    </row>
    <row r="1042" ht="25.5" customHeight="1" spans="1:20">
      <c r="A1042" t="s">
        <v>3107</v>
      </c>
      <c r="B1042" t="s">
        <v>269</v>
      </c>
      <c r="C1042" t="s">
        <v>3910</v>
      </c>
      <c r="D1042" s="3"/>
      <c r="E1042" s="2">
        <v>45683</v>
      </c>
      <c r="F1042">
        <v>72100</v>
      </c>
      <c r="G1042">
        <v>540</v>
      </c>
      <c r="H1042">
        <v>43</v>
      </c>
      <c r="I1042">
        <v>1</v>
      </c>
      <c r="L1042" t="s">
        <v>3138</v>
      </c>
      <c r="N1042" t="s">
        <v>1630</v>
      </c>
      <c r="O1042" s="4">
        <v>45683.7437847222</v>
      </c>
      <c r="P1042" t="s">
        <v>423</v>
      </c>
      <c r="Q1042" t="s">
        <v>1779</v>
      </c>
      <c r="R1042" t="s">
        <v>3507</v>
      </c>
      <c r="T1042" t="s">
        <v>423</v>
      </c>
    </row>
    <row r="1043" ht="25.5" customHeight="1" spans="1:20">
      <c r="A1043" t="s">
        <v>3107</v>
      </c>
      <c r="B1043" t="s">
        <v>269</v>
      </c>
      <c r="C1043" t="s">
        <v>3910</v>
      </c>
      <c r="D1043" s="3"/>
      <c r="E1043" s="2">
        <v>45684</v>
      </c>
      <c r="F1043">
        <v>72100</v>
      </c>
      <c r="G1043">
        <v>543</v>
      </c>
      <c r="H1043">
        <v>44</v>
      </c>
      <c r="I1043">
        <v>1</v>
      </c>
      <c r="L1043" t="s">
        <v>3138</v>
      </c>
      <c r="N1043" t="s">
        <v>1630</v>
      </c>
      <c r="O1043" s="4">
        <v>45684.7922916667</v>
      </c>
      <c r="P1043" t="s">
        <v>423</v>
      </c>
      <c r="Q1043" t="s">
        <v>1779</v>
      </c>
      <c r="R1043" t="s">
        <v>3508</v>
      </c>
      <c r="T1043" t="s">
        <v>423</v>
      </c>
    </row>
    <row r="1044" ht="25.5" customHeight="1" spans="1:20">
      <c r="A1044" t="s">
        <v>3107</v>
      </c>
      <c r="B1044" t="s">
        <v>269</v>
      </c>
      <c r="C1044" t="s">
        <v>3910</v>
      </c>
      <c r="D1044" s="3"/>
      <c r="E1044" s="2">
        <v>45693</v>
      </c>
      <c r="F1044">
        <v>72100</v>
      </c>
      <c r="G1044">
        <v>553</v>
      </c>
      <c r="H1044">
        <v>44</v>
      </c>
      <c r="I1044">
        <v>1</v>
      </c>
      <c r="L1044" t="s">
        <v>3138</v>
      </c>
      <c r="N1044" t="s">
        <v>1630</v>
      </c>
      <c r="O1044" s="4">
        <v>45693.7909606481</v>
      </c>
      <c r="P1044" t="s">
        <v>423</v>
      </c>
      <c r="Q1044" t="s">
        <v>1779</v>
      </c>
      <c r="R1044" t="s">
        <v>3508</v>
      </c>
      <c r="T1044" t="s">
        <v>423</v>
      </c>
    </row>
    <row r="1045" ht="25.5" customHeight="1" spans="1:20">
      <c r="A1045" t="s">
        <v>3107</v>
      </c>
      <c r="B1045" t="s">
        <v>269</v>
      </c>
      <c r="C1045" t="s">
        <v>3910</v>
      </c>
      <c r="D1045" s="3"/>
      <c r="E1045" s="2">
        <v>45694</v>
      </c>
      <c r="F1045">
        <v>72100</v>
      </c>
      <c r="G1045">
        <v>555</v>
      </c>
      <c r="H1045">
        <v>44</v>
      </c>
      <c r="I1045">
        <v>1</v>
      </c>
      <c r="L1045" t="s">
        <v>3138</v>
      </c>
      <c r="N1045" t="s">
        <v>1630</v>
      </c>
      <c r="O1045" s="4">
        <v>45698.6216782407</v>
      </c>
      <c r="P1045" t="s">
        <v>423</v>
      </c>
      <c r="Q1045" t="s">
        <v>1779</v>
      </c>
      <c r="R1045" t="s">
        <v>3508</v>
      </c>
      <c r="S1045" t="s">
        <v>3180</v>
      </c>
      <c r="T1045" t="s">
        <v>423</v>
      </c>
    </row>
    <row r="1046" ht="25.5" customHeight="1" spans="1:20">
      <c r="A1046" t="s">
        <v>3107</v>
      </c>
      <c r="B1046" t="s">
        <v>269</v>
      </c>
      <c r="C1046" t="s">
        <v>3910</v>
      </c>
      <c r="D1046" s="3"/>
      <c r="E1046" s="2">
        <v>45695</v>
      </c>
      <c r="F1046">
        <v>72100</v>
      </c>
      <c r="G1046">
        <v>556</v>
      </c>
      <c r="H1046">
        <v>44</v>
      </c>
      <c r="I1046">
        <v>1</v>
      </c>
      <c r="L1046" t="s">
        <v>3138</v>
      </c>
      <c r="N1046" t="s">
        <v>1630</v>
      </c>
      <c r="O1046" s="4">
        <v>45695.6386458333</v>
      </c>
      <c r="P1046" t="s">
        <v>423</v>
      </c>
      <c r="Q1046" t="s">
        <v>1779</v>
      </c>
      <c r="R1046" t="s">
        <v>3508</v>
      </c>
      <c r="T1046" t="s">
        <v>423</v>
      </c>
    </row>
    <row r="1047" ht="25.5" customHeight="1" spans="1:20">
      <c r="A1047" t="s">
        <v>1760</v>
      </c>
      <c r="B1047" t="s">
        <v>3564</v>
      </c>
      <c r="C1047" t="s">
        <v>3911</v>
      </c>
      <c r="D1047" s="3"/>
      <c r="E1047" s="2"/>
      <c r="M1047" t="s">
        <v>3414</v>
      </c>
      <c r="N1047" t="s">
        <v>3277</v>
      </c>
      <c r="O1047" s="4">
        <v>45670.743587963</v>
      </c>
      <c r="P1047" t="s">
        <v>3567</v>
      </c>
      <c r="Q1047" t="s">
        <v>3279</v>
      </c>
      <c r="R1047" t="s">
        <v>3133</v>
      </c>
      <c r="T1047" t="s">
        <v>3567</v>
      </c>
    </row>
    <row r="1048" ht="25.5" customHeight="1" spans="1:20">
      <c r="A1048" t="s">
        <v>1760</v>
      </c>
      <c r="B1048" t="s">
        <v>3564</v>
      </c>
      <c r="C1048" t="s">
        <v>3911</v>
      </c>
      <c r="D1048" s="3"/>
      <c r="E1048" s="2"/>
      <c r="M1048" t="s">
        <v>3414</v>
      </c>
      <c r="N1048" t="s">
        <v>3277</v>
      </c>
      <c r="O1048" s="4">
        <v>45670.743587963</v>
      </c>
      <c r="P1048" t="s">
        <v>3567</v>
      </c>
      <c r="Q1048" t="s">
        <v>3279</v>
      </c>
      <c r="R1048" t="s">
        <v>3133</v>
      </c>
      <c r="T1048" t="s">
        <v>3567</v>
      </c>
    </row>
    <row r="1049" ht="25.5" customHeight="1" spans="1:20">
      <c r="A1049" t="s">
        <v>2967</v>
      </c>
      <c r="B1049" t="s">
        <v>56</v>
      </c>
      <c r="C1049" t="s">
        <v>3912</v>
      </c>
      <c r="D1049" s="3" t="str">
        <f>HYPERLINK("https://www.tiktok.com/@luchianouc","https://www.tiktok.com/@luchianouc")</f>
        <v>https://www.tiktok.com/@luchianouc</v>
      </c>
      <c r="E1049" s="2">
        <v>45669</v>
      </c>
      <c r="F1049">
        <v>44400</v>
      </c>
      <c r="G1049">
        <v>4549</v>
      </c>
      <c r="H1049">
        <v>195</v>
      </c>
      <c r="I1049">
        <v>5</v>
      </c>
      <c r="J1049">
        <v>119</v>
      </c>
      <c r="K1049">
        <v>67</v>
      </c>
      <c r="L1049" t="s">
        <v>3258</v>
      </c>
      <c r="M1049" t="s">
        <v>3339</v>
      </c>
      <c r="N1049" t="s">
        <v>1630</v>
      </c>
      <c r="O1049" s="4">
        <v>45670.8622337963</v>
      </c>
      <c r="P1049" t="s">
        <v>57</v>
      </c>
      <c r="Q1049" t="s">
        <v>97</v>
      </c>
      <c r="R1049" t="s">
        <v>3703</v>
      </c>
      <c r="T1049" t="s">
        <v>57</v>
      </c>
    </row>
    <row r="1050" ht="25.5" customHeight="1" spans="1:20">
      <c r="A1050" t="s">
        <v>2967</v>
      </c>
      <c r="B1050" t="s">
        <v>56</v>
      </c>
      <c r="C1050" t="s">
        <v>3912</v>
      </c>
      <c r="D1050" s="3"/>
      <c r="E1050" s="2">
        <v>45671</v>
      </c>
      <c r="F1050">
        <v>44400</v>
      </c>
      <c r="G1050">
        <v>5471</v>
      </c>
      <c r="H1050">
        <v>210</v>
      </c>
      <c r="I1050">
        <v>6</v>
      </c>
      <c r="J1050">
        <v>131</v>
      </c>
      <c r="K1050">
        <v>87</v>
      </c>
      <c r="L1050" t="s">
        <v>3258</v>
      </c>
      <c r="M1050" t="s">
        <v>3339</v>
      </c>
      <c r="N1050" t="s">
        <v>1630</v>
      </c>
      <c r="O1050" s="4">
        <v>45672.5030092593</v>
      </c>
      <c r="P1050" t="s">
        <v>57</v>
      </c>
      <c r="Q1050" t="s">
        <v>97</v>
      </c>
      <c r="R1050" t="s">
        <v>3913</v>
      </c>
      <c r="T1050" t="s">
        <v>57</v>
      </c>
    </row>
    <row r="1051" ht="25.5" customHeight="1" spans="1:20">
      <c r="A1051" t="s">
        <v>2967</v>
      </c>
      <c r="B1051" t="s">
        <v>56</v>
      </c>
      <c r="C1051" t="s">
        <v>3912</v>
      </c>
      <c r="D1051" s="3"/>
      <c r="E1051" s="2">
        <v>45672</v>
      </c>
      <c r="F1051">
        <v>44400</v>
      </c>
      <c r="G1051">
        <v>5582</v>
      </c>
      <c r="H1051">
        <v>209</v>
      </c>
      <c r="I1051">
        <v>6</v>
      </c>
      <c r="J1051">
        <v>131</v>
      </c>
      <c r="K1051">
        <v>91</v>
      </c>
      <c r="L1051" t="s">
        <v>3195</v>
      </c>
      <c r="M1051" t="s">
        <v>3339</v>
      </c>
      <c r="N1051" t="s">
        <v>1630</v>
      </c>
      <c r="O1051" s="4">
        <v>45672.5206712963</v>
      </c>
      <c r="P1051" t="s">
        <v>57</v>
      </c>
      <c r="Q1051" t="s">
        <v>97</v>
      </c>
      <c r="R1051" t="s">
        <v>3914</v>
      </c>
      <c r="T1051" t="s">
        <v>57</v>
      </c>
    </row>
    <row r="1052" ht="25.5" customHeight="1" spans="1:20">
      <c r="A1052" t="s">
        <v>2967</v>
      </c>
      <c r="B1052" t="s">
        <v>56</v>
      </c>
      <c r="C1052" t="s">
        <v>3912</v>
      </c>
      <c r="D1052" s="3"/>
      <c r="E1052" s="2">
        <v>45673</v>
      </c>
      <c r="F1052">
        <v>44400</v>
      </c>
      <c r="G1052">
        <v>5616</v>
      </c>
      <c r="H1052">
        <v>210</v>
      </c>
      <c r="I1052">
        <v>6</v>
      </c>
      <c r="J1052">
        <v>130</v>
      </c>
      <c r="K1052">
        <v>91</v>
      </c>
      <c r="L1052" t="s">
        <v>3195</v>
      </c>
      <c r="M1052" t="s">
        <v>3339</v>
      </c>
      <c r="N1052" t="s">
        <v>1630</v>
      </c>
      <c r="O1052" s="4">
        <v>45673.6098032407</v>
      </c>
      <c r="P1052" t="s">
        <v>57</v>
      </c>
      <c r="Q1052" t="s">
        <v>97</v>
      </c>
      <c r="R1052" t="s">
        <v>3914</v>
      </c>
      <c r="T1052" t="s">
        <v>57</v>
      </c>
    </row>
    <row r="1053" ht="25.5" customHeight="1" spans="1:20">
      <c r="A1053" t="s">
        <v>2967</v>
      </c>
      <c r="B1053" t="s">
        <v>56</v>
      </c>
      <c r="C1053" t="s">
        <v>3912</v>
      </c>
      <c r="D1053" s="3"/>
      <c r="E1053" s="2">
        <v>45674</v>
      </c>
      <c r="F1053">
        <v>44400</v>
      </c>
      <c r="G1053">
        <v>5640</v>
      </c>
      <c r="H1053">
        <v>211</v>
      </c>
      <c r="I1053">
        <v>6</v>
      </c>
      <c r="J1053">
        <v>130</v>
      </c>
      <c r="K1053">
        <v>91</v>
      </c>
      <c r="L1053" t="s">
        <v>3195</v>
      </c>
      <c r="M1053" t="s">
        <v>3339</v>
      </c>
      <c r="N1053" t="s">
        <v>1630</v>
      </c>
      <c r="O1053" s="4">
        <v>45674.6711111111</v>
      </c>
      <c r="P1053" t="s">
        <v>57</v>
      </c>
      <c r="Q1053" t="s">
        <v>97</v>
      </c>
      <c r="R1053" t="s">
        <v>3915</v>
      </c>
      <c r="T1053" t="s">
        <v>57</v>
      </c>
    </row>
    <row r="1054" ht="25.5" customHeight="1" spans="1:20">
      <c r="A1054" t="s">
        <v>2967</v>
      </c>
      <c r="B1054" t="s">
        <v>56</v>
      </c>
      <c r="C1054" t="s">
        <v>3912</v>
      </c>
      <c r="D1054" s="3"/>
      <c r="E1054" s="2">
        <v>45677</v>
      </c>
      <c r="F1054">
        <v>44400</v>
      </c>
      <c r="G1054">
        <v>5696</v>
      </c>
      <c r="H1054">
        <v>211</v>
      </c>
      <c r="I1054">
        <v>6</v>
      </c>
      <c r="J1054">
        <v>130</v>
      </c>
      <c r="K1054">
        <v>92</v>
      </c>
      <c r="L1054" t="s">
        <v>3195</v>
      </c>
      <c r="M1054" t="s">
        <v>3339</v>
      </c>
      <c r="N1054" t="s">
        <v>1630</v>
      </c>
      <c r="O1054" s="4">
        <v>45677.4272916667</v>
      </c>
      <c r="P1054" t="s">
        <v>57</v>
      </c>
      <c r="Q1054" t="s">
        <v>97</v>
      </c>
      <c r="R1054" t="s">
        <v>3916</v>
      </c>
      <c r="T1054" t="s">
        <v>57</v>
      </c>
    </row>
    <row r="1055" ht="25.5" customHeight="1" spans="1:20">
      <c r="A1055" t="s">
        <v>2967</v>
      </c>
      <c r="B1055" t="s">
        <v>56</v>
      </c>
      <c r="C1055" t="s">
        <v>3912</v>
      </c>
      <c r="D1055" s="3"/>
      <c r="E1055" s="2">
        <v>45678</v>
      </c>
      <c r="F1055">
        <v>44400</v>
      </c>
      <c r="G1055">
        <v>5730</v>
      </c>
      <c r="H1055">
        <v>213</v>
      </c>
      <c r="I1055">
        <v>6</v>
      </c>
      <c r="J1055">
        <v>130</v>
      </c>
      <c r="K1055">
        <v>93</v>
      </c>
      <c r="L1055" t="s">
        <v>3195</v>
      </c>
      <c r="M1055" t="s">
        <v>3339</v>
      </c>
      <c r="N1055" t="s">
        <v>1630</v>
      </c>
      <c r="O1055" s="4">
        <v>45678.6355324074</v>
      </c>
      <c r="P1055" t="s">
        <v>57</v>
      </c>
      <c r="Q1055" t="s">
        <v>97</v>
      </c>
      <c r="R1055" t="s">
        <v>3917</v>
      </c>
      <c r="T1055" t="s">
        <v>57</v>
      </c>
    </row>
    <row r="1056" ht="25.5" customHeight="1" spans="1:20">
      <c r="A1056" t="s">
        <v>2967</v>
      </c>
      <c r="B1056" t="s">
        <v>56</v>
      </c>
      <c r="C1056" t="s">
        <v>3912</v>
      </c>
      <c r="D1056" s="3"/>
      <c r="E1056" s="2">
        <v>45679</v>
      </c>
      <c r="F1056">
        <v>44400</v>
      </c>
      <c r="G1056">
        <v>5742</v>
      </c>
      <c r="H1056">
        <v>214</v>
      </c>
      <c r="I1056">
        <v>6</v>
      </c>
      <c r="J1056">
        <v>130</v>
      </c>
      <c r="K1056">
        <v>93</v>
      </c>
      <c r="L1056" t="s">
        <v>3195</v>
      </c>
      <c r="M1056" t="s">
        <v>3339</v>
      </c>
      <c r="N1056" t="s">
        <v>1630</v>
      </c>
      <c r="O1056" s="4">
        <v>45679.6919791667</v>
      </c>
      <c r="P1056" t="s">
        <v>57</v>
      </c>
      <c r="Q1056" t="s">
        <v>97</v>
      </c>
      <c r="R1056" t="s">
        <v>3918</v>
      </c>
      <c r="T1056" t="s">
        <v>57</v>
      </c>
    </row>
    <row r="1057" ht="25.5" customHeight="1" spans="1:20">
      <c r="A1057" t="s">
        <v>2967</v>
      </c>
      <c r="B1057" t="s">
        <v>56</v>
      </c>
      <c r="C1057" t="s">
        <v>3912</v>
      </c>
      <c r="D1057" s="3"/>
      <c r="E1057" s="2">
        <v>45680</v>
      </c>
      <c r="F1057">
        <v>44400</v>
      </c>
      <c r="G1057">
        <v>5751</v>
      </c>
      <c r="H1057">
        <v>214</v>
      </c>
      <c r="I1057">
        <v>6</v>
      </c>
      <c r="J1057">
        <v>130</v>
      </c>
      <c r="K1057">
        <v>93</v>
      </c>
      <c r="L1057" t="s">
        <v>3195</v>
      </c>
      <c r="M1057" t="s">
        <v>3339</v>
      </c>
      <c r="N1057" t="s">
        <v>1630</v>
      </c>
      <c r="O1057" s="4">
        <v>45680.6480208333</v>
      </c>
      <c r="P1057" t="s">
        <v>57</v>
      </c>
      <c r="Q1057" t="s">
        <v>97</v>
      </c>
      <c r="R1057" t="s">
        <v>3918</v>
      </c>
      <c r="T1057" t="s">
        <v>57</v>
      </c>
    </row>
    <row r="1058" ht="25.5" customHeight="1" spans="1:20">
      <c r="A1058" t="s">
        <v>2967</v>
      </c>
      <c r="B1058" t="s">
        <v>56</v>
      </c>
      <c r="C1058" t="s">
        <v>3912</v>
      </c>
      <c r="D1058" s="3"/>
      <c r="E1058" s="2">
        <v>45681</v>
      </c>
      <c r="F1058">
        <v>44400</v>
      </c>
      <c r="G1058">
        <v>5764</v>
      </c>
      <c r="H1058">
        <v>214</v>
      </c>
      <c r="I1058">
        <v>6</v>
      </c>
      <c r="J1058">
        <v>129</v>
      </c>
      <c r="K1058">
        <v>93</v>
      </c>
      <c r="L1058" t="s">
        <v>3195</v>
      </c>
      <c r="M1058" t="s">
        <v>3339</v>
      </c>
      <c r="N1058" t="s">
        <v>1630</v>
      </c>
      <c r="O1058" s="4">
        <v>45681.6093634259</v>
      </c>
      <c r="P1058" t="s">
        <v>57</v>
      </c>
      <c r="Q1058" t="s">
        <v>97</v>
      </c>
      <c r="R1058" t="s">
        <v>3917</v>
      </c>
      <c r="T1058" t="s">
        <v>57</v>
      </c>
    </row>
    <row r="1059" ht="25.5" customHeight="1" spans="1:20">
      <c r="A1059" t="s">
        <v>2967</v>
      </c>
      <c r="B1059" t="s">
        <v>56</v>
      </c>
      <c r="C1059" t="s">
        <v>3912</v>
      </c>
      <c r="D1059" s="3"/>
      <c r="E1059" s="2">
        <v>45683</v>
      </c>
      <c r="F1059">
        <v>44400</v>
      </c>
      <c r="G1059">
        <v>5782</v>
      </c>
      <c r="H1059">
        <v>214</v>
      </c>
      <c r="I1059">
        <v>6</v>
      </c>
      <c r="J1059">
        <v>129</v>
      </c>
      <c r="K1059">
        <v>93</v>
      </c>
      <c r="L1059" t="s">
        <v>3195</v>
      </c>
      <c r="M1059" t="s">
        <v>3339</v>
      </c>
      <c r="N1059" t="s">
        <v>1630</v>
      </c>
      <c r="O1059" s="4">
        <v>45683.7650810185</v>
      </c>
      <c r="P1059" t="s">
        <v>57</v>
      </c>
      <c r="Q1059" t="s">
        <v>97</v>
      </c>
      <c r="R1059" t="s">
        <v>3917</v>
      </c>
      <c r="T1059" t="s">
        <v>57</v>
      </c>
    </row>
    <row r="1060" ht="25.5" customHeight="1" spans="1:20">
      <c r="A1060" t="s">
        <v>2967</v>
      </c>
      <c r="B1060" t="s">
        <v>56</v>
      </c>
      <c r="C1060" t="s">
        <v>3912</v>
      </c>
      <c r="D1060" s="3"/>
      <c r="E1060" s="2">
        <v>45684</v>
      </c>
      <c r="F1060">
        <v>44400</v>
      </c>
      <c r="G1060">
        <v>5792</v>
      </c>
      <c r="H1060">
        <v>215</v>
      </c>
      <c r="I1060">
        <v>6</v>
      </c>
      <c r="J1060">
        <v>130</v>
      </c>
      <c r="K1060">
        <v>93</v>
      </c>
      <c r="L1060" t="s">
        <v>3195</v>
      </c>
      <c r="M1060" t="s">
        <v>3339</v>
      </c>
      <c r="N1060" t="s">
        <v>1630</v>
      </c>
      <c r="O1060" s="4">
        <v>45684.8315740741</v>
      </c>
      <c r="P1060" t="s">
        <v>57</v>
      </c>
      <c r="Q1060" t="s">
        <v>97</v>
      </c>
      <c r="R1060" t="s">
        <v>3919</v>
      </c>
      <c r="T1060" t="s">
        <v>57</v>
      </c>
    </row>
    <row r="1061" ht="25.5" customHeight="1" spans="1:20">
      <c r="A1061" t="s">
        <v>2967</v>
      </c>
      <c r="B1061" t="s">
        <v>56</v>
      </c>
      <c r="C1061" t="s">
        <v>3912</v>
      </c>
      <c r="D1061" s="3"/>
      <c r="E1061" s="2">
        <v>45693</v>
      </c>
      <c r="F1061">
        <v>44300</v>
      </c>
      <c r="G1061">
        <v>5921</v>
      </c>
      <c r="H1061">
        <v>218</v>
      </c>
      <c r="I1061">
        <v>6</v>
      </c>
      <c r="J1061">
        <v>132</v>
      </c>
      <c r="K1061">
        <v>95</v>
      </c>
      <c r="L1061" t="s">
        <v>3195</v>
      </c>
      <c r="M1061" t="s">
        <v>3339</v>
      </c>
      <c r="N1061" t="s">
        <v>1630</v>
      </c>
      <c r="O1061" s="4">
        <v>45693.8212384259</v>
      </c>
      <c r="P1061" t="s">
        <v>57</v>
      </c>
      <c r="Q1061" t="s">
        <v>97</v>
      </c>
      <c r="R1061" t="s">
        <v>3920</v>
      </c>
      <c r="T1061" t="s">
        <v>57</v>
      </c>
    </row>
    <row r="1062" ht="25.5" customHeight="1" spans="1:20">
      <c r="A1062" t="s">
        <v>2967</v>
      </c>
      <c r="B1062" t="s">
        <v>56</v>
      </c>
      <c r="C1062" t="s">
        <v>3912</v>
      </c>
      <c r="D1062" s="3"/>
      <c r="E1062" s="2">
        <v>45694</v>
      </c>
      <c r="F1062">
        <v>44300</v>
      </c>
      <c r="G1062">
        <v>5937</v>
      </c>
      <c r="H1062">
        <v>219</v>
      </c>
      <c r="I1062">
        <v>6</v>
      </c>
      <c r="J1062">
        <v>132</v>
      </c>
      <c r="K1062">
        <v>95</v>
      </c>
      <c r="L1062" t="s">
        <v>3195</v>
      </c>
      <c r="M1062" t="s">
        <v>3339</v>
      </c>
      <c r="N1062" t="s">
        <v>1630</v>
      </c>
      <c r="O1062" s="4">
        <v>45698.6216782407</v>
      </c>
      <c r="P1062" t="s">
        <v>57</v>
      </c>
      <c r="Q1062" t="s">
        <v>97</v>
      </c>
      <c r="R1062" t="s">
        <v>3921</v>
      </c>
      <c r="S1062" t="s">
        <v>3180</v>
      </c>
      <c r="T1062" t="s">
        <v>57</v>
      </c>
    </row>
    <row r="1063" ht="25.5" customHeight="1" spans="1:20">
      <c r="A1063" t="s">
        <v>2237</v>
      </c>
      <c r="B1063" t="s">
        <v>1816</v>
      </c>
      <c r="C1063" t="s">
        <v>3922</v>
      </c>
      <c r="D1063" s="3"/>
      <c r="E1063" s="2">
        <v>45664</v>
      </c>
      <c r="F1063">
        <v>107100</v>
      </c>
      <c r="G1063">
        <v>33300</v>
      </c>
      <c r="H1063">
        <v>56</v>
      </c>
      <c r="I1063">
        <v>10</v>
      </c>
      <c r="J1063">
        <v>67</v>
      </c>
      <c r="K1063">
        <v>12</v>
      </c>
      <c r="L1063" t="s">
        <v>3138</v>
      </c>
      <c r="M1063" t="s">
        <v>3400</v>
      </c>
      <c r="N1063" t="s">
        <v>1630</v>
      </c>
      <c r="O1063" s="4">
        <v>45671.7872685185</v>
      </c>
      <c r="P1063" t="s">
        <v>1817</v>
      </c>
      <c r="Q1063" t="s">
        <v>1652</v>
      </c>
      <c r="R1063" t="s">
        <v>3923</v>
      </c>
      <c r="T1063" t="s">
        <v>1817</v>
      </c>
    </row>
    <row r="1064" ht="25.5" customHeight="1" spans="1:20">
      <c r="A1064" t="s">
        <v>2237</v>
      </c>
      <c r="B1064" t="s">
        <v>1816</v>
      </c>
      <c r="C1064" t="s">
        <v>3922</v>
      </c>
      <c r="D1064" s="3"/>
      <c r="E1064" s="2">
        <v>45665</v>
      </c>
      <c r="F1064">
        <v>107100</v>
      </c>
      <c r="G1064">
        <v>36000</v>
      </c>
      <c r="H1064">
        <v>57</v>
      </c>
      <c r="I1064">
        <v>10</v>
      </c>
      <c r="J1064">
        <v>71</v>
      </c>
      <c r="K1064">
        <v>12</v>
      </c>
      <c r="L1064" t="s">
        <v>3138</v>
      </c>
      <c r="M1064" t="s">
        <v>3400</v>
      </c>
      <c r="N1064" t="s">
        <v>1630</v>
      </c>
      <c r="O1064" s="4">
        <v>45672.5030092593</v>
      </c>
      <c r="P1064" t="s">
        <v>1817</v>
      </c>
      <c r="Q1064" t="s">
        <v>1652</v>
      </c>
      <c r="R1064" t="s">
        <v>3924</v>
      </c>
      <c r="T1064" t="s">
        <v>1817</v>
      </c>
    </row>
    <row r="1065" ht="25.5" customHeight="1" spans="1:20">
      <c r="A1065" t="s">
        <v>2237</v>
      </c>
      <c r="B1065" t="s">
        <v>1816</v>
      </c>
      <c r="C1065" t="s">
        <v>3922</v>
      </c>
      <c r="D1065" s="3"/>
      <c r="E1065" s="2">
        <v>45670</v>
      </c>
      <c r="F1065">
        <v>107000</v>
      </c>
      <c r="G1065">
        <v>37600</v>
      </c>
      <c r="H1065">
        <v>61</v>
      </c>
      <c r="I1065">
        <v>12</v>
      </c>
      <c r="J1065">
        <v>78</v>
      </c>
      <c r="K1065">
        <v>14</v>
      </c>
      <c r="L1065" t="s">
        <v>3138</v>
      </c>
      <c r="M1065" t="s">
        <v>3400</v>
      </c>
      <c r="N1065" t="s">
        <v>1630</v>
      </c>
      <c r="O1065" s="4">
        <v>45672.5030092593</v>
      </c>
      <c r="P1065" t="s">
        <v>1817</v>
      </c>
      <c r="Q1065" t="s">
        <v>1652</v>
      </c>
      <c r="R1065" t="s">
        <v>3372</v>
      </c>
      <c r="T1065" t="s">
        <v>1817</v>
      </c>
    </row>
    <row r="1066" ht="25.5" customHeight="1" spans="1:20">
      <c r="A1066" t="s">
        <v>2237</v>
      </c>
      <c r="B1066" t="s">
        <v>1816</v>
      </c>
      <c r="C1066" t="s">
        <v>3922</v>
      </c>
      <c r="D1066" s="3"/>
      <c r="E1066" s="2">
        <v>45671</v>
      </c>
      <c r="F1066">
        <v>107000</v>
      </c>
      <c r="G1066">
        <v>37700</v>
      </c>
      <c r="H1066">
        <v>61</v>
      </c>
      <c r="I1066">
        <v>12</v>
      </c>
      <c r="J1066">
        <v>77</v>
      </c>
      <c r="K1066">
        <v>14</v>
      </c>
      <c r="L1066" t="s">
        <v>3138</v>
      </c>
      <c r="M1066" t="s">
        <v>3400</v>
      </c>
      <c r="N1066" t="s">
        <v>1630</v>
      </c>
      <c r="O1066" s="4">
        <v>45672.5030092593</v>
      </c>
      <c r="P1066" t="s">
        <v>1817</v>
      </c>
      <c r="Q1066" t="s">
        <v>1652</v>
      </c>
      <c r="R1066" t="s">
        <v>3925</v>
      </c>
      <c r="T1066" t="s">
        <v>1817</v>
      </c>
    </row>
    <row r="1067" ht="25.5" customHeight="1" spans="1:20">
      <c r="A1067" t="s">
        <v>2237</v>
      </c>
      <c r="B1067" t="s">
        <v>1816</v>
      </c>
      <c r="C1067" t="s">
        <v>3922</v>
      </c>
      <c r="D1067" s="3"/>
      <c r="E1067" s="2">
        <v>45672</v>
      </c>
      <c r="F1067">
        <v>107000</v>
      </c>
      <c r="G1067">
        <v>37700</v>
      </c>
      <c r="H1067">
        <v>61</v>
      </c>
      <c r="I1067">
        <v>12</v>
      </c>
      <c r="J1067">
        <v>77</v>
      </c>
      <c r="K1067">
        <v>14</v>
      </c>
      <c r="L1067" t="s">
        <v>3138</v>
      </c>
      <c r="M1067" t="s">
        <v>3400</v>
      </c>
      <c r="N1067" t="s">
        <v>1630</v>
      </c>
      <c r="O1067" s="4">
        <v>45672.7140509259</v>
      </c>
      <c r="P1067" t="s">
        <v>1817</v>
      </c>
      <c r="Q1067" t="s">
        <v>1652</v>
      </c>
      <c r="R1067" t="s">
        <v>3925</v>
      </c>
      <c r="T1067" t="s">
        <v>1817</v>
      </c>
    </row>
    <row r="1068" ht="25.5" customHeight="1" spans="1:20">
      <c r="A1068" t="s">
        <v>2237</v>
      </c>
      <c r="B1068" t="s">
        <v>1816</v>
      </c>
      <c r="C1068" t="s">
        <v>3922</v>
      </c>
      <c r="D1068" s="3"/>
      <c r="E1068" s="2">
        <v>45673</v>
      </c>
      <c r="F1068">
        <v>107000</v>
      </c>
      <c r="G1068">
        <v>37800</v>
      </c>
      <c r="H1068">
        <v>61</v>
      </c>
      <c r="I1068">
        <v>12</v>
      </c>
      <c r="J1068">
        <v>77</v>
      </c>
      <c r="K1068">
        <v>14</v>
      </c>
      <c r="L1068" t="s">
        <v>3138</v>
      </c>
      <c r="M1068" t="s">
        <v>3400</v>
      </c>
      <c r="N1068" t="s">
        <v>1630</v>
      </c>
      <c r="O1068" s="4">
        <v>45673.6277430556</v>
      </c>
      <c r="P1068" t="s">
        <v>1817</v>
      </c>
      <c r="Q1068" t="s">
        <v>1652</v>
      </c>
      <c r="R1068" t="s">
        <v>3925</v>
      </c>
      <c r="T1068" t="s">
        <v>1817</v>
      </c>
    </row>
    <row r="1069" ht="25.5" customHeight="1" spans="1:20">
      <c r="A1069" t="s">
        <v>2237</v>
      </c>
      <c r="B1069" t="s">
        <v>1816</v>
      </c>
      <c r="C1069" t="s">
        <v>3922</v>
      </c>
      <c r="D1069" s="3"/>
      <c r="E1069" s="2">
        <v>45674</v>
      </c>
      <c r="F1069">
        <v>107000</v>
      </c>
      <c r="G1069">
        <v>37800</v>
      </c>
      <c r="H1069">
        <v>61</v>
      </c>
      <c r="I1069">
        <v>12</v>
      </c>
      <c r="J1069">
        <v>77</v>
      </c>
      <c r="K1069">
        <v>14</v>
      </c>
      <c r="L1069" t="s">
        <v>3138</v>
      </c>
      <c r="M1069" t="s">
        <v>3400</v>
      </c>
      <c r="N1069" t="s">
        <v>1630</v>
      </c>
      <c r="O1069" s="4">
        <v>45674.6823842593</v>
      </c>
      <c r="P1069" t="s">
        <v>1817</v>
      </c>
      <c r="Q1069" t="s">
        <v>1652</v>
      </c>
      <c r="R1069" t="s">
        <v>3925</v>
      </c>
      <c r="T1069" t="s">
        <v>1817</v>
      </c>
    </row>
    <row r="1070" ht="25.5" customHeight="1" spans="1:20">
      <c r="A1070" t="s">
        <v>2237</v>
      </c>
      <c r="B1070" t="s">
        <v>1816</v>
      </c>
      <c r="C1070" t="s">
        <v>3922</v>
      </c>
      <c r="D1070" s="3"/>
      <c r="E1070" s="2">
        <v>45677</v>
      </c>
      <c r="F1070">
        <v>106900</v>
      </c>
      <c r="G1070">
        <v>37900</v>
      </c>
      <c r="H1070">
        <v>61</v>
      </c>
      <c r="I1070">
        <v>12</v>
      </c>
      <c r="J1070">
        <v>77</v>
      </c>
      <c r="K1070">
        <v>14</v>
      </c>
      <c r="L1070" t="s">
        <v>3138</v>
      </c>
      <c r="M1070" t="s">
        <v>3400</v>
      </c>
      <c r="N1070" t="s">
        <v>1630</v>
      </c>
      <c r="O1070" s="4">
        <v>45677.4414351852</v>
      </c>
      <c r="P1070" t="s">
        <v>1817</v>
      </c>
      <c r="Q1070" t="s">
        <v>1652</v>
      </c>
      <c r="R1070" t="s">
        <v>3925</v>
      </c>
      <c r="T1070" t="s">
        <v>1817</v>
      </c>
    </row>
    <row r="1071" ht="25.5" customHeight="1" spans="1:20">
      <c r="A1071" t="s">
        <v>2237</v>
      </c>
      <c r="B1071" t="s">
        <v>1816</v>
      </c>
      <c r="C1071" t="s">
        <v>3922</v>
      </c>
      <c r="D1071" s="3"/>
      <c r="E1071" s="2">
        <v>45678</v>
      </c>
      <c r="F1071">
        <v>106900</v>
      </c>
      <c r="G1071">
        <v>37900</v>
      </c>
      <c r="H1071">
        <v>61</v>
      </c>
      <c r="I1071">
        <v>12</v>
      </c>
      <c r="J1071">
        <v>77</v>
      </c>
      <c r="K1071">
        <v>14</v>
      </c>
      <c r="L1071" t="s">
        <v>3138</v>
      </c>
      <c r="M1071" t="s">
        <v>3400</v>
      </c>
      <c r="N1071" t="s">
        <v>1630</v>
      </c>
      <c r="O1071" s="4">
        <v>45678.6666550926</v>
      </c>
      <c r="P1071" t="s">
        <v>1817</v>
      </c>
      <c r="Q1071" t="s">
        <v>1652</v>
      </c>
      <c r="R1071" t="s">
        <v>3925</v>
      </c>
      <c r="T1071" t="s">
        <v>1817</v>
      </c>
    </row>
    <row r="1072" ht="25.5" customHeight="1" spans="1:20">
      <c r="A1072" t="s">
        <v>2237</v>
      </c>
      <c r="B1072" t="s">
        <v>1816</v>
      </c>
      <c r="C1072" t="s">
        <v>3922</v>
      </c>
      <c r="D1072" s="3"/>
      <c r="E1072" s="2">
        <v>45679</v>
      </c>
      <c r="F1072">
        <v>106800</v>
      </c>
      <c r="G1072">
        <v>37900</v>
      </c>
      <c r="H1072">
        <v>60</v>
      </c>
      <c r="I1072">
        <v>12</v>
      </c>
      <c r="J1072">
        <v>77</v>
      </c>
      <c r="K1072">
        <v>14</v>
      </c>
      <c r="L1072" t="s">
        <v>3138</v>
      </c>
      <c r="M1072" t="s">
        <v>3400</v>
      </c>
      <c r="N1072" t="s">
        <v>1630</v>
      </c>
      <c r="O1072" s="4">
        <v>45679.651875</v>
      </c>
      <c r="P1072" t="s">
        <v>1817</v>
      </c>
      <c r="Q1072" t="s">
        <v>1652</v>
      </c>
      <c r="R1072" t="s">
        <v>3563</v>
      </c>
      <c r="T1072" t="s">
        <v>1817</v>
      </c>
    </row>
    <row r="1073" ht="25.5" customHeight="1" spans="1:20">
      <c r="A1073" t="s">
        <v>2237</v>
      </c>
      <c r="B1073" t="s">
        <v>1816</v>
      </c>
      <c r="C1073" t="s">
        <v>3922</v>
      </c>
      <c r="D1073" s="3"/>
      <c r="E1073" s="2">
        <v>45680</v>
      </c>
      <c r="F1073">
        <v>106800</v>
      </c>
      <c r="G1073">
        <v>38000</v>
      </c>
      <c r="H1073">
        <v>61</v>
      </c>
      <c r="I1073">
        <v>12</v>
      </c>
      <c r="J1073">
        <v>77</v>
      </c>
      <c r="K1073">
        <v>14</v>
      </c>
      <c r="L1073" t="s">
        <v>3138</v>
      </c>
      <c r="M1073" t="s">
        <v>3400</v>
      </c>
      <c r="N1073" t="s">
        <v>1630</v>
      </c>
      <c r="O1073" s="4">
        <v>45680.6674305556</v>
      </c>
      <c r="P1073" t="s">
        <v>1817</v>
      </c>
      <c r="Q1073" t="s">
        <v>1652</v>
      </c>
      <c r="R1073" t="s">
        <v>3925</v>
      </c>
      <c r="T1073" t="s">
        <v>1817</v>
      </c>
    </row>
    <row r="1074" ht="25.5" customHeight="1" spans="1:20">
      <c r="A1074" t="s">
        <v>2237</v>
      </c>
      <c r="B1074" t="s">
        <v>1816</v>
      </c>
      <c r="C1074" t="s">
        <v>3922</v>
      </c>
      <c r="D1074" s="3"/>
      <c r="E1074" s="2">
        <v>45681</v>
      </c>
      <c r="F1074">
        <v>106800</v>
      </c>
      <c r="G1074">
        <v>38000</v>
      </c>
      <c r="H1074">
        <v>61</v>
      </c>
      <c r="I1074">
        <v>12</v>
      </c>
      <c r="J1074">
        <v>77</v>
      </c>
      <c r="K1074">
        <v>14</v>
      </c>
      <c r="L1074" t="s">
        <v>3138</v>
      </c>
      <c r="M1074" t="s">
        <v>3400</v>
      </c>
      <c r="N1074" t="s">
        <v>1630</v>
      </c>
      <c r="O1074" s="4">
        <v>45681.6523148148</v>
      </c>
      <c r="P1074" t="s">
        <v>1817</v>
      </c>
      <c r="Q1074" t="s">
        <v>1652</v>
      </c>
      <c r="R1074" t="s">
        <v>3925</v>
      </c>
      <c r="T1074" t="s">
        <v>1817</v>
      </c>
    </row>
    <row r="1075" ht="25.5" customHeight="1" spans="1:20">
      <c r="A1075" t="s">
        <v>2237</v>
      </c>
      <c r="B1075" t="s">
        <v>1816</v>
      </c>
      <c r="C1075" t="s">
        <v>3922</v>
      </c>
      <c r="D1075" s="3"/>
      <c r="E1075" s="2">
        <v>45683</v>
      </c>
      <c r="F1075">
        <v>106800</v>
      </c>
      <c r="G1075">
        <v>38100</v>
      </c>
      <c r="H1075">
        <v>61</v>
      </c>
      <c r="I1075">
        <v>12</v>
      </c>
      <c r="J1075">
        <v>77</v>
      </c>
      <c r="K1075">
        <v>14</v>
      </c>
      <c r="L1075" t="s">
        <v>3138</v>
      </c>
      <c r="M1075" t="s">
        <v>3400</v>
      </c>
      <c r="N1075" t="s">
        <v>1630</v>
      </c>
      <c r="O1075" s="4">
        <v>45683.7940046296</v>
      </c>
      <c r="P1075" t="s">
        <v>1817</v>
      </c>
      <c r="Q1075" t="s">
        <v>1652</v>
      </c>
      <c r="R1075" t="s">
        <v>3925</v>
      </c>
      <c r="T1075" t="s">
        <v>1817</v>
      </c>
    </row>
    <row r="1076" ht="25.5" customHeight="1" spans="1:20">
      <c r="A1076" t="s">
        <v>2237</v>
      </c>
      <c r="B1076" t="s">
        <v>1816</v>
      </c>
      <c r="C1076" t="s">
        <v>3922</v>
      </c>
      <c r="D1076" s="3"/>
      <c r="E1076" s="2">
        <v>45684</v>
      </c>
      <c r="F1076">
        <v>106800</v>
      </c>
      <c r="G1076">
        <v>38100</v>
      </c>
      <c r="H1076">
        <v>61</v>
      </c>
      <c r="I1076">
        <v>12</v>
      </c>
      <c r="J1076">
        <v>77</v>
      </c>
      <c r="K1076">
        <v>14</v>
      </c>
      <c r="L1076" t="s">
        <v>3138</v>
      </c>
      <c r="M1076" t="s">
        <v>3400</v>
      </c>
      <c r="N1076" t="s">
        <v>1630</v>
      </c>
      <c r="O1076" s="4">
        <v>45684.753287037</v>
      </c>
      <c r="P1076" t="s">
        <v>1817</v>
      </c>
      <c r="Q1076" t="s">
        <v>1652</v>
      </c>
      <c r="R1076" t="s">
        <v>3925</v>
      </c>
      <c r="T1076" t="s">
        <v>1817</v>
      </c>
    </row>
    <row r="1077" ht="25.5" customHeight="1" spans="1:20">
      <c r="A1077" t="s">
        <v>2237</v>
      </c>
      <c r="B1077" t="s">
        <v>1816</v>
      </c>
      <c r="C1077" t="s">
        <v>3922</v>
      </c>
      <c r="D1077" s="3"/>
      <c r="E1077" s="2">
        <v>45693</v>
      </c>
      <c r="F1077">
        <v>106500</v>
      </c>
      <c r="G1077">
        <v>38300</v>
      </c>
      <c r="H1077">
        <v>61</v>
      </c>
      <c r="I1077">
        <v>12</v>
      </c>
      <c r="J1077">
        <v>76</v>
      </c>
      <c r="K1077">
        <v>14</v>
      </c>
      <c r="L1077" t="s">
        <v>3138</v>
      </c>
      <c r="M1077" t="s">
        <v>3400</v>
      </c>
      <c r="N1077" t="s">
        <v>1630</v>
      </c>
      <c r="O1077" s="4">
        <v>45693.8365625</v>
      </c>
      <c r="P1077" t="s">
        <v>1817</v>
      </c>
      <c r="Q1077" t="s">
        <v>1652</v>
      </c>
      <c r="R1077" t="s">
        <v>3563</v>
      </c>
      <c r="T1077" t="s">
        <v>1817</v>
      </c>
    </row>
    <row r="1078" ht="25.5" customHeight="1" spans="1:20">
      <c r="A1078" t="s">
        <v>2237</v>
      </c>
      <c r="B1078" t="s">
        <v>1816</v>
      </c>
      <c r="C1078" t="s">
        <v>3922</v>
      </c>
      <c r="D1078" s="3"/>
      <c r="E1078" s="2">
        <v>45694</v>
      </c>
      <c r="F1078">
        <v>106500</v>
      </c>
      <c r="G1078">
        <v>38300</v>
      </c>
      <c r="H1078">
        <v>60</v>
      </c>
      <c r="I1078">
        <v>12</v>
      </c>
      <c r="J1078">
        <v>76</v>
      </c>
      <c r="K1078">
        <v>14</v>
      </c>
      <c r="L1078" t="s">
        <v>3138</v>
      </c>
      <c r="M1078" t="s">
        <v>3400</v>
      </c>
      <c r="N1078" t="s">
        <v>1630</v>
      </c>
      <c r="O1078" s="4">
        <v>45698.6216782407</v>
      </c>
      <c r="P1078" t="s">
        <v>1817</v>
      </c>
      <c r="Q1078" t="s">
        <v>1652</v>
      </c>
      <c r="R1078" t="s">
        <v>3926</v>
      </c>
      <c r="S1078" t="s">
        <v>3245</v>
      </c>
      <c r="T1078" t="s">
        <v>1817</v>
      </c>
    </row>
    <row r="1079" ht="25.5" customHeight="1" spans="1:20">
      <c r="A1079" t="s">
        <v>3072</v>
      </c>
      <c r="B1079" t="s">
        <v>56</v>
      </c>
      <c r="D1079" s="3"/>
      <c r="E1079" s="2"/>
      <c r="M1079" t="s">
        <v>3927</v>
      </c>
      <c r="N1079" t="s">
        <v>1645</v>
      </c>
      <c r="O1079" s="4">
        <v>45670.743587963</v>
      </c>
      <c r="P1079" t="s">
        <v>57</v>
      </c>
      <c r="R1079" t="s">
        <v>3133</v>
      </c>
      <c r="T1079" t="s">
        <v>57</v>
      </c>
    </row>
    <row r="1080" ht="25.5" customHeight="1" spans="1:20">
      <c r="A1080" t="s">
        <v>2385</v>
      </c>
      <c r="B1080" t="s">
        <v>269</v>
      </c>
      <c r="D1080" s="3"/>
      <c r="E1080" s="2"/>
      <c r="M1080" t="s">
        <v>3228</v>
      </c>
      <c r="N1080" t="s">
        <v>1645</v>
      </c>
      <c r="O1080" s="4">
        <v>45670.743587963</v>
      </c>
      <c r="P1080" t="s">
        <v>423</v>
      </c>
      <c r="Q1080" t="s">
        <v>1631</v>
      </c>
      <c r="R1080" t="s">
        <v>3133</v>
      </c>
      <c r="T1080" t="s">
        <v>423</v>
      </c>
    </row>
    <row r="1081" ht="25.5" customHeight="1" spans="1:20">
      <c r="A1081" t="s">
        <v>3022</v>
      </c>
      <c r="B1081" t="s">
        <v>56</v>
      </c>
      <c r="C1081" t="s">
        <v>3928</v>
      </c>
      <c r="D1081" s="3" t="str">
        <f>HYPERLINK("https://www.tiktok.com/@mattsmedia_","https://www.tiktok.com/@mattsmedia_")</f>
        <v>https://www.tiktok.com/@mattsmedia_</v>
      </c>
      <c r="E1081" s="2">
        <v>45667</v>
      </c>
      <c r="F1081">
        <v>1471</v>
      </c>
      <c r="G1081">
        <v>525</v>
      </c>
      <c r="H1081">
        <v>40</v>
      </c>
      <c r="I1081">
        <v>7</v>
      </c>
      <c r="J1081">
        <v>4</v>
      </c>
      <c r="K1081">
        <v>8</v>
      </c>
      <c r="L1081" t="s">
        <v>3260</v>
      </c>
      <c r="M1081" t="s">
        <v>3485</v>
      </c>
      <c r="N1081" t="s">
        <v>1630</v>
      </c>
      <c r="O1081" s="4">
        <v>45670.8624652778</v>
      </c>
      <c r="P1081" t="s">
        <v>57</v>
      </c>
      <c r="Q1081" t="s">
        <v>1887</v>
      </c>
      <c r="R1081" t="s">
        <v>3790</v>
      </c>
      <c r="T1081" t="s">
        <v>57</v>
      </c>
    </row>
    <row r="1082" ht="25.5" customHeight="1" spans="1:20">
      <c r="A1082" t="s">
        <v>3022</v>
      </c>
      <c r="B1082" t="s">
        <v>56</v>
      </c>
      <c r="C1082" t="s">
        <v>3928</v>
      </c>
      <c r="D1082" s="3"/>
      <c r="E1082" s="2">
        <v>45671</v>
      </c>
      <c r="F1082">
        <v>1472</v>
      </c>
      <c r="G1082">
        <v>533</v>
      </c>
      <c r="H1082">
        <v>40</v>
      </c>
      <c r="I1082">
        <v>7</v>
      </c>
      <c r="J1082">
        <v>4</v>
      </c>
      <c r="K1082">
        <v>8</v>
      </c>
      <c r="L1082" t="s">
        <v>3260</v>
      </c>
      <c r="M1082" t="s">
        <v>3485</v>
      </c>
      <c r="N1082" t="s">
        <v>1630</v>
      </c>
      <c r="O1082" s="4">
        <v>45672.5030092593</v>
      </c>
      <c r="P1082" t="s">
        <v>57</v>
      </c>
      <c r="Q1082" t="s">
        <v>1887</v>
      </c>
      <c r="R1082" t="s">
        <v>3790</v>
      </c>
      <c r="T1082" t="s">
        <v>57</v>
      </c>
    </row>
    <row r="1083" ht="25.5" customHeight="1" spans="1:20">
      <c r="A1083" t="s">
        <v>3022</v>
      </c>
      <c r="B1083" t="s">
        <v>56</v>
      </c>
      <c r="C1083" t="s">
        <v>3928</v>
      </c>
      <c r="D1083" s="3"/>
      <c r="E1083" s="2">
        <v>45672</v>
      </c>
      <c r="F1083">
        <v>1475</v>
      </c>
      <c r="G1083">
        <v>549</v>
      </c>
      <c r="H1083">
        <v>40</v>
      </c>
      <c r="I1083">
        <v>7</v>
      </c>
      <c r="J1083">
        <v>4</v>
      </c>
      <c r="K1083">
        <v>8</v>
      </c>
      <c r="L1083" t="s">
        <v>3260</v>
      </c>
      <c r="M1083" t="s">
        <v>3485</v>
      </c>
      <c r="N1083" t="s">
        <v>1630</v>
      </c>
      <c r="O1083" s="4">
        <v>45672.5209259259</v>
      </c>
      <c r="P1083" t="s">
        <v>57</v>
      </c>
      <c r="Q1083" t="s">
        <v>1887</v>
      </c>
      <c r="R1083" t="s">
        <v>3790</v>
      </c>
      <c r="T1083" t="s">
        <v>57</v>
      </c>
    </row>
    <row r="1084" ht="25.5" customHeight="1" spans="1:20">
      <c r="A1084" t="s">
        <v>3022</v>
      </c>
      <c r="B1084" t="s">
        <v>56</v>
      </c>
      <c r="C1084" t="s">
        <v>3928</v>
      </c>
      <c r="D1084" s="3"/>
      <c r="E1084" s="2">
        <v>45673</v>
      </c>
      <c r="F1084">
        <v>1477</v>
      </c>
      <c r="G1084">
        <v>558</v>
      </c>
      <c r="H1084">
        <v>40</v>
      </c>
      <c r="I1084">
        <v>7</v>
      </c>
      <c r="J1084">
        <v>4</v>
      </c>
      <c r="K1084">
        <v>8</v>
      </c>
      <c r="L1084" t="s">
        <v>3260</v>
      </c>
      <c r="M1084" t="s">
        <v>3485</v>
      </c>
      <c r="N1084" t="s">
        <v>1630</v>
      </c>
      <c r="O1084" s="4">
        <v>45673.6100115741</v>
      </c>
      <c r="P1084" t="s">
        <v>57</v>
      </c>
      <c r="Q1084" t="s">
        <v>1887</v>
      </c>
      <c r="R1084" t="s">
        <v>3790</v>
      </c>
      <c r="T1084" t="s">
        <v>57</v>
      </c>
    </row>
    <row r="1085" ht="25.5" customHeight="1" spans="1:20">
      <c r="A1085" t="s">
        <v>3022</v>
      </c>
      <c r="B1085" t="s">
        <v>56</v>
      </c>
      <c r="C1085" t="s">
        <v>3928</v>
      </c>
      <c r="D1085" s="3"/>
      <c r="E1085" s="2">
        <v>45674</v>
      </c>
      <c r="F1085">
        <v>1477</v>
      </c>
      <c r="G1085">
        <v>567</v>
      </c>
      <c r="H1085">
        <v>40</v>
      </c>
      <c r="I1085">
        <v>7</v>
      </c>
      <c r="J1085">
        <v>4</v>
      </c>
      <c r="K1085">
        <v>8</v>
      </c>
      <c r="L1085" t="s">
        <v>3260</v>
      </c>
      <c r="M1085" t="s">
        <v>3485</v>
      </c>
      <c r="N1085" t="s">
        <v>1630</v>
      </c>
      <c r="O1085" s="4">
        <v>45674.671412037</v>
      </c>
      <c r="P1085" t="s">
        <v>57</v>
      </c>
      <c r="Q1085" t="s">
        <v>1887</v>
      </c>
      <c r="R1085" t="s">
        <v>3790</v>
      </c>
      <c r="T1085" t="s">
        <v>57</v>
      </c>
    </row>
    <row r="1086" ht="25.5" customHeight="1" spans="1:20">
      <c r="A1086" t="s">
        <v>3022</v>
      </c>
      <c r="B1086" t="s">
        <v>56</v>
      </c>
      <c r="C1086" t="s">
        <v>3928</v>
      </c>
      <c r="D1086" s="3"/>
      <c r="E1086" s="2">
        <v>45677</v>
      </c>
      <c r="F1086">
        <v>1479</v>
      </c>
      <c r="G1086">
        <v>581</v>
      </c>
      <c r="H1086">
        <v>41</v>
      </c>
      <c r="I1086">
        <v>7</v>
      </c>
      <c r="J1086">
        <v>4</v>
      </c>
      <c r="K1086">
        <v>8</v>
      </c>
      <c r="L1086" t="s">
        <v>3260</v>
      </c>
      <c r="M1086" t="s">
        <v>3485</v>
      </c>
      <c r="N1086" t="s">
        <v>1630</v>
      </c>
      <c r="O1086" s="4">
        <v>45677.4275</v>
      </c>
      <c r="P1086" t="s">
        <v>57</v>
      </c>
      <c r="Q1086" t="s">
        <v>1887</v>
      </c>
      <c r="R1086" t="s">
        <v>3396</v>
      </c>
      <c r="T1086" t="s">
        <v>57</v>
      </c>
    </row>
    <row r="1087" ht="25.5" customHeight="1" spans="1:20">
      <c r="A1087" t="s">
        <v>3022</v>
      </c>
      <c r="B1087" t="s">
        <v>56</v>
      </c>
      <c r="C1087" t="s">
        <v>3928</v>
      </c>
      <c r="D1087" s="3"/>
      <c r="E1087" s="2">
        <v>45678</v>
      </c>
      <c r="F1087">
        <v>1478</v>
      </c>
      <c r="G1087">
        <v>590</v>
      </c>
      <c r="H1087">
        <v>41</v>
      </c>
      <c r="I1087">
        <v>7</v>
      </c>
      <c r="J1087">
        <v>4</v>
      </c>
      <c r="K1087">
        <v>8</v>
      </c>
      <c r="L1087" t="s">
        <v>3230</v>
      </c>
      <c r="M1087" t="s">
        <v>3485</v>
      </c>
      <c r="N1087" t="s">
        <v>1630</v>
      </c>
      <c r="O1087" s="4">
        <v>45678.6358449074</v>
      </c>
      <c r="P1087" t="s">
        <v>57</v>
      </c>
      <c r="Q1087" t="s">
        <v>1887</v>
      </c>
      <c r="R1087" t="s">
        <v>3396</v>
      </c>
      <c r="T1087" t="s">
        <v>57</v>
      </c>
    </row>
    <row r="1088" ht="25.5" customHeight="1" spans="1:20">
      <c r="A1088" t="s">
        <v>3022</v>
      </c>
      <c r="B1088" t="s">
        <v>56</v>
      </c>
      <c r="C1088" t="s">
        <v>3928</v>
      </c>
      <c r="D1088" s="3"/>
      <c r="E1088" s="2">
        <v>45679</v>
      </c>
      <c r="F1088">
        <v>1479</v>
      </c>
      <c r="G1088">
        <v>590</v>
      </c>
      <c r="H1088">
        <v>41</v>
      </c>
      <c r="I1088">
        <v>7</v>
      </c>
      <c r="J1088">
        <v>4</v>
      </c>
      <c r="K1088">
        <v>8</v>
      </c>
      <c r="L1088" t="s">
        <v>3230</v>
      </c>
      <c r="M1088" t="s">
        <v>3485</v>
      </c>
      <c r="N1088" t="s">
        <v>1630</v>
      </c>
      <c r="O1088" s="4">
        <v>45679.6921180556</v>
      </c>
      <c r="P1088" t="s">
        <v>57</v>
      </c>
      <c r="Q1088" t="s">
        <v>1887</v>
      </c>
      <c r="R1088" t="s">
        <v>3396</v>
      </c>
      <c r="T1088" t="s">
        <v>57</v>
      </c>
    </row>
    <row r="1089" ht="25.5" customHeight="1" spans="1:20">
      <c r="A1089" t="s">
        <v>3022</v>
      </c>
      <c r="B1089" t="s">
        <v>56</v>
      </c>
      <c r="C1089" t="s">
        <v>3928</v>
      </c>
      <c r="D1089" s="3"/>
      <c r="E1089" s="2">
        <v>45680</v>
      </c>
      <c r="F1089">
        <v>1479</v>
      </c>
      <c r="G1089">
        <v>590</v>
      </c>
      <c r="H1089">
        <v>43</v>
      </c>
      <c r="I1089">
        <v>7</v>
      </c>
      <c r="J1089">
        <v>4</v>
      </c>
      <c r="K1089">
        <v>8</v>
      </c>
      <c r="L1089" t="s">
        <v>3260</v>
      </c>
      <c r="M1089" t="s">
        <v>3485</v>
      </c>
      <c r="N1089" t="s">
        <v>1630</v>
      </c>
      <c r="O1089" s="4">
        <v>45680.6481134259</v>
      </c>
      <c r="P1089" t="s">
        <v>57</v>
      </c>
      <c r="Q1089" t="s">
        <v>1887</v>
      </c>
      <c r="R1089" t="s">
        <v>3300</v>
      </c>
      <c r="T1089" t="s">
        <v>57</v>
      </c>
    </row>
    <row r="1090" ht="25.5" customHeight="1" spans="1:20">
      <c r="A1090" t="s">
        <v>3022</v>
      </c>
      <c r="B1090" t="s">
        <v>56</v>
      </c>
      <c r="C1090" t="s">
        <v>3928</v>
      </c>
      <c r="D1090" s="3"/>
      <c r="E1090" s="2">
        <v>45681</v>
      </c>
      <c r="F1090">
        <v>1478</v>
      </c>
      <c r="G1090">
        <v>598</v>
      </c>
      <c r="H1090">
        <v>43</v>
      </c>
      <c r="I1090">
        <v>7</v>
      </c>
      <c r="J1090">
        <v>4</v>
      </c>
      <c r="K1090">
        <v>8</v>
      </c>
      <c r="L1090" t="s">
        <v>3260</v>
      </c>
      <c r="M1090" t="s">
        <v>3485</v>
      </c>
      <c r="N1090" t="s">
        <v>1630</v>
      </c>
      <c r="O1090" s="4">
        <v>45681.6095138889</v>
      </c>
      <c r="P1090" t="s">
        <v>57</v>
      </c>
      <c r="Q1090" t="s">
        <v>1887</v>
      </c>
      <c r="R1090" t="s">
        <v>3300</v>
      </c>
      <c r="T1090" t="s">
        <v>57</v>
      </c>
    </row>
    <row r="1091" ht="25.5" customHeight="1" spans="1:20">
      <c r="A1091" t="s">
        <v>3022</v>
      </c>
      <c r="B1091" t="s">
        <v>56</v>
      </c>
      <c r="C1091" t="s">
        <v>3928</v>
      </c>
      <c r="D1091" s="3"/>
      <c r="E1091" s="2">
        <v>45683</v>
      </c>
      <c r="F1091">
        <v>1485</v>
      </c>
      <c r="G1091">
        <v>607</v>
      </c>
      <c r="H1091">
        <v>44</v>
      </c>
      <c r="I1091">
        <v>7</v>
      </c>
      <c r="J1091">
        <v>4</v>
      </c>
      <c r="K1091">
        <v>8</v>
      </c>
      <c r="L1091" t="s">
        <v>3260</v>
      </c>
      <c r="M1091" t="s">
        <v>3485</v>
      </c>
      <c r="N1091" t="s">
        <v>1630</v>
      </c>
      <c r="O1091" s="4">
        <v>45683.7653009259</v>
      </c>
      <c r="P1091" t="s">
        <v>57</v>
      </c>
      <c r="Q1091" t="s">
        <v>1887</v>
      </c>
      <c r="R1091" t="s">
        <v>3397</v>
      </c>
      <c r="T1091" t="s">
        <v>57</v>
      </c>
    </row>
    <row r="1092" ht="25.5" customHeight="1" spans="1:20">
      <c r="A1092" t="s">
        <v>3022</v>
      </c>
      <c r="B1092" t="s">
        <v>56</v>
      </c>
      <c r="C1092" t="s">
        <v>3928</v>
      </c>
      <c r="D1092" s="3"/>
      <c r="E1092" s="2">
        <v>45684</v>
      </c>
      <c r="F1092">
        <v>1486</v>
      </c>
      <c r="G1092">
        <v>609</v>
      </c>
      <c r="H1092">
        <v>44</v>
      </c>
      <c r="I1092">
        <v>7</v>
      </c>
      <c r="J1092">
        <v>4</v>
      </c>
      <c r="K1092">
        <v>8</v>
      </c>
      <c r="L1092" t="s">
        <v>3260</v>
      </c>
      <c r="M1092" t="s">
        <v>3485</v>
      </c>
      <c r="N1092" t="s">
        <v>1630</v>
      </c>
      <c r="O1092" s="4">
        <v>45684.8317476852</v>
      </c>
      <c r="P1092" t="s">
        <v>57</v>
      </c>
      <c r="Q1092" t="s">
        <v>1887</v>
      </c>
      <c r="R1092" t="s">
        <v>3397</v>
      </c>
      <c r="T1092" t="s">
        <v>57</v>
      </c>
    </row>
    <row r="1093" ht="25.5" customHeight="1" spans="1:20">
      <c r="A1093" t="s">
        <v>3022</v>
      </c>
      <c r="B1093" t="s">
        <v>56</v>
      </c>
      <c r="C1093" t="s">
        <v>3928</v>
      </c>
      <c r="D1093" s="3"/>
      <c r="E1093" s="2">
        <v>45693</v>
      </c>
      <c r="F1093">
        <v>1494</v>
      </c>
      <c r="G1093">
        <v>671</v>
      </c>
      <c r="H1093">
        <v>46</v>
      </c>
      <c r="I1093">
        <v>7</v>
      </c>
      <c r="J1093">
        <v>6</v>
      </c>
      <c r="K1093">
        <v>9</v>
      </c>
      <c r="L1093" t="s">
        <v>3230</v>
      </c>
      <c r="M1093" t="s">
        <v>3485</v>
      </c>
      <c r="N1093" t="s">
        <v>1630</v>
      </c>
      <c r="O1093" s="4">
        <v>45693.821412037</v>
      </c>
      <c r="P1093" t="s">
        <v>57</v>
      </c>
      <c r="Q1093" t="s">
        <v>1887</v>
      </c>
      <c r="R1093" t="s">
        <v>3558</v>
      </c>
      <c r="T1093" t="s">
        <v>57</v>
      </c>
    </row>
    <row r="1094" ht="25.5" customHeight="1" spans="1:20">
      <c r="A1094" t="s">
        <v>3022</v>
      </c>
      <c r="B1094" t="s">
        <v>56</v>
      </c>
      <c r="C1094" t="s">
        <v>3928</v>
      </c>
      <c r="D1094" s="3"/>
      <c r="E1094" s="2">
        <v>45694</v>
      </c>
      <c r="F1094">
        <v>1495</v>
      </c>
      <c r="G1094">
        <v>674</v>
      </c>
      <c r="H1094">
        <v>46</v>
      </c>
      <c r="I1094">
        <v>7</v>
      </c>
      <c r="J1094">
        <v>6</v>
      </c>
      <c r="K1094">
        <v>9</v>
      </c>
      <c r="L1094" t="s">
        <v>3230</v>
      </c>
      <c r="M1094" t="s">
        <v>3485</v>
      </c>
      <c r="N1094" t="s">
        <v>1630</v>
      </c>
      <c r="O1094" s="4">
        <v>45698.6216782407</v>
      </c>
      <c r="P1094" t="s">
        <v>57</v>
      </c>
      <c r="Q1094" t="s">
        <v>1887</v>
      </c>
      <c r="R1094" t="s">
        <v>3558</v>
      </c>
      <c r="S1094" t="s">
        <v>3301</v>
      </c>
      <c r="T1094" t="s">
        <v>57</v>
      </c>
    </row>
    <row r="1095" ht="25.5" customHeight="1" spans="1:20">
      <c r="A1095" t="s">
        <v>3059</v>
      </c>
      <c r="B1095" t="s">
        <v>56</v>
      </c>
      <c r="D1095" s="3"/>
      <c r="E1095" s="2"/>
      <c r="M1095" t="s">
        <v>3662</v>
      </c>
      <c r="N1095" t="s">
        <v>1645</v>
      </c>
      <c r="O1095" s="4">
        <v>45670.743587963</v>
      </c>
      <c r="P1095" t="s">
        <v>57</v>
      </c>
      <c r="R1095" t="s">
        <v>3133</v>
      </c>
      <c r="T1095" t="s">
        <v>57</v>
      </c>
    </row>
    <row r="1096" ht="25.5" customHeight="1" spans="1:20">
      <c r="A1096" t="s">
        <v>2149</v>
      </c>
      <c r="B1096" t="s">
        <v>56</v>
      </c>
      <c r="D1096" s="3"/>
      <c r="E1096" s="2"/>
      <c r="M1096" t="s">
        <v>3719</v>
      </c>
      <c r="N1096" t="s">
        <v>1645</v>
      </c>
      <c r="O1096" s="4">
        <v>45670.743587963</v>
      </c>
      <c r="P1096" t="s">
        <v>57</v>
      </c>
      <c r="R1096" t="s">
        <v>3133</v>
      </c>
      <c r="T1096" t="s">
        <v>57</v>
      </c>
    </row>
    <row r="1097" ht="25.5" customHeight="1" spans="1:20">
      <c r="A1097" t="s">
        <v>2636</v>
      </c>
      <c r="B1097" t="s">
        <v>56</v>
      </c>
      <c r="C1097" t="s">
        <v>3929</v>
      </c>
      <c r="D1097" s="3" t="str">
        <f>HYPERLINK("https://www.tiktok.com/@dibujosmel_colorp","https://www.tiktok.com/@dibujosmel_colorp")</f>
        <v>https://www.tiktok.com/@dibujosmel_colorp</v>
      </c>
      <c r="E1097" s="2">
        <v>45665</v>
      </c>
      <c r="F1097">
        <v>665700</v>
      </c>
      <c r="G1097">
        <v>991</v>
      </c>
      <c r="H1097">
        <v>52</v>
      </c>
      <c r="I1097">
        <v>2</v>
      </c>
      <c r="J1097">
        <v>2</v>
      </c>
      <c r="K1097">
        <v>1</v>
      </c>
      <c r="L1097" t="s">
        <v>3258</v>
      </c>
      <c r="M1097" t="s">
        <v>3261</v>
      </c>
      <c r="N1097" t="s">
        <v>1630</v>
      </c>
      <c r="O1097" s="4">
        <v>45670.8628703704</v>
      </c>
      <c r="P1097" t="s">
        <v>57</v>
      </c>
      <c r="Q1097" t="s">
        <v>1753</v>
      </c>
      <c r="R1097" t="s">
        <v>3395</v>
      </c>
      <c r="T1097" t="s">
        <v>57</v>
      </c>
    </row>
    <row r="1098" ht="25.5" customHeight="1" spans="1:20">
      <c r="A1098" t="s">
        <v>2636</v>
      </c>
      <c r="B1098" t="s">
        <v>56</v>
      </c>
      <c r="C1098" t="s">
        <v>3929</v>
      </c>
      <c r="D1098" s="3"/>
      <c r="E1098" s="2">
        <v>45670</v>
      </c>
      <c r="F1098">
        <v>665900</v>
      </c>
      <c r="G1098">
        <v>4429</v>
      </c>
      <c r="H1098">
        <v>120</v>
      </c>
      <c r="I1098">
        <v>5</v>
      </c>
      <c r="J1098">
        <v>15</v>
      </c>
      <c r="K1098">
        <v>1</v>
      </c>
      <c r="L1098" t="s">
        <v>3284</v>
      </c>
      <c r="M1098" t="s">
        <v>3261</v>
      </c>
      <c r="N1098" t="s">
        <v>1630</v>
      </c>
      <c r="O1098" s="4">
        <v>45672.5030092593</v>
      </c>
      <c r="P1098" t="s">
        <v>57</v>
      </c>
      <c r="Q1098" t="s">
        <v>1753</v>
      </c>
      <c r="R1098" t="s">
        <v>3256</v>
      </c>
      <c r="T1098" t="s">
        <v>57</v>
      </c>
    </row>
    <row r="1099" ht="25.5" customHeight="1" spans="1:20">
      <c r="A1099" t="s">
        <v>2636</v>
      </c>
      <c r="B1099" t="s">
        <v>56</v>
      </c>
      <c r="C1099" t="s">
        <v>3929</v>
      </c>
      <c r="D1099" s="3"/>
      <c r="E1099" s="2">
        <v>45671</v>
      </c>
      <c r="F1099">
        <v>665900</v>
      </c>
      <c r="G1099">
        <v>4822</v>
      </c>
      <c r="H1099">
        <v>130</v>
      </c>
      <c r="I1099">
        <v>5</v>
      </c>
      <c r="J1099">
        <v>15</v>
      </c>
      <c r="K1099">
        <v>1</v>
      </c>
      <c r="L1099" t="s">
        <v>3284</v>
      </c>
      <c r="M1099" t="s">
        <v>3261</v>
      </c>
      <c r="N1099" t="s">
        <v>1630</v>
      </c>
      <c r="O1099" s="4">
        <v>45672.5030092593</v>
      </c>
      <c r="P1099" t="s">
        <v>57</v>
      </c>
      <c r="Q1099" t="s">
        <v>1753</v>
      </c>
      <c r="R1099" t="s">
        <v>3930</v>
      </c>
      <c r="T1099" t="s">
        <v>57</v>
      </c>
    </row>
    <row r="1100" ht="25.5" customHeight="1" spans="1:20">
      <c r="A1100" t="s">
        <v>2636</v>
      </c>
      <c r="B1100" t="s">
        <v>56</v>
      </c>
      <c r="C1100" t="s">
        <v>3929</v>
      </c>
      <c r="D1100" s="3"/>
      <c r="E1100" s="2">
        <v>45672</v>
      </c>
      <c r="F1100">
        <v>665900</v>
      </c>
      <c r="G1100">
        <v>5158</v>
      </c>
      <c r="H1100">
        <v>138</v>
      </c>
      <c r="I1100">
        <v>5</v>
      </c>
      <c r="J1100">
        <v>16</v>
      </c>
      <c r="K1100">
        <v>1</v>
      </c>
      <c r="L1100" t="s">
        <v>3284</v>
      </c>
      <c r="M1100" t="s">
        <v>3261</v>
      </c>
      <c r="N1100" t="s">
        <v>1630</v>
      </c>
      <c r="O1100" s="4">
        <v>45672.521099537</v>
      </c>
      <c r="P1100" t="s">
        <v>57</v>
      </c>
      <c r="Q1100" t="s">
        <v>1753</v>
      </c>
      <c r="R1100" t="s">
        <v>3931</v>
      </c>
      <c r="T1100" t="s">
        <v>57</v>
      </c>
    </row>
    <row r="1101" ht="25.5" customHeight="1" spans="1:20">
      <c r="A1101" t="s">
        <v>2636</v>
      </c>
      <c r="B1101" t="s">
        <v>56</v>
      </c>
      <c r="C1101" t="s">
        <v>3929</v>
      </c>
      <c r="D1101" s="3"/>
      <c r="E1101" s="2">
        <v>45673</v>
      </c>
      <c r="F1101">
        <v>665900</v>
      </c>
      <c r="G1101">
        <v>5467</v>
      </c>
      <c r="H1101">
        <v>143</v>
      </c>
      <c r="I1101">
        <v>5</v>
      </c>
      <c r="J1101">
        <v>17</v>
      </c>
      <c r="K1101">
        <v>2</v>
      </c>
      <c r="L1101" t="s">
        <v>3284</v>
      </c>
      <c r="M1101" t="s">
        <v>3261</v>
      </c>
      <c r="N1101" t="s">
        <v>1630</v>
      </c>
      <c r="O1101" s="4">
        <v>45673.6102430556</v>
      </c>
      <c r="P1101" t="s">
        <v>57</v>
      </c>
      <c r="Q1101" t="s">
        <v>1753</v>
      </c>
      <c r="R1101" t="s">
        <v>3932</v>
      </c>
      <c r="T1101" t="s">
        <v>57</v>
      </c>
    </row>
    <row r="1102" ht="25.5" customHeight="1" spans="1:20">
      <c r="A1102" t="s">
        <v>2636</v>
      </c>
      <c r="B1102" t="s">
        <v>56</v>
      </c>
      <c r="C1102" t="s">
        <v>3929</v>
      </c>
      <c r="D1102" s="3"/>
      <c r="E1102" s="2">
        <v>45674</v>
      </c>
      <c r="F1102">
        <v>665900</v>
      </c>
      <c r="G1102">
        <v>5751</v>
      </c>
      <c r="H1102">
        <v>146</v>
      </c>
      <c r="I1102">
        <v>5</v>
      </c>
      <c r="J1102">
        <v>19</v>
      </c>
      <c r="K1102">
        <v>2</v>
      </c>
      <c r="L1102" t="s">
        <v>3284</v>
      </c>
      <c r="M1102" t="s">
        <v>3261</v>
      </c>
      <c r="N1102" t="s">
        <v>1630</v>
      </c>
      <c r="O1102" s="4">
        <v>45674.6716435185</v>
      </c>
      <c r="P1102" t="s">
        <v>57</v>
      </c>
      <c r="Q1102" t="s">
        <v>1753</v>
      </c>
      <c r="R1102" t="s">
        <v>3933</v>
      </c>
      <c r="T1102" t="s">
        <v>57</v>
      </c>
    </row>
    <row r="1103" ht="25.5" customHeight="1" spans="1:20">
      <c r="A1103" t="s">
        <v>2636</v>
      </c>
      <c r="B1103" t="s">
        <v>56</v>
      </c>
      <c r="C1103" t="s">
        <v>3929</v>
      </c>
      <c r="D1103" s="3"/>
      <c r="E1103" s="2">
        <v>45677</v>
      </c>
      <c r="F1103">
        <v>665900</v>
      </c>
      <c r="G1103">
        <v>6742</v>
      </c>
      <c r="H1103">
        <v>163</v>
      </c>
      <c r="I1103">
        <v>6</v>
      </c>
      <c r="J1103">
        <v>20</v>
      </c>
      <c r="K1103">
        <v>2</v>
      </c>
      <c r="L1103" t="s">
        <v>3284</v>
      </c>
      <c r="M1103" t="s">
        <v>3261</v>
      </c>
      <c r="N1103" t="s">
        <v>1630</v>
      </c>
      <c r="O1103" s="4">
        <v>45678.6359027778</v>
      </c>
      <c r="P1103" t="s">
        <v>57</v>
      </c>
      <c r="Q1103" t="s">
        <v>1753</v>
      </c>
      <c r="R1103" t="s">
        <v>3934</v>
      </c>
      <c r="T1103" t="s">
        <v>57</v>
      </c>
    </row>
    <row r="1104" ht="25.5" customHeight="1" spans="1:20">
      <c r="A1104" t="s">
        <v>2636</v>
      </c>
      <c r="B1104" t="s">
        <v>56</v>
      </c>
      <c r="C1104" t="s">
        <v>3929</v>
      </c>
      <c r="D1104" s="3"/>
      <c r="E1104" s="2">
        <v>45678</v>
      </c>
      <c r="F1104">
        <v>665900</v>
      </c>
      <c r="G1104">
        <v>7162</v>
      </c>
      <c r="H1104">
        <v>167</v>
      </c>
      <c r="I1104">
        <v>6</v>
      </c>
      <c r="J1104">
        <v>20</v>
      </c>
      <c r="K1104">
        <v>2</v>
      </c>
      <c r="L1104" t="s">
        <v>3281</v>
      </c>
      <c r="M1104" t="s">
        <v>3261</v>
      </c>
      <c r="N1104" t="s">
        <v>1630</v>
      </c>
      <c r="O1104" s="4">
        <v>45678.6360416667</v>
      </c>
      <c r="P1104" t="s">
        <v>57</v>
      </c>
      <c r="Q1104" t="s">
        <v>1753</v>
      </c>
      <c r="R1104" t="s">
        <v>3935</v>
      </c>
      <c r="T1104" t="s">
        <v>57</v>
      </c>
    </row>
    <row r="1105" ht="25.5" customHeight="1" spans="1:20">
      <c r="A1105" t="s">
        <v>2636</v>
      </c>
      <c r="B1105" t="s">
        <v>56</v>
      </c>
      <c r="C1105" t="s">
        <v>3929</v>
      </c>
      <c r="D1105" s="3"/>
      <c r="E1105" s="2">
        <v>45679</v>
      </c>
      <c r="F1105">
        <v>665900</v>
      </c>
      <c r="G1105">
        <v>7470</v>
      </c>
      <c r="H1105">
        <v>172</v>
      </c>
      <c r="I1105">
        <v>6</v>
      </c>
      <c r="J1105">
        <v>21</v>
      </c>
      <c r="K1105">
        <v>2</v>
      </c>
      <c r="L1105" t="s">
        <v>3281</v>
      </c>
      <c r="M1105" t="s">
        <v>3261</v>
      </c>
      <c r="N1105" t="s">
        <v>1630</v>
      </c>
      <c r="O1105" s="4">
        <v>45679.6923958333</v>
      </c>
      <c r="P1105" t="s">
        <v>57</v>
      </c>
      <c r="Q1105" t="s">
        <v>1753</v>
      </c>
      <c r="R1105" t="s">
        <v>3188</v>
      </c>
      <c r="T1105" t="s">
        <v>57</v>
      </c>
    </row>
    <row r="1106" ht="25.5" customHeight="1" spans="1:20">
      <c r="A1106" t="s">
        <v>2636</v>
      </c>
      <c r="B1106" t="s">
        <v>56</v>
      </c>
      <c r="C1106" t="s">
        <v>3929</v>
      </c>
      <c r="D1106" s="3"/>
      <c r="E1106" s="2">
        <v>45680</v>
      </c>
      <c r="F1106">
        <v>665900</v>
      </c>
      <c r="G1106">
        <v>7778</v>
      </c>
      <c r="H1106">
        <v>178</v>
      </c>
      <c r="I1106">
        <v>6</v>
      </c>
      <c r="J1106">
        <v>22</v>
      </c>
      <c r="K1106">
        <v>2</v>
      </c>
      <c r="L1106" t="s">
        <v>3281</v>
      </c>
      <c r="M1106" t="s">
        <v>3261</v>
      </c>
      <c r="N1106" t="s">
        <v>1630</v>
      </c>
      <c r="O1106" s="4">
        <v>45680.6484143519</v>
      </c>
      <c r="P1106" t="s">
        <v>57</v>
      </c>
      <c r="Q1106" t="s">
        <v>1753</v>
      </c>
      <c r="R1106" t="s">
        <v>3224</v>
      </c>
      <c r="T1106" t="s">
        <v>57</v>
      </c>
    </row>
    <row r="1107" ht="25.5" customHeight="1" spans="1:20">
      <c r="A1107" t="s">
        <v>2636</v>
      </c>
      <c r="B1107" t="s">
        <v>56</v>
      </c>
      <c r="C1107" t="s">
        <v>3929</v>
      </c>
      <c r="D1107" s="3"/>
      <c r="E1107" s="2">
        <v>45681</v>
      </c>
      <c r="F1107">
        <v>665900</v>
      </c>
      <c r="G1107">
        <v>8153</v>
      </c>
      <c r="H1107">
        <v>189</v>
      </c>
      <c r="I1107">
        <v>7</v>
      </c>
      <c r="J1107">
        <v>26</v>
      </c>
      <c r="K1107">
        <v>2</v>
      </c>
      <c r="L1107" t="s">
        <v>3281</v>
      </c>
      <c r="M1107" t="s">
        <v>3261</v>
      </c>
      <c r="N1107" t="s">
        <v>1630</v>
      </c>
      <c r="O1107" s="4">
        <v>45681.6098263889</v>
      </c>
      <c r="P1107" t="s">
        <v>57</v>
      </c>
      <c r="Q1107" t="s">
        <v>1753</v>
      </c>
      <c r="R1107" t="s">
        <v>3412</v>
      </c>
      <c r="T1107" t="s">
        <v>57</v>
      </c>
    </row>
    <row r="1108" ht="25.5" customHeight="1" spans="1:20">
      <c r="A1108" t="s">
        <v>2636</v>
      </c>
      <c r="B1108" t="s">
        <v>56</v>
      </c>
      <c r="C1108" t="s">
        <v>3929</v>
      </c>
      <c r="D1108" s="3"/>
      <c r="E1108" s="2">
        <v>45683</v>
      </c>
      <c r="F1108">
        <v>666000</v>
      </c>
      <c r="G1108">
        <v>8948</v>
      </c>
      <c r="H1108">
        <v>208</v>
      </c>
      <c r="I1108">
        <v>8</v>
      </c>
      <c r="J1108">
        <v>30</v>
      </c>
      <c r="K1108">
        <v>2</v>
      </c>
      <c r="L1108" t="s">
        <v>3281</v>
      </c>
      <c r="M1108" t="s">
        <v>3261</v>
      </c>
      <c r="N1108" t="s">
        <v>1630</v>
      </c>
      <c r="O1108" s="4">
        <v>45683.7655439815</v>
      </c>
      <c r="P1108" t="s">
        <v>57</v>
      </c>
      <c r="Q1108" t="s">
        <v>1753</v>
      </c>
      <c r="R1108" t="s">
        <v>3495</v>
      </c>
      <c r="T1108" t="s">
        <v>57</v>
      </c>
    </row>
    <row r="1109" ht="25.5" customHeight="1" spans="1:20">
      <c r="A1109" t="s">
        <v>2636</v>
      </c>
      <c r="B1109" t="s">
        <v>56</v>
      </c>
      <c r="C1109" t="s">
        <v>3929</v>
      </c>
      <c r="D1109" s="3"/>
      <c r="E1109" s="2">
        <v>45684</v>
      </c>
      <c r="F1109">
        <v>666000</v>
      </c>
      <c r="G1109">
        <v>9393</v>
      </c>
      <c r="H1109">
        <v>223</v>
      </c>
      <c r="I1109">
        <v>10</v>
      </c>
      <c r="J1109">
        <v>29</v>
      </c>
      <c r="K1109">
        <v>2</v>
      </c>
      <c r="L1109" t="s">
        <v>3284</v>
      </c>
      <c r="M1109" t="s">
        <v>3261</v>
      </c>
      <c r="N1109" t="s">
        <v>1630</v>
      </c>
      <c r="O1109" s="4">
        <v>45684.8319328704</v>
      </c>
      <c r="P1109" t="s">
        <v>57</v>
      </c>
      <c r="Q1109" t="s">
        <v>1753</v>
      </c>
      <c r="R1109" t="s">
        <v>3463</v>
      </c>
      <c r="T1109" t="s">
        <v>57</v>
      </c>
    </row>
    <row r="1110" ht="25.5" customHeight="1" spans="1:20">
      <c r="A1110" t="s">
        <v>2636</v>
      </c>
      <c r="B1110" t="s">
        <v>56</v>
      </c>
      <c r="C1110" t="s">
        <v>3929</v>
      </c>
      <c r="D1110" s="3"/>
      <c r="E1110" s="2">
        <v>45693</v>
      </c>
      <c r="F1110">
        <v>662000</v>
      </c>
      <c r="G1110">
        <v>12400</v>
      </c>
      <c r="H1110">
        <v>282</v>
      </c>
      <c r="I1110">
        <v>15</v>
      </c>
      <c r="J1110">
        <v>40</v>
      </c>
      <c r="K1110">
        <v>3</v>
      </c>
      <c r="L1110" t="s">
        <v>3281</v>
      </c>
      <c r="M1110" t="s">
        <v>3261</v>
      </c>
      <c r="N1110" t="s">
        <v>1630</v>
      </c>
      <c r="O1110" s="4">
        <v>45694.4901041667</v>
      </c>
      <c r="P1110" t="s">
        <v>57</v>
      </c>
      <c r="Q1110" t="s">
        <v>1753</v>
      </c>
      <c r="R1110" t="s">
        <v>3936</v>
      </c>
      <c r="T1110" t="s">
        <v>57</v>
      </c>
    </row>
    <row r="1111" ht="25.5" customHeight="1" spans="1:20">
      <c r="A1111" t="s">
        <v>2636</v>
      </c>
      <c r="B1111" t="s">
        <v>56</v>
      </c>
      <c r="C1111" t="s">
        <v>3929</v>
      </c>
      <c r="D1111" s="3"/>
      <c r="E1111" s="2">
        <v>45694</v>
      </c>
      <c r="F1111">
        <v>661000</v>
      </c>
      <c r="G1111">
        <v>12600</v>
      </c>
      <c r="H1111">
        <v>284</v>
      </c>
      <c r="I1111">
        <v>15</v>
      </c>
      <c r="J1111">
        <v>42</v>
      </c>
      <c r="K1111">
        <v>3</v>
      </c>
      <c r="L1111" t="s">
        <v>3281</v>
      </c>
      <c r="M1111" t="s">
        <v>3261</v>
      </c>
      <c r="N1111" t="s">
        <v>1630</v>
      </c>
      <c r="O1111" s="4">
        <v>45698.6216782407</v>
      </c>
      <c r="P1111" t="s">
        <v>57</v>
      </c>
      <c r="Q1111" t="s">
        <v>1753</v>
      </c>
      <c r="R1111" t="s">
        <v>3937</v>
      </c>
      <c r="S1111" t="s">
        <v>3169</v>
      </c>
      <c r="T1111" t="s">
        <v>57</v>
      </c>
    </row>
    <row r="1112" ht="25.5" customHeight="1" spans="1:20">
      <c r="A1112" t="s">
        <v>2648</v>
      </c>
      <c r="B1112" t="s">
        <v>56</v>
      </c>
      <c r="C1112" t="s">
        <v>3938</v>
      </c>
      <c r="D1112" s="3"/>
      <c r="E1112" s="2">
        <v>45671</v>
      </c>
      <c r="F1112">
        <v>26100</v>
      </c>
      <c r="G1112">
        <v>398</v>
      </c>
      <c r="H1112">
        <v>27</v>
      </c>
      <c r="I1112">
        <v>2</v>
      </c>
      <c r="J1112">
        <v>5</v>
      </c>
      <c r="K1112">
        <v>0</v>
      </c>
      <c r="L1112" t="s">
        <v>3248</v>
      </c>
      <c r="M1112" t="s">
        <v>3261</v>
      </c>
      <c r="N1112" t="s">
        <v>1630</v>
      </c>
      <c r="O1112" s="4">
        <v>45671.697337963</v>
      </c>
      <c r="P1112" t="s">
        <v>57</v>
      </c>
      <c r="Q1112" t="s">
        <v>1631</v>
      </c>
      <c r="R1112" t="s">
        <v>3939</v>
      </c>
      <c r="T1112" t="s">
        <v>57</v>
      </c>
    </row>
    <row r="1113" ht="25.5" customHeight="1" spans="1:20">
      <c r="A1113" t="s">
        <v>2648</v>
      </c>
      <c r="B1113" t="s">
        <v>56</v>
      </c>
      <c r="C1113" t="s">
        <v>3938</v>
      </c>
      <c r="D1113" s="3"/>
      <c r="E1113" s="2">
        <v>45672</v>
      </c>
      <c r="F1113">
        <v>26100</v>
      </c>
      <c r="G1113">
        <v>469</v>
      </c>
      <c r="H1113">
        <v>28</v>
      </c>
      <c r="I1113">
        <v>2</v>
      </c>
      <c r="J1113">
        <v>5</v>
      </c>
      <c r="K1113">
        <v>0</v>
      </c>
      <c r="L1113" t="s">
        <v>3258</v>
      </c>
      <c r="M1113" t="s">
        <v>3261</v>
      </c>
      <c r="N1113" t="s">
        <v>1630</v>
      </c>
      <c r="O1113" s="4">
        <v>45672.5212615741</v>
      </c>
      <c r="P1113" t="s">
        <v>57</v>
      </c>
      <c r="Q1113" t="s">
        <v>1631</v>
      </c>
      <c r="R1113" t="s">
        <v>3940</v>
      </c>
      <c r="T1113" t="s">
        <v>57</v>
      </c>
    </row>
    <row r="1114" ht="25.5" customHeight="1" spans="1:20">
      <c r="A1114" t="s">
        <v>2648</v>
      </c>
      <c r="B1114" t="s">
        <v>56</v>
      </c>
      <c r="C1114" t="s">
        <v>3938</v>
      </c>
      <c r="D1114" s="3"/>
      <c r="E1114" s="2">
        <v>45673</v>
      </c>
      <c r="F1114">
        <v>26100</v>
      </c>
      <c r="G1114">
        <v>487</v>
      </c>
      <c r="H1114">
        <v>31</v>
      </c>
      <c r="I1114">
        <v>2</v>
      </c>
      <c r="J1114">
        <v>5</v>
      </c>
      <c r="K1114">
        <v>0</v>
      </c>
      <c r="L1114" t="s">
        <v>3248</v>
      </c>
      <c r="M1114" t="s">
        <v>3261</v>
      </c>
      <c r="N1114" t="s">
        <v>1630</v>
      </c>
      <c r="O1114" s="4">
        <v>45673.6104398148</v>
      </c>
      <c r="P1114" t="s">
        <v>57</v>
      </c>
      <c r="Q1114" t="s">
        <v>1631</v>
      </c>
      <c r="R1114" t="s">
        <v>3506</v>
      </c>
      <c r="T1114" t="s">
        <v>57</v>
      </c>
    </row>
    <row r="1115" ht="25.5" customHeight="1" spans="1:20">
      <c r="A1115" t="s">
        <v>2648</v>
      </c>
      <c r="B1115" t="s">
        <v>56</v>
      </c>
      <c r="C1115" t="s">
        <v>3938</v>
      </c>
      <c r="D1115" s="3"/>
      <c r="E1115" s="2">
        <v>45674</v>
      </c>
      <c r="F1115">
        <v>26100</v>
      </c>
      <c r="G1115">
        <v>507</v>
      </c>
      <c r="H1115">
        <v>31</v>
      </c>
      <c r="I1115">
        <v>2</v>
      </c>
      <c r="J1115">
        <v>5</v>
      </c>
      <c r="K1115">
        <v>0</v>
      </c>
      <c r="L1115" t="s">
        <v>3248</v>
      </c>
      <c r="M1115" t="s">
        <v>3261</v>
      </c>
      <c r="N1115" t="s">
        <v>1630</v>
      </c>
      <c r="O1115" s="4">
        <v>45674.6721990741</v>
      </c>
      <c r="P1115" t="s">
        <v>57</v>
      </c>
      <c r="Q1115" t="s">
        <v>1631</v>
      </c>
      <c r="R1115" t="s">
        <v>3506</v>
      </c>
      <c r="T1115" t="s">
        <v>57</v>
      </c>
    </row>
    <row r="1116" ht="25.5" customHeight="1" spans="1:20">
      <c r="A1116" t="s">
        <v>2648</v>
      </c>
      <c r="B1116" t="s">
        <v>56</v>
      </c>
      <c r="C1116" t="s">
        <v>3938</v>
      </c>
      <c r="D1116" s="3"/>
      <c r="E1116" s="2">
        <v>45677</v>
      </c>
      <c r="F1116">
        <v>26000</v>
      </c>
      <c r="H1116">
        <v>31</v>
      </c>
      <c r="I1116">
        <v>2</v>
      </c>
      <c r="J1116">
        <v>6</v>
      </c>
      <c r="K1116">
        <v>0</v>
      </c>
      <c r="M1116" t="s">
        <v>3261</v>
      </c>
      <c r="N1116" t="s">
        <v>1630</v>
      </c>
      <c r="O1116" s="4">
        <v>45677.4277893519</v>
      </c>
      <c r="P1116" t="s">
        <v>57</v>
      </c>
      <c r="Q1116" t="s">
        <v>1631</v>
      </c>
      <c r="R1116" t="s">
        <v>3941</v>
      </c>
      <c r="T1116" t="s">
        <v>57</v>
      </c>
    </row>
    <row r="1117" ht="25.5" customHeight="1" spans="1:20">
      <c r="A1117" t="s">
        <v>2648</v>
      </c>
      <c r="B1117" t="s">
        <v>56</v>
      </c>
      <c r="C1117" t="s">
        <v>3938</v>
      </c>
      <c r="D1117" s="3"/>
      <c r="E1117" s="2">
        <v>45678</v>
      </c>
      <c r="F1117">
        <v>26000</v>
      </c>
      <c r="H1117">
        <v>31</v>
      </c>
      <c r="I1117">
        <v>2</v>
      </c>
      <c r="J1117">
        <v>6</v>
      </c>
      <c r="K1117">
        <v>0</v>
      </c>
      <c r="M1117" t="s">
        <v>3261</v>
      </c>
      <c r="N1117" t="s">
        <v>1630</v>
      </c>
      <c r="O1117" s="4">
        <v>45678.6361921296</v>
      </c>
      <c r="P1117" t="s">
        <v>57</v>
      </c>
      <c r="Q1117" t="s">
        <v>1631</v>
      </c>
      <c r="R1117" t="s">
        <v>3941</v>
      </c>
      <c r="T1117" t="s">
        <v>57</v>
      </c>
    </row>
    <row r="1118" ht="25.5" customHeight="1" spans="1:20">
      <c r="A1118" t="s">
        <v>2648</v>
      </c>
      <c r="B1118" t="s">
        <v>56</v>
      </c>
      <c r="C1118" t="s">
        <v>3938</v>
      </c>
      <c r="D1118" s="3"/>
      <c r="E1118" s="2">
        <v>45679</v>
      </c>
      <c r="F1118">
        <v>26000</v>
      </c>
      <c r="H1118">
        <v>31</v>
      </c>
      <c r="I1118">
        <v>2</v>
      </c>
      <c r="J1118">
        <v>6</v>
      </c>
      <c r="K1118">
        <v>0</v>
      </c>
      <c r="M1118" t="s">
        <v>3261</v>
      </c>
      <c r="N1118" t="s">
        <v>1630</v>
      </c>
      <c r="O1118" s="4">
        <v>45679.6925231482</v>
      </c>
      <c r="P1118" t="s">
        <v>57</v>
      </c>
      <c r="Q1118" t="s">
        <v>1631</v>
      </c>
      <c r="R1118" t="s">
        <v>3941</v>
      </c>
      <c r="T1118" t="s">
        <v>57</v>
      </c>
    </row>
    <row r="1119" ht="25.5" customHeight="1" spans="1:20">
      <c r="A1119" t="s">
        <v>2648</v>
      </c>
      <c r="B1119" t="s">
        <v>56</v>
      </c>
      <c r="C1119" t="s">
        <v>3938</v>
      </c>
      <c r="D1119" s="3"/>
      <c r="E1119" s="2">
        <v>45680</v>
      </c>
      <c r="F1119">
        <v>26000</v>
      </c>
      <c r="G1119">
        <v>535</v>
      </c>
      <c r="H1119">
        <v>31</v>
      </c>
      <c r="I1119">
        <v>2</v>
      </c>
      <c r="J1119">
        <v>6</v>
      </c>
      <c r="K1119">
        <v>0</v>
      </c>
      <c r="L1119" t="s">
        <v>3258</v>
      </c>
      <c r="M1119" t="s">
        <v>3261</v>
      </c>
      <c r="N1119" t="s">
        <v>1630</v>
      </c>
      <c r="O1119" s="4">
        <v>45680.4788078704</v>
      </c>
      <c r="P1119" t="s">
        <v>57</v>
      </c>
      <c r="Q1119" t="s">
        <v>1631</v>
      </c>
      <c r="R1119" t="s">
        <v>3941</v>
      </c>
      <c r="T1119" t="s">
        <v>57</v>
      </c>
    </row>
    <row r="1120" ht="25.5" customHeight="1" spans="1:20">
      <c r="A1120" t="s">
        <v>2648</v>
      </c>
      <c r="B1120" t="s">
        <v>56</v>
      </c>
      <c r="C1120" t="s">
        <v>3938</v>
      </c>
      <c r="D1120" s="3"/>
      <c r="E1120" s="2">
        <v>45681</v>
      </c>
      <c r="F1120">
        <v>26000</v>
      </c>
      <c r="G1120">
        <v>545</v>
      </c>
      <c r="H1120">
        <v>32</v>
      </c>
      <c r="I1120">
        <v>2</v>
      </c>
      <c r="J1120">
        <v>7</v>
      </c>
      <c r="K1120">
        <v>0</v>
      </c>
      <c r="L1120" t="s">
        <v>3258</v>
      </c>
      <c r="M1120" t="s">
        <v>3261</v>
      </c>
      <c r="N1120" t="s">
        <v>1630</v>
      </c>
      <c r="O1120" s="4">
        <v>45681.6102314815</v>
      </c>
      <c r="P1120" t="s">
        <v>57</v>
      </c>
      <c r="Q1120" t="s">
        <v>1631</v>
      </c>
      <c r="R1120" t="s">
        <v>3283</v>
      </c>
      <c r="T1120" t="s">
        <v>57</v>
      </c>
    </row>
    <row r="1121" ht="25.5" customHeight="1" spans="1:20">
      <c r="A1121" t="s">
        <v>2648</v>
      </c>
      <c r="B1121" t="s">
        <v>56</v>
      </c>
      <c r="C1121" t="s">
        <v>3938</v>
      </c>
      <c r="D1121" s="3"/>
      <c r="E1121" s="2">
        <v>45683</v>
      </c>
      <c r="F1121">
        <v>26000</v>
      </c>
      <c r="G1121">
        <v>561</v>
      </c>
      <c r="H1121">
        <v>32</v>
      </c>
      <c r="I1121">
        <v>2</v>
      </c>
      <c r="J1121">
        <v>7</v>
      </c>
      <c r="K1121">
        <v>0</v>
      </c>
      <c r="L1121" t="s">
        <v>3258</v>
      </c>
      <c r="M1121" t="s">
        <v>3261</v>
      </c>
      <c r="N1121" t="s">
        <v>1630</v>
      </c>
      <c r="O1121" s="4">
        <v>45683.7676157407</v>
      </c>
      <c r="P1121" t="s">
        <v>57</v>
      </c>
      <c r="Q1121" t="s">
        <v>1631</v>
      </c>
      <c r="R1121" t="s">
        <v>3283</v>
      </c>
      <c r="T1121" t="s">
        <v>57</v>
      </c>
    </row>
    <row r="1122" ht="25.5" customHeight="1" spans="1:20">
      <c r="A1122" t="s">
        <v>2648</v>
      </c>
      <c r="B1122" t="s">
        <v>56</v>
      </c>
      <c r="C1122" t="s">
        <v>3938</v>
      </c>
      <c r="D1122" s="3"/>
      <c r="E1122" s="2">
        <v>45684</v>
      </c>
      <c r="F1122">
        <v>26000</v>
      </c>
      <c r="G1122">
        <v>591</v>
      </c>
      <c r="H1122">
        <v>33</v>
      </c>
      <c r="I1122">
        <v>2</v>
      </c>
      <c r="J1122">
        <v>8</v>
      </c>
      <c r="K1122">
        <v>0</v>
      </c>
      <c r="L1122" t="s">
        <v>3258</v>
      </c>
      <c r="M1122" t="s">
        <v>3261</v>
      </c>
      <c r="N1122" t="s">
        <v>1630</v>
      </c>
      <c r="O1122" s="4">
        <v>45684.8387152778</v>
      </c>
      <c r="P1122" t="s">
        <v>57</v>
      </c>
      <c r="Q1122" t="s">
        <v>1631</v>
      </c>
      <c r="R1122" t="s">
        <v>3516</v>
      </c>
      <c r="T1122" t="s">
        <v>57</v>
      </c>
    </row>
    <row r="1123" ht="25.5" customHeight="1" spans="1:20">
      <c r="A1123" t="s">
        <v>2648</v>
      </c>
      <c r="B1123" t="s">
        <v>56</v>
      </c>
      <c r="C1123" t="s">
        <v>3938</v>
      </c>
      <c r="D1123" s="3"/>
      <c r="E1123" s="2">
        <v>45693</v>
      </c>
      <c r="F1123">
        <v>26000</v>
      </c>
      <c r="G1123">
        <v>630</v>
      </c>
      <c r="H1123">
        <v>34</v>
      </c>
      <c r="I1123">
        <v>2</v>
      </c>
      <c r="J1123">
        <v>8</v>
      </c>
      <c r="K1123">
        <v>0</v>
      </c>
      <c r="L1123" t="s">
        <v>3258</v>
      </c>
      <c r="M1123" t="s">
        <v>3261</v>
      </c>
      <c r="N1123" t="s">
        <v>1630</v>
      </c>
      <c r="O1123" s="4">
        <v>45693.8222685185</v>
      </c>
      <c r="P1123" t="s">
        <v>57</v>
      </c>
      <c r="Q1123" t="s">
        <v>1631</v>
      </c>
      <c r="R1123" t="s">
        <v>3507</v>
      </c>
      <c r="T1123" t="s">
        <v>57</v>
      </c>
    </row>
    <row r="1124" ht="25.5" customHeight="1" spans="1:20">
      <c r="A1124" t="s">
        <v>2648</v>
      </c>
      <c r="B1124" t="s">
        <v>56</v>
      </c>
      <c r="C1124" t="s">
        <v>3938</v>
      </c>
      <c r="D1124" s="3"/>
      <c r="E1124" s="2">
        <v>45694</v>
      </c>
      <c r="F1124">
        <v>26000</v>
      </c>
      <c r="G1124">
        <v>631</v>
      </c>
      <c r="H1124">
        <v>34</v>
      </c>
      <c r="I1124">
        <v>2</v>
      </c>
      <c r="J1124">
        <v>8</v>
      </c>
      <c r="K1124">
        <v>0</v>
      </c>
      <c r="L1124" t="s">
        <v>3258</v>
      </c>
      <c r="M1124" t="s">
        <v>3261</v>
      </c>
      <c r="N1124" t="s">
        <v>1630</v>
      </c>
      <c r="O1124" s="4">
        <v>45698.6216782407</v>
      </c>
      <c r="P1124" t="s">
        <v>57</v>
      </c>
      <c r="Q1124" t="s">
        <v>1631</v>
      </c>
      <c r="R1124" t="s">
        <v>3507</v>
      </c>
      <c r="S1124" t="s">
        <v>3180</v>
      </c>
      <c r="T1124" t="s">
        <v>57</v>
      </c>
    </row>
    <row r="1125" ht="25.5" customHeight="1" spans="1:20">
      <c r="A1125" t="s">
        <v>2648</v>
      </c>
      <c r="B1125" t="s">
        <v>56</v>
      </c>
      <c r="C1125" t="s">
        <v>3938</v>
      </c>
      <c r="D1125" s="3"/>
      <c r="E1125" s="2">
        <v>45695</v>
      </c>
      <c r="F1125">
        <v>26000</v>
      </c>
      <c r="G1125">
        <v>632</v>
      </c>
      <c r="H1125">
        <v>34</v>
      </c>
      <c r="I1125">
        <v>2</v>
      </c>
      <c r="J1125">
        <v>8</v>
      </c>
      <c r="K1125">
        <v>0</v>
      </c>
      <c r="L1125" t="s">
        <v>3258</v>
      </c>
      <c r="M1125" t="s">
        <v>3261</v>
      </c>
      <c r="N1125" t="s">
        <v>1630</v>
      </c>
      <c r="O1125" s="4">
        <v>45695.7157291667</v>
      </c>
      <c r="P1125" t="s">
        <v>57</v>
      </c>
      <c r="Q1125" t="s">
        <v>1631</v>
      </c>
      <c r="R1125" t="s">
        <v>3507</v>
      </c>
      <c r="T1125" t="s">
        <v>57</v>
      </c>
    </row>
    <row r="1126" ht="25.5" customHeight="1" spans="1:18">
      <c r="A1126" t="s">
        <v>3942</v>
      </c>
      <c r="D1126" s="3"/>
      <c r="E1126" s="2"/>
      <c r="O1126" s="4">
        <v>45670.743587963</v>
      </c>
      <c r="R1126" t="s">
        <v>3133</v>
      </c>
    </row>
    <row r="1127" ht="25.5" customHeight="1" spans="1:20">
      <c r="A1127" t="s">
        <v>2267</v>
      </c>
      <c r="B1127" t="s">
        <v>1816</v>
      </c>
      <c r="C1127" t="s">
        <v>3943</v>
      </c>
      <c r="D1127" s="3"/>
      <c r="E1127" s="2">
        <v>45664</v>
      </c>
      <c r="F1127">
        <v>137400</v>
      </c>
      <c r="G1127">
        <v>110500</v>
      </c>
      <c r="H1127">
        <v>285</v>
      </c>
      <c r="I1127">
        <v>29</v>
      </c>
      <c r="J1127">
        <v>396</v>
      </c>
      <c r="K1127">
        <v>64</v>
      </c>
      <c r="L1127" t="s">
        <v>3138</v>
      </c>
      <c r="M1127" t="s">
        <v>3493</v>
      </c>
      <c r="N1127" t="s">
        <v>1630</v>
      </c>
      <c r="O1127" s="4">
        <v>45670.7568287037</v>
      </c>
      <c r="P1127" t="s">
        <v>1817</v>
      </c>
      <c r="Q1127" t="s">
        <v>1703</v>
      </c>
      <c r="R1127" t="s">
        <v>3944</v>
      </c>
      <c r="T1127" t="s">
        <v>1817</v>
      </c>
    </row>
    <row r="1128" ht="25.5" customHeight="1" spans="1:20">
      <c r="A1128" t="s">
        <v>2267</v>
      </c>
      <c r="B1128" t="s">
        <v>1816</v>
      </c>
      <c r="C1128" t="s">
        <v>3943</v>
      </c>
      <c r="D1128" s="3"/>
      <c r="E1128" s="2">
        <v>45665</v>
      </c>
      <c r="F1128">
        <v>157300</v>
      </c>
      <c r="G1128">
        <v>936</v>
      </c>
      <c r="H1128">
        <v>5</v>
      </c>
      <c r="I1128">
        <v>0</v>
      </c>
      <c r="J1128">
        <v>5</v>
      </c>
      <c r="K1128">
        <v>0</v>
      </c>
      <c r="L1128" t="s">
        <v>3138</v>
      </c>
      <c r="M1128" t="s">
        <v>3493</v>
      </c>
      <c r="N1128" t="s">
        <v>1630</v>
      </c>
      <c r="O1128" s="4">
        <v>45672.5030092593</v>
      </c>
      <c r="P1128" t="s">
        <v>1817</v>
      </c>
      <c r="Q1128" t="s">
        <v>1703</v>
      </c>
      <c r="R1128" t="s">
        <v>3945</v>
      </c>
      <c r="T1128" t="s">
        <v>1817</v>
      </c>
    </row>
    <row r="1129" ht="25.5" customHeight="1" spans="1:20">
      <c r="A1129" t="s">
        <v>2267</v>
      </c>
      <c r="B1129" t="s">
        <v>1816</v>
      </c>
      <c r="C1129" t="s">
        <v>3943</v>
      </c>
      <c r="D1129" s="3"/>
      <c r="E1129" s="2">
        <v>45670</v>
      </c>
      <c r="F1129">
        <v>159600</v>
      </c>
      <c r="G1129">
        <v>1767</v>
      </c>
      <c r="H1129">
        <v>6</v>
      </c>
      <c r="I1129">
        <v>0</v>
      </c>
      <c r="J1129">
        <v>6</v>
      </c>
      <c r="K1129">
        <v>0</v>
      </c>
      <c r="L1129" t="s">
        <v>3138</v>
      </c>
      <c r="M1129" t="s">
        <v>3493</v>
      </c>
      <c r="N1129" t="s">
        <v>1630</v>
      </c>
      <c r="O1129" s="4">
        <v>45672.5030092593</v>
      </c>
      <c r="P1129" t="s">
        <v>1817</v>
      </c>
      <c r="Q1129" t="s">
        <v>1703</v>
      </c>
      <c r="R1129" t="s">
        <v>3859</v>
      </c>
      <c r="T1129" t="s">
        <v>1817</v>
      </c>
    </row>
    <row r="1130" ht="25.5" customHeight="1" spans="1:20">
      <c r="A1130" t="s">
        <v>2267</v>
      </c>
      <c r="B1130" t="s">
        <v>1816</v>
      </c>
      <c r="C1130" t="s">
        <v>3943</v>
      </c>
      <c r="D1130" s="3"/>
      <c r="E1130" s="2">
        <v>45671</v>
      </c>
      <c r="F1130">
        <v>160100</v>
      </c>
      <c r="G1130">
        <v>1786</v>
      </c>
      <c r="H1130">
        <v>6</v>
      </c>
      <c r="I1130">
        <v>0</v>
      </c>
      <c r="J1130">
        <v>6</v>
      </c>
      <c r="K1130">
        <v>0</v>
      </c>
      <c r="L1130" t="s">
        <v>3138</v>
      </c>
      <c r="M1130" t="s">
        <v>3493</v>
      </c>
      <c r="N1130" t="s">
        <v>1630</v>
      </c>
      <c r="O1130" s="4">
        <v>45672.5030092593</v>
      </c>
      <c r="P1130" t="s">
        <v>1817</v>
      </c>
      <c r="Q1130" t="s">
        <v>1703</v>
      </c>
      <c r="R1130" t="s">
        <v>3859</v>
      </c>
      <c r="T1130" t="s">
        <v>1817</v>
      </c>
    </row>
    <row r="1131" ht="25.5" customHeight="1" spans="1:20">
      <c r="A1131" t="s">
        <v>2267</v>
      </c>
      <c r="B1131" t="s">
        <v>1816</v>
      </c>
      <c r="C1131" t="s">
        <v>3943</v>
      </c>
      <c r="D1131" s="3"/>
      <c r="E1131" s="2">
        <v>45672</v>
      </c>
      <c r="F1131">
        <v>160200</v>
      </c>
      <c r="G1131">
        <v>1820</v>
      </c>
      <c r="H1131">
        <v>6</v>
      </c>
      <c r="I1131">
        <v>0</v>
      </c>
      <c r="J1131">
        <v>6</v>
      </c>
      <c r="K1131">
        <v>0</v>
      </c>
      <c r="L1131" t="s">
        <v>3138</v>
      </c>
      <c r="M1131" t="s">
        <v>3493</v>
      </c>
      <c r="N1131" t="s">
        <v>1630</v>
      </c>
      <c r="O1131" s="4">
        <v>45672.7142939815</v>
      </c>
      <c r="P1131" t="s">
        <v>1817</v>
      </c>
      <c r="Q1131" t="s">
        <v>1703</v>
      </c>
      <c r="R1131" t="s">
        <v>3859</v>
      </c>
      <c r="T1131" t="s">
        <v>1817</v>
      </c>
    </row>
    <row r="1132" ht="25.5" customHeight="1" spans="1:20">
      <c r="A1132" t="s">
        <v>2267</v>
      </c>
      <c r="B1132" t="s">
        <v>1816</v>
      </c>
      <c r="C1132" t="s">
        <v>3943</v>
      </c>
      <c r="D1132" s="3"/>
      <c r="E1132" s="2">
        <v>45673</v>
      </c>
      <c r="F1132">
        <v>160500</v>
      </c>
      <c r="G1132">
        <v>1840</v>
      </c>
      <c r="H1132">
        <v>6</v>
      </c>
      <c r="I1132">
        <v>0</v>
      </c>
      <c r="J1132">
        <v>6</v>
      </c>
      <c r="K1132">
        <v>0</v>
      </c>
      <c r="L1132" t="s">
        <v>3138</v>
      </c>
      <c r="M1132" t="s">
        <v>3493</v>
      </c>
      <c r="N1132" t="s">
        <v>1630</v>
      </c>
      <c r="O1132" s="4">
        <v>45673.6279513889</v>
      </c>
      <c r="P1132" t="s">
        <v>1817</v>
      </c>
      <c r="Q1132" t="s">
        <v>1703</v>
      </c>
      <c r="R1132" t="s">
        <v>3859</v>
      </c>
      <c r="T1132" t="s">
        <v>1817</v>
      </c>
    </row>
    <row r="1133" ht="25.5" customHeight="1" spans="1:20">
      <c r="A1133" t="s">
        <v>2267</v>
      </c>
      <c r="B1133" t="s">
        <v>1816</v>
      </c>
      <c r="C1133" t="s">
        <v>3943</v>
      </c>
      <c r="D1133" s="3"/>
      <c r="E1133" s="2">
        <v>45674</v>
      </c>
      <c r="F1133">
        <v>160700</v>
      </c>
      <c r="G1133">
        <v>1850</v>
      </c>
      <c r="H1133">
        <v>6</v>
      </c>
      <c r="I1133">
        <v>0</v>
      </c>
      <c r="J1133">
        <v>6</v>
      </c>
      <c r="K1133">
        <v>0</v>
      </c>
      <c r="L1133" t="s">
        <v>3138</v>
      </c>
      <c r="M1133" t="s">
        <v>3493</v>
      </c>
      <c r="N1133" t="s">
        <v>1630</v>
      </c>
      <c r="O1133" s="4">
        <v>45674.6826388889</v>
      </c>
      <c r="P1133" t="s">
        <v>1817</v>
      </c>
      <c r="Q1133" t="s">
        <v>1703</v>
      </c>
      <c r="R1133" t="s">
        <v>3859</v>
      </c>
      <c r="T1133" t="s">
        <v>1817</v>
      </c>
    </row>
    <row r="1134" ht="25.5" customHeight="1" spans="1:20">
      <c r="A1134" t="s">
        <v>2267</v>
      </c>
      <c r="B1134" t="s">
        <v>1816</v>
      </c>
      <c r="C1134" t="s">
        <v>3943</v>
      </c>
      <c r="D1134" s="3"/>
      <c r="E1134" s="2">
        <v>45677</v>
      </c>
      <c r="F1134">
        <v>161600</v>
      </c>
      <c r="G1134">
        <v>1863</v>
      </c>
      <c r="H1134">
        <v>6</v>
      </c>
      <c r="I1134">
        <v>0</v>
      </c>
      <c r="J1134">
        <v>6</v>
      </c>
      <c r="K1134">
        <v>0</v>
      </c>
      <c r="L1134" t="s">
        <v>3138</v>
      </c>
      <c r="M1134" t="s">
        <v>3493</v>
      </c>
      <c r="N1134" t="s">
        <v>1630</v>
      </c>
      <c r="O1134" s="4">
        <v>45677.4416435185</v>
      </c>
      <c r="P1134" t="s">
        <v>1817</v>
      </c>
      <c r="Q1134" t="s">
        <v>1703</v>
      </c>
      <c r="R1134" t="s">
        <v>3859</v>
      </c>
      <c r="T1134" t="s">
        <v>1817</v>
      </c>
    </row>
    <row r="1135" ht="25.5" customHeight="1" spans="1:20">
      <c r="A1135" t="s">
        <v>2267</v>
      </c>
      <c r="B1135" t="s">
        <v>1816</v>
      </c>
      <c r="C1135" t="s">
        <v>3943</v>
      </c>
      <c r="D1135" s="3"/>
      <c r="E1135" s="2">
        <v>45678</v>
      </c>
      <c r="F1135">
        <v>161700</v>
      </c>
      <c r="G1135">
        <v>1870</v>
      </c>
      <c r="H1135">
        <v>6</v>
      </c>
      <c r="I1135">
        <v>0</v>
      </c>
      <c r="J1135">
        <v>6</v>
      </c>
      <c r="K1135">
        <v>0</v>
      </c>
      <c r="L1135" t="s">
        <v>3138</v>
      </c>
      <c r="M1135" t="s">
        <v>3493</v>
      </c>
      <c r="N1135" t="s">
        <v>1630</v>
      </c>
      <c r="O1135" s="4">
        <v>45678.6671180556</v>
      </c>
      <c r="P1135" t="s">
        <v>1817</v>
      </c>
      <c r="Q1135" t="s">
        <v>1703</v>
      </c>
      <c r="R1135" t="s">
        <v>3859</v>
      </c>
      <c r="T1135" t="s">
        <v>1817</v>
      </c>
    </row>
    <row r="1136" ht="25.5" customHeight="1" spans="1:20">
      <c r="A1136" t="s">
        <v>2267</v>
      </c>
      <c r="B1136" t="s">
        <v>1816</v>
      </c>
      <c r="C1136" t="s">
        <v>3943</v>
      </c>
      <c r="D1136" s="3"/>
      <c r="E1136" s="2">
        <v>45679</v>
      </c>
      <c r="F1136">
        <v>161700</v>
      </c>
      <c r="G1136">
        <v>1874</v>
      </c>
      <c r="H1136">
        <v>6</v>
      </c>
      <c r="I1136">
        <v>0</v>
      </c>
      <c r="J1136">
        <v>6</v>
      </c>
      <c r="K1136">
        <v>0</v>
      </c>
      <c r="L1136" t="s">
        <v>3138</v>
      </c>
      <c r="M1136" t="s">
        <v>3493</v>
      </c>
      <c r="N1136" t="s">
        <v>1630</v>
      </c>
      <c r="O1136" s="4">
        <v>45679.6520486111</v>
      </c>
      <c r="P1136" t="s">
        <v>1817</v>
      </c>
      <c r="Q1136" t="s">
        <v>1703</v>
      </c>
      <c r="R1136" t="s">
        <v>3859</v>
      </c>
      <c r="T1136" t="s">
        <v>1817</v>
      </c>
    </row>
    <row r="1137" ht="25.5" customHeight="1" spans="1:20">
      <c r="A1137" t="s">
        <v>2267</v>
      </c>
      <c r="B1137" t="s">
        <v>1816</v>
      </c>
      <c r="C1137" t="s">
        <v>3943</v>
      </c>
      <c r="D1137" s="3"/>
      <c r="E1137" s="2">
        <v>45680</v>
      </c>
      <c r="F1137">
        <v>161800</v>
      </c>
      <c r="G1137">
        <v>1876</v>
      </c>
      <c r="H1137">
        <v>6</v>
      </c>
      <c r="I1137">
        <v>0</v>
      </c>
      <c r="J1137">
        <v>6</v>
      </c>
      <c r="K1137">
        <v>0</v>
      </c>
      <c r="L1137" t="s">
        <v>3138</v>
      </c>
      <c r="M1137" t="s">
        <v>3493</v>
      </c>
      <c r="N1137" t="s">
        <v>1630</v>
      </c>
      <c r="O1137" s="4">
        <v>45680.667662037</v>
      </c>
      <c r="P1137" t="s">
        <v>1817</v>
      </c>
      <c r="Q1137" t="s">
        <v>1703</v>
      </c>
      <c r="R1137" t="s">
        <v>3859</v>
      </c>
      <c r="T1137" t="s">
        <v>1817</v>
      </c>
    </row>
    <row r="1138" ht="25.5" customHeight="1" spans="1:20">
      <c r="A1138" t="s">
        <v>2267</v>
      </c>
      <c r="B1138" t="s">
        <v>1816</v>
      </c>
      <c r="C1138" t="s">
        <v>3943</v>
      </c>
      <c r="D1138" s="3"/>
      <c r="E1138" s="2">
        <v>45681</v>
      </c>
      <c r="F1138">
        <v>161800</v>
      </c>
      <c r="G1138">
        <v>1882</v>
      </c>
      <c r="H1138">
        <v>6</v>
      </c>
      <c r="I1138">
        <v>0</v>
      </c>
      <c r="J1138">
        <v>6</v>
      </c>
      <c r="K1138">
        <v>0</v>
      </c>
      <c r="L1138" t="s">
        <v>3138</v>
      </c>
      <c r="M1138" t="s">
        <v>3493</v>
      </c>
      <c r="N1138" t="s">
        <v>1630</v>
      </c>
      <c r="O1138" s="4">
        <v>45681.6524768519</v>
      </c>
      <c r="P1138" t="s">
        <v>1817</v>
      </c>
      <c r="Q1138" t="s">
        <v>1703</v>
      </c>
      <c r="R1138" t="s">
        <v>3859</v>
      </c>
      <c r="T1138" t="s">
        <v>1817</v>
      </c>
    </row>
    <row r="1139" ht="25.5" customHeight="1" spans="1:20">
      <c r="A1139" t="s">
        <v>2267</v>
      </c>
      <c r="B1139" t="s">
        <v>1816</v>
      </c>
      <c r="C1139" t="s">
        <v>3943</v>
      </c>
      <c r="D1139" s="3"/>
      <c r="E1139" s="2">
        <v>45683</v>
      </c>
      <c r="F1139">
        <v>162100</v>
      </c>
      <c r="G1139">
        <v>1891</v>
      </c>
      <c r="H1139">
        <v>6</v>
      </c>
      <c r="I1139">
        <v>0</v>
      </c>
      <c r="J1139">
        <v>6</v>
      </c>
      <c r="K1139">
        <v>0</v>
      </c>
      <c r="L1139" t="s">
        <v>3138</v>
      </c>
      <c r="M1139" t="s">
        <v>3493</v>
      </c>
      <c r="N1139" t="s">
        <v>1630</v>
      </c>
      <c r="O1139" s="4">
        <v>45683.794224537</v>
      </c>
      <c r="P1139" t="s">
        <v>1817</v>
      </c>
      <c r="Q1139" t="s">
        <v>1703</v>
      </c>
      <c r="R1139" t="s">
        <v>3859</v>
      </c>
      <c r="T1139" t="s">
        <v>1817</v>
      </c>
    </row>
    <row r="1140" ht="25.5" customHeight="1" spans="1:20">
      <c r="A1140" t="s">
        <v>2267</v>
      </c>
      <c r="B1140" t="s">
        <v>1816</v>
      </c>
      <c r="C1140" t="s">
        <v>3943</v>
      </c>
      <c r="D1140" s="3"/>
      <c r="E1140" s="2">
        <v>45684</v>
      </c>
      <c r="F1140">
        <v>162100</v>
      </c>
      <c r="G1140">
        <v>1894</v>
      </c>
      <c r="H1140">
        <v>6</v>
      </c>
      <c r="I1140">
        <v>0</v>
      </c>
      <c r="J1140">
        <v>6</v>
      </c>
      <c r="K1140">
        <v>0</v>
      </c>
      <c r="L1140" t="s">
        <v>3138</v>
      </c>
      <c r="M1140" t="s">
        <v>3493</v>
      </c>
      <c r="N1140" t="s">
        <v>1630</v>
      </c>
      <c r="O1140" s="4">
        <v>45684.7533912037</v>
      </c>
      <c r="P1140" t="s">
        <v>1817</v>
      </c>
      <c r="Q1140" t="s">
        <v>1703</v>
      </c>
      <c r="R1140" t="s">
        <v>3859</v>
      </c>
      <c r="T1140" t="s">
        <v>1817</v>
      </c>
    </row>
    <row r="1141" ht="25.5" customHeight="1" spans="1:20">
      <c r="A1141" t="s">
        <v>2267</v>
      </c>
      <c r="B1141" t="s">
        <v>1816</v>
      </c>
      <c r="C1141" t="s">
        <v>3943</v>
      </c>
      <c r="D1141" s="3"/>
      <c r="E1141" s="2">
        <v>45693</v>
      </c>
      <c r="F1141">
        <v>172700</v>
      </c>
      <c r="G1141">
        <v>1908</v>
      </c>
      <c r="H1141">
        <v>6</v>
      </c>
      <c r="I1141">
        <v>0</v>
      </c>
      <c r="J1141">
        <v>6</v>
      </c>
      <c r="K1141">
        <v>0</v>
      </c>
      <c r="L1141" t="s">
        <v>3138</v>
      </c>
      <c r="M1141" t="s">
        <v>3493</v>
      </c>
      <c r="N1141" t="s">
        <v>1630</v>
      </c>
      <c r="O1141" s="4">
        <v>45693.8368518519</v>
      </c>
      <c r="P1141" t="s">
        <v>1817</v>
      </c>
      <c r="Q1141" t="s">
        <v>1703</v>
      </c>
      <c r="R1141" t="s">
        <v>3859</v>
      </c>
      <c r="T1141" t="s">
        <v>1817</v>
      </c>
    </row>
    <row r="1142" ht="25.5" customHeight="1" spans="1:20">
      <c r="A1142" t="s">
        <v>2267</v>
      </c>
      <c r="B1142" t="s">
        <v>1816</v>
      </c>
      <c r="C1142" t="s">
        <v>3943</v>
      </c>
      <c r="D1142" s="3"/>
      <c r="E1142" s="2">
        <v>45694</v>
      </c>
      <c r="F1142">
        <v>172800</v>
      </c>
      <c r="G1142">
        <v>1910</v>
      </c>
      <c r="H1142">
        <v>6</v>
      </c>
      <c r="I1142">
        <v>0</v>
      </c>
      <c r="J1142">
        <v>6</v>
      </c>
      <c r="K1142">
        <v>0</v>
      </c>
      <c r="L1142" t="s">
        <v>3138</v>
      </c>
      <c r="M1142" t="s">
        <v>3493</v>
      </c>
      <c r="N1142" t="s">
        <v>1630</v>
      </c>
      <c r="O1142" s="4">
        <v>45698.6216782407</v>
      </c>
      <c r="P1142" t="s">
        <v>1817</v>
      </c>
      <c r="Q1142" t="s">
        <v>1703</v>
      </c>
      <c r="R1142" t="s">
        <v>3859</v>
      </c>
      <c r="S1142" t="s">
        <v>3245</v>
      </c>
      <c r="T1142" t="s">
        <v>1817</v>
      </c>
    </row>
    <row r="1143" ht="25.5" customHeight="1" spans="1:20">
      <c r="A1143" t="s">
        <v>2517</v>
      </c>
      <c r="B1143" t="s">
        <v>1816</v>
      </c>
      <c r="C1143" t="s">
        <v>3946</v>
      </c>
      <c r="D1143" s="3"/>
      <c r="E1143" s="2">
        <v>45664</v>
      </c>
      <c r="F1143">
        <v>364700</v>
      </c>
      <c r="G1143">
        <v>21800</v>
      </c>
      <c r="H1143">
        <v>85</v>
      </c>
      <c r="I1143">
        <v>46</v>
      </c>
      <c r="J1143">
        <v>43</v>
      </c>
      <c r="K1143">
        <v>9</v>
      </c>
      <c r="L1143" t="s">
        <v>3138</v>
      </c>
      <c r="M1143" t="s">
        <v>3378</v>
      </c>
      <c r="N1143" t="s">
        <v>1630</v>
      </c>
      <c r="O1143" s="4">
        <v>45671.7872685185</v>
      </c>
      <c r="P1143" t="s">
        <v>1817</v>
      </c>
      <c r="Q1143" t="s">
        <v>1631</v>
      </c>
      <c r="R1143" t="s">
        <v>3216</v>
      </c>
      <c r="T1143" t="s">
        <v>1817</v>
      </c>
    </row>
    <row r="1144" ht="25.5" customHeight="1" spans="1:20">
      <c r="A1144" t="s">
        <v>2517</v>
      </c>
      <c r="B1144" t="s">
        <v>1816</v>
      </c>
      <c r="C1144" t="s">
        <v>3946</v>
      </c>
      <c r="D1144" s="3"/>
      <c r="E1144" s="2">
        <v>45665</v>
      </c>
      <c r="F1144">
        <v>364800</v>
      </c>
      <c r="G1144">
        <v>24500</v>
      </c>
      <c r="H1144">
        <v>90</v>
      </c>
      <c r="I1144">
        <v>50</v>
      </c>
      <c r="J1144">
        <v>49</v>
      </c>
      <c r="K1144">
        <v>10</v>
      </c>
      <c r="L1144" t="s">
        <v>3138</v>
      </c>
      <c r="M1144" t="s">
        <v>3378</v>
      </c>
      <c r="N1144" t="s">
        <v>1630</v>
      </c>
      <c r="O1144" s="4">
        <v>45672.5030092593</v>
      </c>
      <c r="P1144" t="s">
        <v>1817</v>
      </c>
      <c r="Q1144" t="s">
        <v>1631</v>
      </c>
      <c r="R1144" t="s">
        <v>3763</v>
      </c>
      <c r="T1144" t="s">
        <v>1817</v>
      </c>
    </row>
    <row r="1145" ht="25.5" customHeight="1" spans="1:20">
      <c r="A1145" t="s">
        <v>2517</v>
      </c>
      <c r="B1145" t="s">
        <v>1816</v>
      </c>
      <c r="C1145" t="s">
        <v>3946</v>
      </c>
      <c r="D1145" s="3"/>
      <c r="E1145" s="2">
        <v>45670</v>
      </c>
      <c r="F1145">
        <v>364700</v>
      </c>
      <c r="G1145">
        <v>30400</v>
      </c>
      <c r="H1145">
        <v>108</v>
      </c>
      <c r="I1145">
        <v>58</v>
      </c>
      <c r="J1145">
        <v>60</v>
      </c>
      <c r="K1145">
        <v>11</v>
      </c>
      <c r="L1145" t="s">
        <v>3138</v>
      </c>
      <c r="M1145" t="s">
        <v>3378</v>
      </c>
      <c r="N1145" t="s">
        <v>1630</v>
      </c>
      <c r="O1145" s="4">
        <v>45672.5030092593</v>
      </c>
      <c r="P1145" t="s">
        <v>1817</v>
      </c>
      <c r="Q1145" t="s">
        <v>1631</v>
      </c>
      <c r="R1145" t="s">
        <v>3402</v>
      </c>
      <c r="T1145" t="s">
        <v>1817</v>
      </c>
    </row>
    <row r="1146" ht="25.5" customHeight="1" spans="1:20">
      <c r="A1146" t="s">
        <v>2517</v>
      </c>
      <c r="B1146" t="s">
        <v>1816</v>
      </c>
      <c r="C1146" t="s">
        <v>3946</v>
      </c>
      <c r="D1146" s="3"/>
      <c r="E1146" s="2">
        <v>45671</v>
      </c>
      <c r="F1146">
        <v>364800</v>
      </c>
      <c r="G1146">
        <v>30600</v>
      </c>
      <c r="H1146">
        <v>108</v>
      </c>
      <c r="I1146">
        <v>58</v>
      </c>
      <c r="J1146">
        <v>60</v>
      </c>
      <c r="K1146">
        <v>10</v>
      </c>
      <c r="L1146" t="s">
        <v>3138</v>
      </c>
      <c r="M1146" t="s">
        <v>3378</v>
      </c>
      <c r="N1146" t="s">
        <v>1630</v>
      </c>
      <c r="O1146" s="4">
        <v>45672.5030092593</v>
      </c>
      <c r="P1146" t="s">
        <v>1817</v>
      </c>
      <c r="Q1146" t="s">
        <v>1631</v>
      </c>
      <c r="R1146" t="s">
        <v>3404</v>
      </c>
      <c r="T1146" t="s">
        <v>1817</v>
      </c>
    </row>
    <row r="1147" ht="25.5" customHeight="1" spans="1:20">
      <c r="A1147" t="s">
        <v>2517</v>
      </c>
      <c r="B1147" t="s">
        <v>1816</v>
      </c>
      <c r="C1147" t="s">
        <v>3946</v>
      </c>
      <c r="D1147" s="3"/>
      <c r="E1147" s="2">
        <v>45672</v>
      </c>
      <c r="F1147">
        <v>364800</v>
      </c>
      <c r="G1147">
        <v>30700</v>
      </c>
      <c r="H1147">
        <v>107</v>
      </c>
      <c r="I1147">
        <v>58</v>
      </c>
      <c r="J1147">
        <v>61</v>
      </c>
      <c r="K1147">
        <v>10</v>
      </c>
      <c r="L1147" t="s">
        <v>3138</v>
      </c>
      <c r="M1147" t="s">
        <v>3378</v>
      </c>
      <c r="N1147" t="s">
        <v>1630</v>
      </c>
      <c r="O1147" s="4">
        <v>45672.7144907407</v>
      </c>
      <c r="P1147" t="s">
        <v>1817</v>
      </c>
      <c r="Q1147" t="s">
        <v>1631</v>
      </c>
      <c r="R1147" t="s">
        <v>3404</v>
      </c>
      <c r="T1147" t="s">
        <v>1817</v>
      </c>
    </row>
    <row r="1148" ht="25.5" customHeight="1" spans="1:20">
      <c r="A1148" t="s">
        <v>2517</v>
      </c>
      <c r="B1148" t="s">
        <v>1816</v>
      </c>
      <c r="C1148" t="s">
        <v>3946</v>
      </c>
      <c r="D1148" s="3"/>
      <c r="E1148" s="2">
        <v>45673</v>
      </c>
      <c r="F1148">
        <v>364800</v>
      </c>
      <c r="G1148">
        <v>30800</v>
      </c>
      <c r="H1148">
        <v>106</v>
      </c>
      <c r="I1148">
        <v>58</v>
      </c>
      <c r="J1148">
        <v>61</v>
      </c>
      <c r="K1148">
        <v>10</v>
      </c>
      <c r="L1148" t="s">
        <v>3138</v>
      </c>
      <c r="M1148" t="s">
        <v>3378</v>
      </c>
      <c r="N1148" t="s">
        <v>1630</v>
      </c>
      <c r="O1148" s="4">
        <v>45673.6281597222</v>
      </c>
      <c r="P1148" t="s">
        <v>1817</v>
      </c>
      <c r="Q1148" t="s">
        <v>1631</v>
      </c>
      <c r="R1148" t="s">
        <v>3403</v>
      </c>
      <c r="T1148" t="s">
        <v>1817</v>
      </c>
    </row>
    <row r="1149" ht="25.5" customHeight="1" spans="1:20">
      <c r="A1149" t="s">
        <v>2517</v>
      </c>
      <c r="B1149" t="s">
        <v>1816</v>
      </c>
      <c r="C1149" t="s">
        <v>3946</v>
      </c>
      <c r="D1149" s="3"/>
      <c r="E1149" s="2">
        <v>45674</v>
      </c>
      <c r="F1149">
        <v>364800</v>
      </c>
      <c r="G1149">
        <v>30900</v>
      </c>
      <c r="H1149">
        <v>105</v>
      </c>
      <c r="I1149">
        <v>58</v>
      </c>
      <c r="J1149">
        <v>61</v>
      </c>
      <c r="K1149">
        <v>10</v>
      </c>
      <c r="L1149" t="s">
        <v>3138</v>
      </c>
      <c r="M1149" t="s">
        <v>3378</v>
      </c>
      <c r="N1149" t="s">
        <v>1630</v>
      </c>
      <c r="O1149" s="4">
        <v>45674.6828356481</v>
      </c>
      <c r="P1149" t="s">
        <v>1817</v>
      </c>
      <c r="Q1149" t="s">
        <v>1631</v>
      </c>
      <c r="R1149" t="s">
        <v>3191</v>
      </c>
      <c r="T1149" t="s">
        <v>1817</v>
      </c>
    </row>
    <row r="1150" ht="25.5" customHeight="1" spans="1:20">
      <c r="A1150" t="s">
        <v>2517</v>
      </c>
      <c r="B1150" t="s">
        <v>1816</v>
      </c>
      <c r="C1150" t="s">
        <v>3946</v>
      </c>
      <c r="D1150" s="3"/>
      <c r="E1150" s="2">
        <v>45677</v>
      </c>
      <c r="F1150">
        <v>365200</v>
      </c>
      <c r="G1150">
        <v>31100</v>
      </c>
      <c r="H1150">
        <v>105</v>
      </c>
      <c r="I1150">
        <v>58</v>
      </c>
      <c r="J1150">
        <v>61</v>
      </c>
      <c r="K1150">
        <v>10</v>
      </c>
      <c r="L1150" t="s">
        <v>3138</v>
      </c>
      <c r="M1150" t="s">
        <v>3378</v>
      </c>
      <c r="N1150" t="s">
        <v>1630</v>
      </c>
      <c r="O1150" s="4">
        <v>45677.4418402778</v>
      </c>
      <c r="P1150" t="s">
        <v>1817</v>
      </c>
      <c r="Q1150" t="s">
        <v>1631</v>
      </c>
      <c r="R1150" t="s">
        <v>3191</v>
      </c>
      <c r="T1150" t="s">
        <v>1817</v>
      </c>
    </row>
    <row r="1151" ht="25.5" customHeight="1" spans="1:20">
      <c r="A1151" t="s">
        <v>2517</v>
      </c>
      <c r="B1151" t="s">
        <v>1816</v>
      </c>
      <c r="C1151" t="s">
        <v>3946</v>
      </c>
      <c r="D1151" s="3"/>
      <c r="E1151" s="2">
        <v>45678</v>
      </c>
      <c r="F1151">
        <v>365100</v>
      </c>
      <c r="G1151">
        <v>31200</v>
      </c>
      <c r="H1151">
        <v>105</v>
      </c>
      <c r="I1151">
        <v>58</v>
      </c>
      <c r="J1151">
        <v>61</v>
      </c>
      <c r="K1151">
        <v>10</v>
      </c>
      <c r="L1151" t="s">
        <v>3138</v>
      </c>
      <c r="M1151" t="s">
        <v>3378</v>
      </c>
      <c r="N1151" t="s">
        <v>1630</v>
      </c>
      <c r="O1151" s="4">
        <v>45678.6673032407</v>
      </c>
      <c r="P1151" t="s">
        <v>1817</v>
      </c>
      <c r="Q1151" t="s">
        <v>1631</v>
      </c>
      <c r="R1151" t="s">
        <v>3191</v>
      </c>
      <c r="T1151" t="s">
        <v>1817</v>
      </c>
    </row>
    <row r="1152" ht="25.5" customHeight="1" spans="1:20">
      <c r="A1152" t="s">
        <v>2517</v>
      </c>
      <c r="B1152" t="s">
        <v>1816</v>
      </c>
      <c r="C1152" t="s">
        <v>3946</v>
      </c>
      <c r="D1152" s="3"/>
      <c r="E1152" s="2">
        <v>45679</v>
      </c>
      <c r="F1152">
        <v>365100</v>
      </c>
      <c r="G1152">
        <v>31200</v>
      </c>
      <c r="H1152">
        <v>105</v>
      </c>
      <c r="I1152">
        <v>58</v>
      </c>
      <c r="J1152">
        <v>61</v>
      </c>
      <c r="K1152">
        <v>10</v>
      </c>
      <c r="L1152" t="s">
        <v>3138</v>
      </c>
      <c r="M1152" t="s">
        <v>3378</v>
      </c>
      <c r="N1152" t="s">
        <v>1630</v>
      </c>
      <c r="O1152" s="4">
        <v>45679.6525115741</v>
      </c>
      <c r="P1152" t="s">
        <v>1817</v>
      </c>
      <c r="Q1152" t="s">
        <v>1631</v>
      </c>
      <c r="R1152" t="s">
        <v>3191</v>
      </c>
      <c r="T1152" t="s">
        <v>1817</v>
      </c>
    </row>
    <row r="1153" ht="25.5" customHeight="1" spans="1:20">
      <c r="A1153" t="s">
        <v>2517</v>
      </c>
      <c r="B1153" t="s">
        <v>1816</v>
      </c>
      <c r="C1153" t="s">
        <v>3946</v>
      </c>
      <c r="D1153" s="3"/>
      <c r="E1153" s="2">
        <v>45680</v>
      </c>
      <c r="F1153">
        <v>365300</v>
      </c>
      <c r="G1153">
        <v>31300</v>
      </c>
      <c r="H1153">
        <v>105</v>
      </c>
      <c r="I1153">
        <v>58</v>
      </c>
      <c r="J1153">
        <v>60</v>
      </c>
      <c r="K1153">
        <v>10</v>
      </c>
      <c r="L1153" t="s">
        <v>3138</v>
      </c>
      <c r="M1153" t="s">
        <v>3378</v>
      </c>
      <c r="N1153" t="s">
        <v>1630</v>
      </c>
      <c r="O1153" s="4">
        <v>45680.6679282407</v>
      </c>
      <c r="P1153" t="s">
        <v>1817</v>
      </c>
      <c r="Q1153" t="s">
        <v>1631</v>
      </c>
      <c r="R1153" t="s">
        <v>3405</v>
      </c>
      <c r="T1153" t="s">
        <v>1817</v>
      </c>
    </row>
    <row r="1154" ht="25.5" customHeight="1" spans="1:20">
      <c r="A1154" t="s">
        <v>2517</v>
      </c>
      <c r="B1154" t="s">
        <v>1816</v>
      </c>
      <c r="C1154" t="s">
        <v>3946</v>
      </c>
      <c r="D1154" s="3"/>
      <c r="E1154" s="2">
        <v>45681</v>
      </c>
      <c r="F1154">
        <v>365500</v>
      </c>
      <c r="G1154">
        <v>31300</v>
      </c>
      <c r="H1154">
        <v>105</v>
      </c>
      <c r="I1154">
        <v>58</v>
      </c>
      <c r="J1154">
        <v>60</v>
      </c>
      <c r="K1154">
        <v>10</v>
      </c>
      <c r="L1154" t="s">
        <v>3138</v>
      </c>
      <c r="M1154" t="s">
        <v>3378</v>
      </c>
      <c r="N1154" t="s">
        <v>1630</v>
      </c>
      <c r="O1154" s="4">
        <v>45681.6526736111</v>
      </c>
      <c r="P1154" t="s">
        <v>1817</v>
      </c>
      <c r="Q1154" t="s">
        <v>1631</v>
      </c>
      <c r="R1154" t="s">
        <v>3405</v>
      </c>
      <c r="T1154" t="s">
        <v>1817</v>
      </c>
    </row>
    <row r="1155" ht="25.5" customHeight="1" spans="1:20">
      <c r="A1155" t="s">
        <v>2517</v>
      </c>
      <c r="B1155" t="s">
        <v>1816</v>
      </c>
      <c r="C1155" t="s">
        <v>3946</v>
      </c>
      <c r="D1155" s="3"/>
      <c r="E1155" s="2">
        <v>45683</v>
      </c>
      <c r="F1155">
        <v>365700</v>
      </c>
      <c r="G1155">
        <v>31400</v>
      </c>
      <c r="H1155">
        <v>105</v>
      </c>
      <c r="I1155">
        <v>58</v>
      </c>
      <c r="J1155">
        <v>61</v>
      </c>
      <c r="K1155">
        <v>10</v>
      </c>
      <c r="L1155" t="s">
        <v>3138</v>
      </c>
      <c r="M1155" t="s">
        <v>3378</v>
      </c>
      <c r="N1155" t="s">
        <v>1630</v>
      </c>
      <c r="O1155" s="4">
        <v>45683.7945138889</v>
      </c>
      <c r="P1155" t="s">
        <v>1817</v>
      </c>
      <c r="Q1155" t="s">
        <v>1631</v>
      </c>
      <c r="R1155" t="s">
        <v>3191</v>
      </c>
      <c r="T1155" t="s">
        <v>1817</v>
      </c>
    </row>
    <row r="1156" ht="25.5" customHeight="1" spans="1:20">
      <c r="A1156" t="s">
        <v>2517</v>
      </c>
      <c r="B1156" t="s">
        <v>1816</v>
      </c>
      <c r="C1156" t="s">
        <v>3946</v>
      </c>
      <c r="D1156" s="3"/>
      <c r="E1156" s="2">
        <v>45684</v>
      </c>
      <c r="F1156">
        <v>365700</v>
      </c>
      <c r="G1156">
        <v>31400</v>
      </c>
      <c r="H1156">
        <v>105</v>
      </c>
      <c r="I1156">
        <v>58</v>
      </c>
      <c r="J1156">
        <v>61</v>
      </c>
      <c r="K1156">
        <v>10</v>
      </c>
      <c r="L1156" t="s">
        <v>3138</v>
      </c>
      <c r="M1156" t="s">
        <v>3378</v>
      </c>
      <c r="N1156" t="s">
        <v>1630</v>
      </c>
      <c r="O1156" s="4">
        <v>45684.7534606481</v>
      </c>
      <c r="P1156" t="s">
        <v>1817</v>
      </c>
      <c r="Q1156" t="s">
        <v>1631</v>
      </c>
      <c r="R1156" t="s">
        <v>3191</v>
      </c>
      <c r="T1156" t="s">
        <v>1817</v>
      </c>
    </row>
    <row r="1157" ht="25.5" customHeight="1" spans="1:20">
      <c r="A1157" t="s">
        <v>2517</v>
      </c>
      <c r="B1157" t="s">
        <v>1816</v>
      </c>
      <c r="C1157" t="s">
        <v>3946</v>
      </c>
      <c r="D1157" s="3"/>
      <c r="E1157" s="2">
        <v>45693</v>
      </c>
      <c r="F1157">
        <v>366400</v>
      </c>
      <c r="G1157">
        <v>31600</v>
      </c>
      <c r="H1157">
        <v>105</v>
      </c>
      <c r="I1157">
        <v>58</v>
      </c>
      <c r="J1157">
        <v>61</v>
      </c>
      <c r="K1157">
        <v>10</v>
      </c>
      <c r="L1157" t="s">
        <v>3138</v>
      </c>
      <c r="M1157" t="s">
        <v>3378</v>
      </c>
      <c r="N1157" t="s">
        <v>1630</v>
      </c>
      <c r="O1157" s="4">
        <v>45693.8370138889</v>
      </c>
      <c r="P1157" t="s">
        <v>1817</v>
      </c>
      <c r="Q1157" t="s">
        <v>1631</v>
      </c>
      <c r="R1157" t="s">
        <v>3191</v>
      </c>
      <c r="T1157" t="s">
        <v>1817</v>
      </c>
    </row>
    <row r="1158" ht="25.5" customHeight="1" spans="1:20">
      <c r="A1158" t="s">
        <v>2517</v>
      </c>
      <c r="B1158" t="s">
        <v>1816</v>
      </c>
      <c r="C1158" t="s">
        <v>3946</v>
      </c>
      <c r="D1158" s="3"/>
      <c r="E1158" s="2">
        <v>45694</v>
      </c>
      <c r="F1158">
        <v>366300</v>
      </c>
      <c r="G1158">
        <v>31600</v>
      </c>
      <c r="H1158">
        <v>105</v>
      </c>
      <c r="I1158">
        <v>58</v>
      </c>
      <c r="J1158">
        <v>61</v>
      </c>
      <c r="K1158">
        <v>10</v>
      </c>
      <c r="L1158" t="s">
        <v>3138</v>
      </c>
      <c r="M1158" t="s">
        <v>3378</v>
      </c>
      <c r="N1158" t="s">
        <v>1630</v>
      </c>
      <c r="O1158" s="4">
        <v>45698.6216782407</v>
      </c>
      <c r="P1158" t="s">
        <v>1817</v>
      </c>
      <c r="Q1158" t="s">
        <v>1631</v>
      </c>
      <c r="R1158" t="s">
        <v>3191</v>
      </c>
      <c r="S1158" t="s">
        <v>3245</v>
      </c>
      <c r="T1158" t="s">
        <v>1817</v>
      </c>
    </row>
    <row r="1159" ht="25.5" customHeight="1" spans="1:20">
      <c r="A1159" t="s">
        <v>2517</v>
      </c>
      <c r="B1159" t="s">
        <v>1816</v>
      </c>
      <c r="C1159" t="s">
        <v>3946</v>
      </c>
      <c r="D1159" s="3"/>
      <c r="E1159" s="2">
        <v>45695</v>
      </c>
      <c r="M1159" t="s">
        <v>3378</v>
      </c>
      <c r="N1159" t="s">
        <v>1630</v>
      </c>
      <c r="O1159" s="4">
        <v>45694.7132986111</v>
      </c>
      <c r="P1159" t="s">
        <v>1817</v>
      </c>
      <c r="Q1159" t="s">
        <v>1631</v>
      </c>
      <c r="R1159" t="s">
        <v>3133</v>
      </c>
      <c r="T1159" t="s">
        <v>1817</v>
      </c>
    </row>
    <row r="1160" ht="25.5" customHeight="1" spans="1:20">
      <c r="A1160" t="s">
        <v>2658</v>
      </c>
      <c r="B1160" t="s">
        <v>65</v>
      </c>
      <c r="C1160" t="s">
        <v>3947</v>
      </c>
      <c r="D1160" s="3" t="str">
        <f>HYPERLINK("https://www.instagram.com/mirayatech/reels/","https://www.instagram.com/mirayatech/reels/")</f>
        <v>https://www.instagram.com/mirayatech/reels/</v>
      </c>
      <c r="E1160" s="2">
        <v>45681</v>
      </c>
      <c r="F1160">
        <v>77100</v>
      </c>
      <c r="G1160">
        <v>9024</v>
      </c>
      <c r="H1160">
        <v>318</v>
      </c>
      <c r="I1160">
        <v>5</v>
      </c>
      <c r="L1160" t="s">
        <v>3138</v>
      </c>
      <c r="M1160" t="s">
        <v>3261</v>
      </c>
      <c r="N1160" t="s">
        <v>1630</v>
      </c>
      <c r="O1160" s="4">
        <v>45681.4917592593</v>
      </c>
      <c r="P1160" t="s">
        <v>116</v>
      </c>
      <c r="Q1160" t="s">
        <v>1631</v>
      </c>
      <c r="R1160" t="s">
        <v>3948</v>
      </c>
      <c r="T1160" t="s">
        <v>116</v>
      </c>
    </row>
    <row r="1161" ht="25.5" customHeight="1" spans="1:20">
      <c r="A1161" t="s">
        <v>2658</v>
      </c>
      <c r="B1161" t="s">
        <v>65</v>
      </c>
      <c r="C1161" t="s">
        <v>3947</v>
      </c>
      <c r="D1161" s="3"/>
      <c r="E1161" s="2">
        <v>45683</v>
      </c>
      <c r="F1161">
        <v>77000</v>
      </c>
      <c r="G1161">
        <v>14700</v>
      </c>
      <c r="H1161">
        <v>498</v>
      </c>
      <c r="I1161">
        <v>8</v>
      </c>
      <c r="L1161" t="s">
        <v>3331</v>
      </c>
      <c r="M1161" t="s">
        <v>3261</v>
      </c>
      <c r="N1161" t="s">
        <v>1630</v>
      </c>
      <c r="O1161" s="4">
        <v>45683.7219444444</v>
      </c>
      <c r="P1161" t="s">
        <v>116</v>
      </c>
      <c r="Q1161" t="s">
        <v>1631</v>
      </c>
      <c r="R1161" t="s">
        <v>3949</v>
      </c>
      <c r="T1161" t="s">
        <v>116</v>
      </c>
    </row>
    <row r="1162" ht="25.5" customHeight="1" spans="1:20">
      <c r="A1162" t="s">
        <v>2658</v>
      </c>
      <c r="B1162" t="s">
        <v>65</v>
      </c>
      <c r="C1162" t="s">
        <v>3947</v>
      </c>
      <c r="D1162" s="3"/>
      <c r="E1162" s="2">
        <v>45684</v>
      </c>
      <c r="F1162">
        <v>77000</v>
      </c>
      <c r="G1162">
        <v>15300</v>
      </c>
      <c r="H1162">
        <v>521</v>
      </c>
      <c r="I1162">
        <v>8</v>
      </c>
      <c r="L1162" t="s">
        <v>3331</v>
      </c>
      <c r="M1162" t="s">
        <v>3261</v>
      </c>
      <c r="N1162" t="s">
        <v>1630</v>
      </c>
      <c r="O1162" s="4">
        <v>45684.7774652778</v>
      </c>
      <c r="P1162" t="s">
        <v>116</v>
      </c>
      <c r="Q1162" t="s">
        <v>1631</v>
      </c>
      <c r="R1162" t="s">
        <v>3720</v>
      </c>
      <c r="T1162" t="s">
        <v>116</v>
      </c>
    </row>
    <row r="1163" ht="25.5" customHeight="1" spans="1:20">
      <c r="A1163" t="s">
        <v>2658</v>
      </c>
      <c r="B1163" t="s">
        <v>65</v>
      </c>
      <c r="C1163" t="s">
        <v>3947</v>
      </c>
      <c r="D1163" s="3"/>
      <c r="E1163" s="2">
        <v>45693</v>
      </c>
      <c r="F1163">
        <v>76000</v>
      </c>
      <c r="G1163">
        <v>17000</v>
      </c>
      <c r="H1163">
        <v>606</v>
      </c>
      <c r="I1163">
        <v>10</v>
      </c>
      <c r="L1163" t="s">
        <v>3331</v>
      </c>
      <c r="M1163" t="s">
        <v>3261</v>
      </c>
      <c r="N1163" t="s">
        <v>1630</v>
      </c>
      <c r="O1163" s="4">
        <v>45693.7764699074</v>
      </c>
      <c r="P1163" t="s">
        <v>116</v>
      </c>
      <c r="Q1163" t="s">
        <v>1631</v>
      </c>
      <c r="R1163" t="s">
        <v>3950</v>
      </c>
      <c r="T1163" t="s">
        <v>116</v>
      </c>
    </row>
    <row r="1164" ht="25.5" customHeight="1" spans="1:20">
      <c r="A1164" t="s">
        <v>2658</v>
      </c>
      <c r="B1164" t="s">
        <v>65</v>
      </c>
      <c r="C1164" t="s">
        <v>3947</v>
      </c>
      <c r="D1164" s="3"/>
      <c r="E1164" s="2">
        <v>45694</v>
      </c>
      <c r="F1164">
        <v>76800</v>
      </c>
      <c r="G1164">
        <v>18000</v>
      </c>
      <c r="H1164">
        <v>614</v>
      </c>
      <c r="I1164">
        <v>11</v>
      </c>
      <c r="L1164" t="s">
        <v>3331</v>
      </c>
      <c r="M1164" t="s">
        <v>3261</v>
      </c>
      <c r="N1164" t="s">
        <v>1630</v>
      </c>
      <c r="O1164" s="4">
        <v>45698.6216782407</v>
      </c>
      <c r="P1164" t="s">
        <v>116</v>
      </c>
      <c r="Q1164" t="s">
        <v>1631</v>
      </c>
      <c r="R1164" t="s">
        <v>3437</v>
      </c>
      <c r="S1164" t="s">
        <v>3180</v>
      </c>
      <c r="T1164" t="s">
        <v>116</v>
      </c>
    </row>
    <row r="1165" ht="25.5" customHeight="1" spans="1:20">
      <c r="A1165" t="s">
        <v>2658</v>
      </c>
      <c r="B1165" t="s">
        <v>65</v>
      </c>
      <c r="C1165" t="s">
        <v>3947</v>
      </c>
      <c r="D1165" s="3"/>
      <c r="E1165" s="2">
        <v>45695</v>
      </c>
      <c r="F1165">
        <v>76800</v>
      </c>
      <c r="G1165">
        <v>18200</v>
      </c>
      <c r="H1165">
        <v>625</v>
      </c>
      <c r="I1165">
        <v>11</v>
      </c>
      <c r="L1165" t="s">
        <v>3331</v>
      </c>
      <c r="M1165" t="s">
        <v>3261</v>
      </c>
      <c r="N1165" t="s">
        <v>1630</v>
      </c>
      <c r="O1165" s="4">
        <v>45695.4874884259</v>
      </c>
      <c r="P1165" t="s">
        <v>116</v>
      </c>
      <c r="Q1165" t="s">
        <v>1631</v>
      </c>
      <c r="R1165" t="s">
        <v>3951</v>
      </c>
      <c r="T1165" t="s">
        <v>116</v>
      </c>
    </row>
    <row r="1166" ht="25.5" customHeight="1" spans="1:20">
      <c r="A1166" t="s">
        <v>2658</v>
      </c>
      <c r="B1166" t="s">
        <v>65</v>
      </c>
      <c r="C1166" t="s">
        <v>3947</v>
      </c>
      <c r="D1166" s="3"/>
      <c r="E1166" s="2">
        <v>45696</v>
      </c>
      <c r="F1166">
        <v>76700</v>
      </c>
      <c r="G1166">
        <v>18300</v>
      </c>
      <c r="H1166">
        <v>630</v>
      </c>
      <c r="I1166">
        <v>11</v>
      </c>
      <c r="L1166" t="s">
        <v>3331</v>
      </c>
      <c r="M1166" t="s">
        <v>3261</v>
      </c>
      <c r="N1166" t="s">
        <v>1630</v>
      </c>
      <c r="O1166" s="4">
        <v>45696.4489814815</v>
      </c>
      <c r="P1166" t="s">
        <v>116</v>
      </c>
      <c r="Q1166" t="s">
        <v>1631</v>
      </c>
      <c r="R1166" t="s">
        <v>3952</v>
      </c>
      <c r="T1166" t="s">
        <v>116</v>
      </c>
    </row>
    <row r="1167" ht="25.5" customHeight="1" spans="1:20">
      <c r="A1167" t="s">
        <v>2456</v>
      </c>
      <c r="B1167" t="s">
        <v>56</v>
      </c>
      <c r="C1167" t="s">
        <v>3953</v>
      </c>
      <c r="D1167" s="3" t="str">
        <f>HYPERLINK("https://www.tiktok.com/@mixilgamer6","https://www.tiktok.com/@mixilgamer6")</f>
        <v>https://www.tiktok.com/@mixilgamer6</v>
      </c>
      <c r="E1167" s="2">
        <v>45665</v>
      </c>
      <c r="F1167">
        <v>2000000</v>
      </c>
      <c r="G1167">
        <v>2802</v>
      </c>
      <c r="H1167">
        <v>31</v>
      </c>
      <c r="I1167">
        <v>7</v>
      </c>
      <c r="J1167">
        <v>9</v>
      </c>
      <c r="K1167">
        <v>2</v>
      </c>
      <c r="L1167" t="s">
        <v>3331</v>
      </c>
      <c r="M1167" t="s">
        <v>3378</v>
      </c>
      <c r="N1167" t="s">
        <v>1630</v>
      </c>
      <c r="O1167" s="4">
        <v>45670.8632060185</v>
      </c>
      <c r="P1167" t="s">
        <v>57</v>
      </c>
      <c r="Q1167" t="s">
        <v>1652</v>
      </c>
      <c r="R1167" t="s">
        <v>3177</v>
      </c>
      <c r="T1167" t="s">
        <v>57</v>
      </c>
    </row>
    <row r="1168" ht="25.5" customHeight="1" spans="1:20">
      <c r="A1168" t="s">
        <v>2456</v>
      </c>
      <c r="B1168" t="s">
        <v>56</v>
      </c>
      <c r="C1168" t="s">
        <v>3953</v>
      </c>
      <c r="D1168" s="3"/>
      <c r="E1168" s="2">
        <v>45671</v>
      </c>
      <c r="F1168">
        <v>2000000</v>
      </c>
      <c r="G1168">
        <v>3370</v>
      </c>
      <c r="H1168">
        <v>31</v>
      </c>
      <c r="I1168">
        <v>7</v>
      </c>
      <c r="J1168">
        <v>9</v>
      </c>
      <c r="K1168">
        <v>2</v>
      </c>
      <c r="L1168" t="s">
        <v>3331</v>
      </c>
      <c r="M1168" t="s">
        <v>3378</v>
      </c>
      <c r="N1168" t="s">
        <v>1630</v>
      </c>
      <c r="O1168" s="4">
        <v>45672.5030092593</v>
      </c>
      <c r="P1168" t="s">
        <v>57</v>
      </c>
      <c r="Q1168" t="s">
        <v>1652</v>
      </c>
      <c r="R1168" t="s">
        <v>3177</v>
      </c>
      <c r="T1168" t="s">
        <v>57</v>
      </c>
    </row>
    <row r="1169" ht="25.5" customHeight="1" spans="1:20">
      <c r="A1169" t="s">
        <v>2456</v>
      </c>
      <c r="B1169" t="s">
        <v>56</v>
      </c>
      <c r="C1169" t="s">
        <v>3953</v>
      </c>
      <c r="D1169" s="3"/>
      <c r="E1169" s="2">
        <v>45672</v>
      </c>
      <c r="F1169">
        <v>2000000</v>
      </c>
      <c r="G1169">
        <v>4196</v>
      </c>
      <c r="H1169">
        <v>32</v>
      </c>
      <c r="I1169">
        <v>7</v>
      </c>
      <c r="J1169">
        <v>8</v>
      </c>
      <c r="K1169">
        <v>2</v>
      </c>
      <c r="L1169" t="s">
        <v>3331</v>
      </c>
      <c r="M1169" t="s">
        <v>3378</v>
      </c>
      <c r="N1169" t="s">
        <v>1630</v>
      </c>
      <c r="O1169" s="4">
        <v>45672.5214814815</v>
      </c>
      <c r="P1169" t="s">
        <v>57</v>
      </c>
      <c r="Q1169" t="s">
        <v>1652</v>
      </c>
      <c r="R1169" t="s">
        <v>3177</v>
      </c>
      <c r="T1169" t="s">
        <v>57</v>
      </c>
    </row>
    <row r="1170" ht="25.5" customHeight="1" spans="1:20">
      <c r="A1170" t="s">
        <v>2456</v>
      </c>
      <c r="B1170" t="s">
        <v>56</v>
      </c>
      <c r="C1170" t="s">
        <v>3953</v>
      </c>
      <c r="D1170" s="3"/>
      <c r="E1170" s="2">
        <v>45673</v>
      </c>
      <c r="F1170">
        <v>2000000</v>
      </c>
      <c r="G1170">
        <v>4990</v>
      </c>
      <c r="H1170">
        <v>33</v>
      </c>
      <c r="I1170">
        <v>7</v>
      </c>
      <c r="J1170">
        <v>9</v>
      </c>
      <c r="K1170">
        <v>2</v>
      </c>
      <c r="L1170" t="s">
        <v>3331</v>
      </c>
      <c r="M1170" t="s">
        <v>3378</v>
      </c>
      <c r="N1170" t="s">
        <v>1630</v>
      </c>
      <c r="O1170" s="4">
        <v>45673.6106134259</v>
      </c>
      <c r="P1170" t="s">
        <v>57</v>
      </c>
      <c r="Q1170" t="s">
        <v>1652</v>
      </c>
      <c r="R1170" t="s">
        <v>3178</v>
      </c>
      <c r="T1170" t="s">
        <v>57</v>
      </c>
    </row>
    <row r="1171" ht="25.5" customHeight="1" spans="1:20">
      <c r="A1171" t="s">
        <v>2456</v>
      </c>
      <c r="B1171" t="s">
        <v>56</v>
      </c>
      <c r="C1171" t="s">
        <v>3953</v>
      </c>
      <c r="D1171" s="3"/>
      <c r="E1171" s="2">
        <v>45674</v>
      </c>
      <c r="F1171">
        <v>2000000</v>
      </c>
      <c r="G1171">
        <v>5438</v>
      </c>
      <c r="H1171">
        <v>35</v>
      </c>
      <c r="I1171">
        <v>7</v>
      </c>
      <c r="J1171">
        <v>9</v>
      </c>
      <c r="K1171">
        <v>2</v>
      </c>
      <c r="L1171" t="s">
        <v>3331</v>
      </c>
      <c r="M1171" t="s">
        <v>3378</v>
      </c>
      <c r="N1171" t="s">
        <v>1630</v>
      </c>
      <c r="O1171" s="4">
        <v>45674.6723842593</v>
      </c>
      <c r="P1171" t="s">
        <v>57</v>
      </c>
      <c r="Q1171" t="s">
        <v>1652</v>
      </c>
      <c r="R1171" t="s">
        <v>3271</v>
      </c>
      <c r="T1171" t="s">
        <v>57</v>
      </c>
    </row>
    <row r="1172" ht="25.5" customHeight="1" spans="1:20">
      <c r="A1172" t="s">
        <v>2456</v>
      </c>
      <c r="B1172" t="s">
        <v>56</v>
      </c>
      <c r="C1172" t="s">
        <v>3953</v>
      </c>
      <c r="D1172" s="3"/>
      <c r="E1172" s="2">
        <v>45677</v>
      </c>
      <c r="F1172">
        <v>2000000</v>
      </c>
      <c r="G1172">
        <v>6228</v>
      </c>
      <c r="H1172">
        <v>36</v>
      </c>
      <c r="I1172">
        <v>7</v>
      </c>
      <c r="J1172">
        <v>9</v>
      </c>
      <c r="K1172">
        <v>2</v>
      </c>
      <c r="L1172" t="s">
        <v>3331</v>
      </c>
      <c r="M1172" t="s">
        <v>3378</v>
      </c>
      <c r="N1172" t="s">
        <v>1630</v>
      </c>
      <c r="O1172" s="4">
        <v>45677.4309143519</v>
      </c>
      <c r="P1172" t="s">
        <v>57</v>
      </c>
      <c r="Q1172" t="s">
        <v>1652</v>
      </c>
      <c r="R1172" t="s">
        <v>3272</v>
      </c>
      <c r="T1172" t="s">
        <v>57</v>
      </c>
    </row>
    <row r="1173" ht="25.5" customHeight="1" spans="1:20">
      <c r="A1173" t="s">
        <v>2456</v>
      </c>
      <c r="B1173" t="s">
        <v>56</v>
      </c>
      <c r="C1173" t="s">
        <v>3953</v>
      </c>
      <c r="D1173" s="3"/>
      <c r="E1173" s="2">
        <v>45678</v>
      </c>
      <c r="F1173">
        <v>2000000</v>
      </c>
      <c r="G1173">
        <v>6542</v>
      </c>
      <c r="H1173">
        <v>38</v>
      </c>
      <c r="I1173">
        <v>7</v>
      </c>
      <c r="J1173">
        <v>9</v>
      </c>
      <c r="K1173">
        <v>2</v>
      </c>
      <c r="L1173" t="s">
        <v>3331</v>
      </c>
      <c r="M1173" t="s">
        <v>3378</v>
      </c>
      <c r="N1173" t="s">
        <v>1630</v>
      </c>
      <c r="O1173" s="4">
        <v>45678.6368518519</v>
      </c>
      <c r="P1173" t="s">
        <v>57</v>
      </c>
      <c r="Q1173" t="s">
        <v>1652</v>
      </c>
      <c r="R1173" t="s">
        <v>3273</v>
      </c>
      <c r="T1173" t="s">
        <v>57</v>
      </c>
    </row>
    <row r="1174" ht="25.5" customHeight="1" spans="1:20">
      <c r="A1174" t="s">
        <v>2456</v>
      </c>
      <c r="B1174" t="s">
        <v>56</v>
      </c>
      <c r="C1174" t="s">
        <v>3953</v>
      </c>
      <c r="D1174" s="3"/>
      <c r="E1174" s="2">
        <v>45679</v>
      </c>
      <c r="F1174">
        <v>2000000</v>
      </c>
      <c r="G1174">
        <v>6860</v>
      </c>
      <c r="H1174">
        <v>38</v>
      </c>
      <c r="I1174">
        <v>10</v>
      </c>
      <c r="J1174">
        <v>9</v>
      </c>
      <c r="K1174">
        <v>2</v>
      </c>
      <c r="L1174" t="s">
        <v>3331</v>
      </c>
      <c r="M1174" t="s">
        <v>3378</v>
      </c>
      <c r="N1174" t="s">
        <v>1630</v>
      </c>
      <c r="O1174" s="4">
        <v>45679.6938078704</v>
      </c>
      <c r="P1174" t="s">
        <v>57</v>
      </c>
      <c r="Q1174" t="s">
        <v>1652</v>
      </c>
      <c r="R1174" t="s">
        <v>3790</v>
      </c>
      <c r="T1174" t="s">
        <v>57</v>
      </c>
    </row>
    <row r="1175" ht="25.5" customHeight="1" spans="1:20">
      <c r="A1175" t="s">
        <v>2456</v>
      </c>
      <c r="B1175" t="s">
        <v>56</v>
      </c>
      <c r="C1175" t="s">
        <v>3953</v>
      </c>
      <c r="D1175" s="3"/>
      <c r="E1175" s="2">
        <v>45680</v>
      </c>
      <c r="F1175">
        <v>2000000</v>
      </c>
      <c r="G1175">
        <v>7137</v>
      </c>
      <c r="H1175">
        <v>42</v>
      </c>
      <c r="I1175">
        <v>10</v>
      </c>
      <c r="J1175">
        <v>9</v>
      </c>
      <c r="K1175">
        <v>2</v>
      </c>
      <c r="L1175" t="s">
        <v>3331</v>
      </c>
      <c r="M1175" t="s">
        <v>3378</v>
      </c>
      <c r="N1175" t="s">
        <v>1630</v>
      </c>
      <c r="O1175" s="4">
        <v>45680.6487384259</v>
      </c>
      <c r="P1175" t="s">
        <v>57</v>
      </c>
      <c r="Q1175" t="s">
        <v>1652</v>
      </c>
      <c r="R1175" t="s">
        <v>3397</v>
      </c>
      <c r="T1175" t="s">
        <v>57</v>
      </c>
    </row>
    <row r="1176" ht="25.5" customHeight="1" spans="1:20">
      <c r="A1176" t="s">
        <v>2456</v>
      </c>
      <c r="B1176" t="s">
        <v>56</v>
      </c>
      <c r="C1176" t="s">
        <v>3953</v>
      </c>
      <c r="D1176" s="3"/>
      <c r="E1176" s="2">
        <v>45681</v>
      </c>
      <c r="F1176">
        <v>2000000</v>
      </c>
      <c r="G1176">
        <v>7337</v>
      </c>
      <c r="H1176">
        <v>43</v>
      </c>
      <c r="I1176">
        <v>10</v>
      </c>
      <c r="J1176">
        <v>9</v>
      </c>
      <c r="K1176">
        <v>2</v>
      </c>
      <c r="L1176" t="s">
        <v>3331</v>
      </c>
      <c r="M1176" t="s">
        <v>3378</v>
      </c>
      <c r="N1176" t="s">
        <v>1630</v>
      </c>
      <c r="O1176" s="4">
        <v>45681.6104398148</v>
      </c>
      <c r="P1176" t="s">
        <v>57</v>
      </c>
      <c r="Q1176" t="s">
        <v>1652</v>
      </c>
      <c r="R1176" t="s">
        <v>3791</v>
      </c>
      <c r="T1176" t="s">
        <v>57</v>
      </c>
    </row>
    <row r="1177" ht="25.5" customHeight="1" spans="1:20">
      <c r="A1177" t="s">
        <v>2456</v>
      </c>
      <c r="B1177" t="s">
        <v>56</v>
      </c>
      <c r="C1177" t="s">
        <v>3953</v>
      </c>
      <c r="D1177" s="3"/>
      <c r="E1177" s="2">
        <v>45683</v>
      </c>
      <c r="F1177">
        <v>2000000</v>
      </c>
      <c r="G1177">
        <v>7867</v>
      </c>
      <c r="H1177">
        <v>44</v>
      </c>
      <c r="I1177">
        <v>10</v>
      </c>
      <c r="J1177">
        <v>9</v>
      </c>
      <c r="K1177">
        <v>2</v>
      </c>
      <c r="L1177" t="s">
        <v>3331</v>
      </c>
      <c r="M1177" t="s">
        <v>3378</v>
      </c>
      <c r="N1177" t="s">
        <v>1630</v>
      </c>
      <c r="O1177" s="4">
        <v>45683.7678703704</v>
      </c>
      <c r="P1177" t="s">
        <v>57</v>
      </c>
      <c r="Q1177" t="s">
        <v>1652</v>
      </c>
      <c r="R1177" t="s">
        <v>3775</v>
      </c>
      <c r="T1177" t="s">
        <v>57</v>
      </c>
    </row>
    <row r="1178" ht="25.5" customHeight="1" spans="1:20">
      <c r="A1178" t="s">
        <v>2456</v>
      </c>
      <c r="B1178" t="s">
        <v>56</v>
      </c>
      <c r="C1178" t="s">
        <v>3953</v>
      </c>
      <c r="D1178" s="3"/>
      <c r="E1178" s="2">
        <v>45684</v>
      </c>
      <c r="F1178">
        <v>2000000</v>
      </c>
      <c r="G1178">
        <v>8123</v>
      </c>
      <c r="H1178">
        <v>46</v>
      </c>
      <c r="I1178">
        <v>10</v>
      </c>
      <c r="J1178">
        <v>9</v>
      </c>
      <c r="K1178">
        <v>3</v>
      </c>
      <c r="L1178" t="s">
        <v>3331</v>
      </c>
      <c r="M1178" t="s">
        <v>3378</v>
      </c>
      <c r="N1178" t="s">
        <v>1630</v>
      </c>
      <c r="O1178" s="4">
        <v>45684.8388888889</v>
      </c>
      <c r="P1178" t="s">
        <v>57</v>
      </c>
      <c r="Q1178" t="s">
        <v>1652</v>
      </c>
      <c r="R1178" t="s">
        <v>3558</v>
      </c>
      <c r="T1178" t="s">
        <v>57</v>
      </c>
    </row>
    <row r="1179" ht="25.5" customHeight="1" spans="1:20">
      <c r="A1179" t="s">
        <v>2456</v>
      </c>
      <c r="B1179" t="s">
        <v>56</v>
      </c>
      <c r="C1179" t="s">
        <v>3953</v>
      </c>
      <c r="D1179" s="3"/>
      <c r="E1179" s="2">
        <v>45693</v>
      </c>
      <c r="F1179">
        <v>2000000</v>
      </c>
      <c r="G1179">
        <v>9841</v>
      </c>
      <c r="H1179">
        <v>54</v>
      </c>
      <c r="I1179">
        <v>12</v>
      </c>
      <c r="J1179">
        <v>9</v>
      </c>
      <c r="K1179">
        <v>4</v>
      </c>
      <c r="L1179" t="s">
        <v>3331</v>
      </c>
      <c r="M1179" t="s">
        <v>3378</v>
      </c>
      <c r="N1179" t="s">
        <v>1630</v>
      </c>
      <c r="O1179" s="4">
        <v>45693.8225115741</v>
      </c>
      <c r="P1179" t="s">
        <v>57</v>
      </c>
      <c r="Q1179" t="s">
        <v>1652</v>
      </c>
      <c r="R1179" t="s">
        <v>3954</v>
      </c>
      <c r="T1179" t="s">
        <v>57</v>
      </c>
    </row>
    <row r="1180" ht="25.5" customHeight="1" spans="1:20">
      <c r="A1180" t="s">
        <v>2456</v>
      </c>
      <c r="B1180" t="s">
        <v>56</v>
      </c>
      <c r="C1180" t="s">
        <v>3953</v>
      </c>
      <c r="D1180" s="3"/>
      <c r="E1180" s="2">
        <v>45694</v>
      </c>
      <c r="F1180">
        <v>2000000</v>
      </c>
      <c r="G1180">
        <v>9917</v>
      </c>
      <c r="H1180">
        <v>54</v>
      </c>
      <c r="I1180">
        <v>12</v>
      </c>
      <c r="J1180">
        <v>9</v>
      </c>
      <c r="K1180">
        <v>4</v>
      </c>
      <c r="L1180" t="s">
        <v>3331</v>
      </c>
      <c r="M1180" t="s">
        <v>3378</v>
      </c>
      <c r="N1180" t="s">
        <v>1630</v>
      </c>
      <c r="O1180" s="4">
        <v>45698.6216782407</v>
      </c>
      <c r="P1180" t="s">
        <v>57</v>
      </c>
      <c r="Q1180" t="s">
        <v>1652</v>
      </c>
      <c r="R1180" t="s">
        <v>3954</v>
      </c>
      <c r="S1180" t="s">
        <v>3152</v>
      </c>
      <c r="T1180" t="s">
        <v>57</v>
      </c>
    </row>
    <row r="1181" ht="25.5" customHeight="1" spans="1:20">
      <c r="A1181" t="s">
        <v>2456</v>
      </c>
      <c r="B1181" t="s">
        <v>56</v>
      </c>
      <c r="C1181" t="s">
        <v>3953</v>
      </c>
      <c r="D1181" s="3"/>
      <c r="E1181" s="2">
        <v>45695</v>
      </c>
      <c r="F1181">
        <v>2000000</v>
      </c>
      <c r="G1181">
        <v>10000</v>
      </c>
      <c r="H1181">
        <v>54</v>
      </c>
      <c r="I1181">
        <v>12</v>
      </c>
      <c r="J1181">
        <v>9</v>
      </c>
      <c r="K1181">
        <v>4</v>
      </c>
      <c r="L1181" t="s">
        <v>3331</v>
      </c>
      <c r="M1181" t="s">
        <v>3378</v>
      </c>
      <c r="N1181" t="s">
        <v>1630</v>
      </c>
      <c r="O1181" s="4">
        <v>45695.7158796296</v>
      </c>
      <c r="P1181" t="s">
        <v>57</v>
      </c>
      <c r="Q1181" t="s">
        <v>1652</v>
      </c>
      <c r="R1181" t="s">
        <v>3954</v>
      </c>
      <c r="T1181" t="s">
        <v>57</v>
      </c>
    </row>
    <row r="1182" ht="25.5" customHeight="1" spans="1:20">
      <c r="A1182" t="s">
        <v>2413</v>
      </c>
      <c r="B1182" t="s">
        <v>65</v>
      </c>
      <c r="C1182" t="s">
        <v>3955</v>
      </c>
      <c r="D1182" s="3" t="str">
        <f>HYPERLINK("https://www.instagram.com/culturaimprenditoriale/","https://www.instagram.com/culturaimprenditoriale/")</f>
        <v>https://www.instagram.com/culturaimprenditoriale/</v>
      </c>
      <c r="E1182" s="2">
        <v>45669</v>
      </c>
      <c r="F1182">
        <v>479000</v>
      </c>
      <c r="H1182">
        <v>4075</v>
      </c>
      <c r="I1182">
        <v>45</v>
      </c>
      <c r="L1182" t="s">
        <v>3331</v>
      </c>
      <c r="M1182" t="s">
        <v>3956</v>
      </c>
      <c r="N1182" t="s">
        <v>1630</v>
      </c>
      <c r="O1182" s="4">
        <v>45673.4896064815</v>
      </c>
      <c r="P1182" t="s">
        <v>66</v>
      </c>
      <c r="Q1182" t="s">
        <v>1631</v>
      </c>
      <c r="R1182" t="s">
        <v>3957</v>
      </c>
      <c r="T1182" t="s">
        <v>66</v>
      </c>
    </row>
    <row r="1183" ht="25.5" customHeight="1" spans="1:20">
      <c r="A1183" t="s">
        <v>2413</v>
      </c>
      <c r="B1183" t="s">
        <v>65</v>
      </c>
      <c r="C1183" t="s">
        <v>3955</v>
      </c>
      <c r="D1183" s="3"/>
      <c r="E1183" s="2">
        <v>45673</v>
      </c>
      <c r="F1183">
        <v>479000</v>
      </c>
      <c r="G1183">
        <v>197398</v>
      </c>
      <c r="H1183">
        <v>4107</v>
      </c>
      <c r="I1183">
        <v>46</v>
      </c>
      <c r="J1183">
        <v>3835</v>
      </c>
      <c r="L1183" t="s">
        <v>3331</v>
      </c>
      <c r="M1183" t="s">
        <v>3956</v>
      </c>
      <c r="N1183" t="s">
        <v>1630</v>
      </c>
      <c r="O1183" s="4">
        <v>45695.7515046296</v>
      </c>
      <c r="P1183" t="s">
        <v>66</v>
      </c>
      <c r="Q1183" t="s">
        <v>1631</v>
      </c>
      <c r="R1183" t="s">
        <v>3958</v>
      </c>
      <c r="T1183" t="s">
        <v>66</v>
      </c>
    </row>
    <row r="1184" ht="25.5" customHeight="1" spans="1:20">
      <c r="A1184" t="s">
        <v>2413</v>
      </c>
      <c r="B1184" t="s">
        <v>65</v>
      </c>
      <c r="C1184" t="s">
        <v>3955</v>
      </c>
      <c r="D1184" s="3"/>
      <c r="E1184" s="2">
        <v>45674</v>
      </c>
      <c r="F1184">
        <v>479000</v>
      </c>
      <c r="G1184">
        <v>197398</v>
      </c>
      <c r="H1184">
        <v>4123</v>
      </c>
      <c r="I1184">
        <v>46</v>
      </c>
      <c r="J1184">
        <v>3835</v>
      </c>
      <c r="L1184" t="s">
        <v>3331</v>
      </c>
      <c r="M1184" t="s">
        <v>3956</v>
      </c>
      <c r="N1184" t="s">
        <v>1630</v>
      </c>
      <c r="O1184" s="4">
        <v>45695.7515277778</v>
      </c>
      <c r="P1184" t="s">
        <v>66</v>
      </c>
      <c r="Q1184" t="s">
        <v>1631</v>
      </c>
      <c r="R1184" t="s">
        <v>3959</v>
      </c>
      <c r="T1184" t="s">
        <v>66</v>
      </c>
    </row>
    <row r="1185" ht="25.5" customHeight="1" spans="1:20">
      <c r="A1185" t="s">
        <v>2413</v>
      </c>
      <c r="B1185" t="s">
        <v>65</v>
      </c>
      <c r="C1185" t="s">
        <v>3955</v>
      </c>
      <c r="D1185" s="3"/>
      <c r="E1185" s="2">
        <v>45677</v>
      </c>
      <c r="F1185">
        <v>480000</v>
      </c>
      <c r="G1185">
        <v>197398</v>
      </c>
      <c r="H1185">
        <v>4147</v>
      </c>
      <c r="I1185">
        <v>48</v>
      </c>
      <c r="J1185">
        <v>3835</v>
      </c>
      <c r="L1185" t="s">
        <v>3331</v>
      </c>
      <c r="M1185" t="s">
        <v>3956</v>
      </c>
      <c r="N1185" t="s">
        <v>1630</v>
      </c>
      <c r="O1185" s="4">
        <v>45695.7515277778</v>
      </c>
      <c r="P1185" t="s">
        <v>66</v>
      </c>
      <c r="Q1185" t="s">
        <v>1631</v>
      </c>
      <c r="R1185" t="s">
        <v>3573</v>
      </c>
      <c r="T1185" t="s">
        <v>66</v>
      </c>
    </row>
    <row r="1186" ht="25.5" customHeight="1" spans="1:20">
      <c r="A1186" t="s">
        <v>2413</v>
      </c>
      <c r="B1186" t="s">
        <v>65</v>
      </c>
      <c r="C1186" t="s">
        <v>3955</v>
      </c>
      <c r="D1186" s="3"/>
      <c r="E1186" s="2">
        <v>45678</v>
      </c>
      <c r="F1186">
        <v>480000</v>
      </c>
      <c r="G1186">
        <v>197398</v>
      </c>
      <c r="H1186">
        <v>4153</v>
      </c>
      <c r="I1186">
        <v>48</v>
      </c>
      <c r="J1186">
        <v>3835</v>
      </c>
      <c r="L1186" t="s">
        <v>3331</v>
      </c>
      <c r="M1186" t="s">
        <v>3956</v>
      </c>
      <c r="N1186" t="s">
        <v>1630</v>
      </c>
      <c r="O1186" s="4">
        <v>45695.7515393519</v>
      </c>
      <c r="P1186" t="s">
        <v>66</v>
      </c>
      <c r="Q1186" t="s">
        <v>1631</v>
      </c>
      <c r="R1186" t="s">
        <v>3960</v>
      </c>
      <c r="T1186" t="s">
        <v>66</v>
      </c>
    </row>
    <row r="1187" ht="25.5" customHeight="1" spans="1:20">
      <c r="A1187" t="s">
        <v>2413</v>
      </c>
      <c r="B1187" t="s">
        <v>65</v>
      </c>
      <c r="C1187" t="s">
        <v>3955</v>
      </c>
      <c r="D1187" s="3"/>
      <c r="E1187" s="2">
        <v>45679</v>
      </c>
      <c r="F1187">
        <v>480000</v>
      </c>
      <c r="G1187">
        <v>197398</v>
      </c>
      <c r="H1187">
        <v>4155</v>
      </c>
      <c r="I1187">
        <v>48</v>
      </c>
      <c r="J1187">
        <v>3835</v>
      </c>
      <c r="L1187" t="s">
        <v>3331</v>
      </c>
      <c r="M1187" t="s">
        <v>3956</v>
      </c>
      <c r="N1187" t="s">
        <v>1630</v>
      </c>
      <c r="O1187" s="4">
        <v>45695.7515509259</v>
      </c>
      <c r="P1187" t="s">
        <v>66</v>
      </c>
      <c r="Q1187" t="s">
        <v>1631</v>
      </c>
      <c r="R1187" t="s">
        <v>3961</v>
      </c>
      <c r="T1187" t="s">
        <v>66</v>
      </c>
    </row>
    <row r="1188" ht="25.5" customHeight="1" spans="1:20">
      <c r="A1188" t="s">
        <v>2413</v>
      </c>
      <c r="B1188" t="s">
        <v>65</v>
      </c>
      <c r="C1188" t="s">
        <v>3955</v>
      </c>
      <c r="D1188" s="3"/>
      <c r="E1188" s="2">
        <v>45680</v>
      </c>
      <c r="F1188">
        <v>480000</v>
      </c>
      <c r="G1188">
        <v>197398</v>
      </c>
      <c r="H1188">
        <v>4159</v>
      </c>
      <c r="I1188">
        <v>48</v>
      </c>
      <c r="J1188">
        <v>3835</v>
      </c>
      <c r="L1188" t="s">
        <v>3331</v>
      </c>
      <c r="M1188" t="s">
        <v>3956</v>
      </c>
      <c r="N1188" t="s">
        <v>1630</v>
      </c>
      <c r="O1188" s="4">
        <v>45695.7515625</v>
      </c>
      <c r="P1188" t="s">
        <v>66</v>
      </c>
      <c r="Q1188" t="s">
        <v>1631</v>
      </c>
      <c r="R1188" t="s">
        <v>3962</v>
      </c>
      <c r="T1188" t="s">
        <v>66</v>
      </c>
    </row>
    <row r="1189" ht="25.5" customHeight="1" spans="1:20">
      <c r="A1189" t="s">
        <v>2413</v>
      </c>
      <c r="B1189" t="s">
        <v>65</v>
      </c>
      <c r="C1189" t="s">
        <v>3955</v>
      </c>
      <c r="D1189" s="3"/>
      <c r="E1189" s="2">
        <v>45681</v>
      </c>
      <c r="F1189">
        <v>480000</v>
      </c>
      <c r="G1189">
        <v>197398</v>
      </c>
      <c r="H1189">
        <v>4161</v>
      </c>
      <c r="I1189">
        <v>48</v>
      </c>
      <c r="J1189">
        <v>3835</v>
      </c>
      <c r="L1189" t="s">
        <v>3331</v>
      </c>
      <c r="M1189" t="s">
        <v>3956</v>
      </c>
      <c r="N1189" t="s">
        <v>1630</v>
      </c>
      <c r="O1189" s="4">
        <v>45695.7515625</v>
      </c>
      <c r="P1189" t="s">
        <v>66</v>
      </c>
      <c r="Q1189" t="s">
        <v>1631</v>
      </c>
      <c r="R1189" t="s">
        <v>3963</v>
      </c>
      <c r="T1189" t="s">
        <v>66</v>
      </c>
    </row>
    <row r="1190" ht="25.5" customHeight="1" spans="1:20">
      <c r="A1190" t="s">
        <v>2413</v>
      </c>
      <c r="B1190" t="s">
        <v>65</v>
      </c>
      <c r="C1190" t="s">
        <v>3955</v>
      </c>
      <c r="D1190" s="3"/>
      <c r="E1190" s="2">
        <v>45683</v>
      </c>
      <c r="F1190">
        <v>480000</v>
      </c>
      <c r="G1190">
        <v>197398</v>
      </c>
      <c r="H1190">
        <v>4165</v>
      </c>
      <c r="I1190">
        <v>48</v>
      </c>
      <c r="J1190">
        <v>3835</v>
      </c>
      <c r="L1190" t="s">
        <v>3331</v>
      </c>
      <c r="M1190" t="s">
        <v>3956</v>
      </c>
      <c r="N1190" t="s">
        <v>1630</v>
      </c>
      <c r="O1190" s="4">
        <v>45695.7515625</v>
      </c>
      <c r="P1190" t="s">
        <v>66</v>
      </c>
      <c r="Q1190" t="s">
        <v>1631</v>
      </c>
      <c r="R1190" t="s">
        <v>3964</v>
      </c>
      <c r="T1190" t="s">
        <v>66</v>
      </c>
    </row>
    <row r="1191" ht="25.5" customHeight="1" spans="1:20">
      <c r="A1191" t="s">
        <v>2413</v>
      </c>
      <c r="B1191" t="s">
        <v>65</v>
      </c>
      <c r="C1191" t="s">
        <v>3955</v>
      </c>
      <c r="D1191" s="3"/>
      <c r="E1191" s="2">
        <v>45684</v>
      </c>
      <c r="F1191">
        <v>480000</v>
      </c>
      <c r="G1191">
        <v>197398</v>
      </c>
      <c r="H1191">
        <v>4166</v>
      </c>
      <c r="I1191">
        <v>48</v>
      </c>
      <c r="J1191">
        <v>3835</v>
      </c>
      <c r="L1191" t="s">
        <v>3331</v>
      </c>
      <c r="M1191" t="s">
        <v>3956</v>
      </c>
      <c r="N1191" t="s">
        <v>1630</v>
      </c>
      <c r="O1191" s="4">
        <v>45695.7515740741</v>
      </c>
      <c r="P1191" t="s">
        <v>66</v>
      </c>
      <c r="Q1191" t="s">
        <v>1631</v>
      </c>
      <c r="R1191" t="s">
        <v>3965</v>
      </c>
      <c r="T1191" t="s">
        <v>66</v>
      </c>
    </row>
    <row r="1192" ht="25.5" customHeight="1" spans="1:20">
      <c r="A1192" t="s">
        <v>2413</v>
      </c>
      <c r="B1192" t="s">
        <v>65</v>
      </c>
      <c r="C1192" t="s">
        <v>3955</v>
      </c>
      <c r="D1192" s="3"/>
      <c r="E1192" s="2">
        <v>45693</v>
      </c>
      <c r="F1192">
        <v>481000</v>
      </c>
      <c r="G1192">
        <v>197398</v>
      </c>
      <c r="H1192">
        <v>4172</v>
      </c>
      <c r="I1192">
        <v>48</v>
      </c>
      <c r="J1192">
        <v>3835</v>
      </c>
      <c r="L1192" t="s">
        <v>3331</v>
      </c>
      <c r="M1192" t="s">
        <v>3956</v>
      </c>
      <c r="N1192" t="s">
        <v>1630</v>
      </c>
      <c r="O1192" s="4">
        <v>45695.7515856481</v>
      </c>
      <c r="P1192" t="s">
        <v>66</v>
      </c>
      <c r="Q1192" t="s">
        <v>1631</v>
      </c>
      <c r="R1192" t="s">
        <v>3966</v>
      </c>
      <c r="T1192" t="s">
        <v>66</v>
      </c>
    </row>
    <row r="1193" ht="25.5" customHeight="1" spans="1:20">
      <c r="A1193" t="s">
        <v>2413</v>
      </c>
      <c r="B1193" t="s">
        <v>65</v>
      </c>
      <c r="C1193" t="s">
        <v>3955</v>
      </c>
      <c r="D1193" s="3"/>
      <c r="E1193" s="2">
        <v>45694</v>
      </c>
      <c r="F1193">
        <v>481000</v>
      </c>
      <c r="G1193">
        <v>197398</v>
      </c>
      <c r="H1193">
        <v>4173</v>
      </c>
      <c r="I1193">
        <v>48</v>
      </c>
      <c r="J1193">
        <v>3835</v>
      </c>
      <c r="L1193" t="s">
        <v>3331</v>
      </c>
      <c r="M1193" t="s">
        <v>3956</v>
      </c>
      <c r="N1193" t="s">
        <v>1630</v>
      </c>
      <c r="O1193" s="4">
        <v>45698.6216782407</v>
      </c>
      <c r="P1193" t="s">
        <v>66</v>
      </c>
      <c r="Q1193" t="s">
        <v>1631</v>
      </c>
      <c r="R1193" t="s">
        <v>3967</v>
      </c>
      <c r="S1193" t="s">
        <v>3245</v>
      </c>
      <c r="T1193" t="s">
        <v>66</v>
      </c>
    </row>
    <row r="1194" ht="25.5" customHeight="1" spans="1:20">
      <c r="A1194" t="s">
        <v>2413</v>
      </c>
      <c r="B1194" t="s">
        <v>65</v>
      </c>
      <c r="C1194" t="s">
        <v>3955</v>
      </c>
      <c r="D1194" s="3"/>
      <c r="E1194" s="2">
        <v>45695</v>
      </c>
      <c r="F1194">
        <v>481000</v>
      </c>
      <c r="G1194">
        <v>197398</v>
      </c>
      <c r="H1194">
        <v>4173</v>
      </c>
      <c r="I1194">
        <v>48</v>
      </c>
      <c r="J1194">
        <v>3835</v>
      </c>
      <c r="L1194" t="s">
        <v>3331</v>
      </c>
      <c r="M1194" t="s">
        <v>3956</v>
      </c>
      <c r="N1194" t="s">
        <v>1630</v>
      </c>
      <c r="O1194" s="4">
        <v>45695.7515972222</v>
      </c>
      <c r="P1194" t="s">
        <v>66</v>
      </c>
      <c r="Q1194" t="s">
        <v>1631</v>
      </c>
      <c r="R1194" t="s">
        <v>3967</v>
      </c>
      <c r="T1194" t="s">
        <v>66</v>
      </c>
    </row>
    <row r="1195" ht="25.5" customHeight="1" spans="1:20">
      <c r="A1195" t="s">
        <v>2929</v>
      </c>
      <c r="B1195" t="s">
        <v>56</v>
      </c>
      <c r="D1195" s="3"/>
      <c r="E1195" s="2"/>
      <c r="M1195" t="s">
        <v>3270</v>
      </c>
      <c r="N1195" t="s">
        <v>1645</v>
      </c>
      <c r="O1195" s="4">
        <v>45670.743587963</v>
      </c>
      <c r="P1195" t="s">
        <v>57</v>
      </c>
      <c r="Q1195" t="s">
        <v>58</v>
      </c>
      <c r="R1195" t="s">
        <v>3133</v>
      </c>
      <c r="T1195" t="s">
        <v>57</v>
      </c>
    </row>
    <row r="1196" ht="25.5" customHeight="1" spans="1:20">
      <c r="A1196" t="s">
        <v>2838</v>
      </c>
      <c r="B1196" t="s">
        <v>56</v>
      </c>
      <c r="C1196" t="s">
        <v>3968</v>
      </c>
      <c r="D1196" s="3"/>
      <c r="E1196" s="2">
        <v>45673</v>
      </c>
      <c r="F1196">
        <v>68200</v>
      </c>
      <c r="G1196">
        <v>271</v>
      </c>
      <c r="H1196">
        <v>10</v>
      </c>
      <c r="I1196">
        <v>0</v>
      </c>
      <c r="J1196">
        <v>2</v>
      </c>
      <c r="K1196">
        <v>1</v>
      </c>
      <c r="L1196" t="s">
        <v>3208</v>
      </c>
      <c r="M1196" t="s">
        <v>3132</v>
      </c>
      <c r="N1196" t="s">
        <v>1630</v>
      </c>
      <c r="O1196" s="4">
        <v>45673.6108680556</v>
      </c>
      <c r="P1196" t="s">
        <v>57</v>
      </c>
      <c r="Q1196" t="s">
        <v>1753</v>
      </c>
      <c r="R1196" t="s">
        <v>3858</v>
      </c>
      <c r="T1196" t="s">
        <v>57</v>
      </c>
    </row>
    <row r="1197" ht="25.5" customHeight="1" spans="1:20">
      <c r="A1197" t="s">
        <v>2838</v>
      </c>
      <c r="B1197" t="s">
        <v>56</v>
      </c>
      <c r="C1197" t="s">
        <v>3968</v>
      </c>
      <c r="D1197" s="3"/>
      <c r="E1197" s="2">
        <v>45674</v>
      </c>
      <c r="F1197">
        <v>68200</v>
      </c>
      <c r="G1197">
        <v>295</v>
      </c>
      <c r="H1197">
        <v>10</v>
      </c>
      <c r="I1197">
        <v>0</v>
      </c>
      <c r="J1197">
        <v>2</v>
      </c>
      <c r="K1197">
        <v>1</v>
      </c>
      <c r="L1197" t="s">
        <v>3208</v>
      </c>
      <c r="M1197" t="s">
        <v>3132</v>
      </c>
      <c r="N1197" t="s">
        <v>1630</v>
      </c>
      <c r="O1197" s="4">
        <v>45674.6725231481</v>
      </c>
      <c r="P1197" t="s">
        <v>57</v>
      </c>
      <c r="Q1197" t="s">
        <v>1753</v>
      </c>
      <c r="R1197" t="s">
        <v>3858</v>
      </c>
      <c r="T1197" t="s">
        <v>57</v>
      </c>
    </row>
    <row r="1198" ht="25.5" customHeight="1" spans="1:20">
      <c r="A1198" t="s">
        <v>2838</v>
      </c>
      <c r="B1198" t="s">
        <v>56</v>
      </c>
      <c r="C1198" t="s">
        <v>3968</v>
      </c>
      <c r="D1198" s="3"/>
      <c r="E1198" s="2">
        <v>45677</v>
      </c>
      <c r="F1198">
        <v>68300</v>
      </c>
      <c r="G1198">
        <v>343</v>
      </c>
      <c r="H1198">
        <v>14</v>
      </c>
      <c r="I1198">
        <v>2</v>
      </c>
      <c r="J1198">
        <v>2</v>
      </c>
      <c r="K1198">
        <v>1</v>
      </c>
      <c r="L1198" t="s">
        <v>3195</v>
      </c>
      <c r="M1198" t="s">
        <v>3132</v>
      </c>
      <c r="N1198" t="s">
        <v>1630</v>
      </c>
      <c r="O1198" s="4">
        <v>45677.4310648148</v>
      </c>
      <c r="P1198" t="s">
        <v>57</v>
      </c>
      <c r="Q1198" t="s">
        <v>1753</v>
      </c>
      <c r="R1198" t="s">
        <v>3877</v>
      </c>
      <c r="T1198" t="s">
        <v>57</v>
      </c>
    </row>
    <row r="1199" ht="25.5" customHeight="1" spans="1:20">
      <c r="A1199" t="s">
        <v>2838</v>
      </c>
      <c r="B1199" t="s">
        <v>56</v>
      </c>
      <c r="C1199" t="s">
        <v>3968</v>
      </c>
      <c r="D1199" s="3"/>
      <c r="E1199" s="2">
        <v>45678</v>
      </c>
      <c r="F1199">
        <v>68300</v>
      </c>
      <c r="G1199">
        <v>373</v>
      </c>
      <c r="H1199">
        <v>14</v>
      </c>
      <c r="I1199">
        <v>2</v>
      </c>
      <c r="J1199">
        <v>3</v>
      </c>
      <c r="K1199">
        <v>1</v>
      </c>
      <c r="L1199" t="s">
        <v>3195</v>
      </c>
      <c r="M1199" t="s">
        <v>3132</v>
      </c>
      <c r="N1199" t="s">
        <v>1630</v>
      </c>
      <c r="O1199" s="4">
        <v>45678.6370023148</v>
      </c>
      <c r="P1199" t="s">
        <v>57</v>
      </c>
      <c r="Q1199" t="s">
        <v>1753</v>
      </c>
      <c r="R1199" t="s">
        <v>3878</v>
      </c>
      <c r="T1199" t="s">
        <v>57</v>
      </c>
    </row>
    <row r="1200" ht="25.5" customHeight="1" spans="1:20">
      <c r="A1200" t="s">
        <v>2838</v>
      </c>
      <c r="B1200" t="s">
        <v>56</v>
      </c>
      <c r="C1200" t="s">
        <v>3968</v>
      </c>
      <c r="D1200" s="3"/>
      <c r="E1200" s="2">
        <v>45679</v>
      </c>
      <c r="F1200">
        <v>68300</v>
      </c>
      <c r="G1200">
        <v>398</v>
      </c>
      <c r="H1200">
        <v>15</v>
      </c>
      <c r="I1200">
        <v>2</v>
      </c>
      <c r="J1200">
        <v>3</v>
      </c>
      <c r="K1200">
        <v>1</v>
      </c>
      <c r="L1200" t="s">
        <v>3195</v>
      </c>
      <c r="M1200" t="s">
        <v>3132</v>
      </c>
      <c r="N1200" t="s">
        <v>1630</v>
      </c>
      <c r="O1200" s="4">
        <v>45679.6939583333</v>
      </c>
      <c r="P1200" t="s">
        <v>57</v>
      </c>
      <c r="Q1200" t="s">
        <v>1753</v>
      </c>
      <c r="R1200" t="s">
        <v>3786</v>
      </c>
      <c r="T1200" t="s">
        <v>57</v>
      </c>
    </row>
    <row r="1201" ht="25.5" customHeight="1" spans="1:20">
      <c r="A1201" t="s">
        <v>2838</v>
      </c>
      <c r="B1201" t="s">
        <v>56</v>
      </c>
      <c r="C1201" t="s">
        <v>3968</v>
      </c>
      <c r="D1201" s="3"/>
      <c r="E1201" s="2">
        <v>45680</v>
      </c>
      <c r="F1201">
        <v>68300</v>
      </c>
      <c r="G1201">
        <v>409</v>
      </c>
      <c r="H1201">
        <v>16</v>
      </c>
      <c r="I1201">
        <v>2</v>
      </c>
      <c r="J1201">
        <v>3</v>
      </c>
      <c r="K1201">
        <v>1</v>
      </c>
      <c r="L1201" t="s">
        <v>3195</v>
      </c>
      <c r="M1201" t="s">
        <v>3132</v>
      </c>
      <c r="N1201" t="s">
        <v>1630</v>
      </c>
      <c r="O1201" s="4">
        <v>45680.6489467593</v>
      </c>
      <c r="P1201" t="s">
        <v>57</v>
      </c>
      <c r="Q1201" t="s">
        <v>1753</v>
      </c>
      <c r="R1201" t="s">
        <v>3969</v>
      </c>
      <c r="T1201" t="s">
        <v>57</v>
      </c>
    </row>
    <row r="1202" ht="25.5" customHeight="1" spans="1:20">
      <c r="A1202" t="s">
        <v>2838</v>
      </c>
      <c r="B1202" t="s">
        <v>56</v>
      </c>
      <c r="C1202" t="s">
        <v>3968</v>
      </c>
      <c r="D1202" s="3"/>
      <c r="E1202" s="2">
        <v>45681</v>
      </c>
      <c r="F1202">
        <v>68300</v>
      </c>
      <c r="G1202">
        <v>418</v>
      </c>
      <c r="H1202">
        <v>16</v>
      </c>
      <c r="I1202">
        <v>2</v>
      </c>
      <c r="J1202">
        <v>3</v>
      </c>
      <c r="K1202">
        <v>1</v>
      </c>
      <c r="L1202" t="s">
        <v>3195</v>
      </c>
      <c r="M1202" t="s">
        <v>3132</v>
      </c>
      <c r="N1202" t="s">
        <v>1630</v>
      </c>
      <c r="O1202" s="4">
        <v>45681.6106018519</v>
      </c>
      <c r="P1202" t="s">
        <v>57</v>
      </c>
      <c r="Q1202" t="s">
        <v>1753</v>
      </c>
      <c r="R1202" t="s">
        <v>3969</v>
      </c>
      <c r="T1202" t="s">
        <v>57</v>
      </c>
    </row>
    <row r="1203" ht="25.5" customHeight="1" spans="1:20">
      <c r="A1203" t="s">
        <v>2838</v>
      </c>
      <c r="B1203" t="s">
        <v>56</v>
      </c>
      <c r="C1203" t="s">
        <v>3968</v>
      </c>
      <c r="D1203" s="3"/>
      <c r="E1203" s="2">
        <v>45683</v>
      </c>
      <c r="F1203">
        <v>68300</v>
      </c>
      <c r="G1203">
        <v>442</v>
      </c>
      <c r="H1203">
        <v>16</v>
      </c>
      <c r="I1203">
        <v>2</v>
      </c>
      <c r="J1203">
        <v>4</v>
      </c>
      <c r="K1203">
        <v>1</v>
      </c>
      <c r="L1203" t="s">
        <v>3208</v>
      </c>
      <c r="M1203" t="s">
        <v>3132</v>
      </c>
      <c r="N1203" t="s">
        <v>1630</v>
      </c>
      <c r="O1203" s="4">
        <v>45683.7680439815</v>
      </c>
      <c r="P1203" t="s">
        <v>57</v>
      </c>
      <c r="Q1203" t="s">
        <v>1753</v>
      </c>
      <c r="R1203" t="s">
        <v>3787</v>
      </c>
      <c r="T1203" t="s">
        <v>57</v>
      </c>
    </row>
    <row r="1204" ht="25.5" customHeight="1" spans="1:20">
      <c r="A1204" t="s">
        <v>2838</v>
      </c>
      <c r="B1204" t="s">
        <v>56</v>
      </c>
      <c r="C1204" t="s">
        <v>3968</v>
      </c>
      <c r="D1204" s="3"/>
      <c r="E1204" s="2">
        <v>45684</v>
      </c>
      <c r="F1204">
        <v>68300</v>
      </c>
      <c r="G1204">
        <v>450</v>
      </c>
      <c r="H1204">
        <v>16</v>
      </c>
      <c r="I1204">
        <v>2</v>
      </c>
      <c r="J1204">
        <v>4</v>
      </c>
      <c r="K1204">
        <v>1</v>
      </c>
      <c r="L1204" t="s">
        <v>3208</v>
      </c>
      <c r="M1204" t="s">
        <v>3132</v>
      </c>
      <c r="N1204" t="s">
        <v>1630</v>
      </c>
      <c r="O1204" s="4">
        <v>45684.8396990741</v>
      </c>
      <c r="P1204" t="s">
        <v>57</v>
      </c>
      <c r="Q1204" t="s">
        <v>1753</v>
      </c>
      <c r="R1204" t="s">
        <v>3787</v>
      </c>
      <c r="T1204" t="s">
        <v>57</v>
      </c>
    </row>
    <row r="1205" ht="25.5" customHeight="1" spans="1:20">
      <c r="A1205" t="s">
        <v>2838</v>
      </c>
      <c r="B1205" t="s">
        <v>56</v>
      </c>
      <c r="C1205" t="s">
        <v>3968</v>
      </c>
      <c r="D1205" s="3"/>
      <c r="E1205" s="2">
        <v>45693</v>
      </c>
      <c r="F1205">
        <v>68700</v>
      </c>
      <c r="G1205">
        <v>592</v>
      </c>
      <c r="H1205">
        <v>18</v>
      </c>
      <c r="I1205">
        <v>2</v>
      </c>
      <c r="J1205">
        <v>6</v>
      </c>
      <c r="K1205">
        <v>1</v>
      </c>
      <c r="L1205" t="s">
        <v>3208</v>
      </c>
      <c r="M1205" t="s">
        <v>3132</v>
      </c>
      <c r="N1205" t="s">
        <v>1630</v>
      </c>
      <c r="O1205" s="4">
        <v>45693.8226851852</v>
      </c>
      <c r="P1205" t="s">
        <v>57</v>
      </c>
      <c r="Q1205" t="s">
        <v>1753</v>
      </c>
      <c r="R1205" t="s">
        <v>3699</v>
      </c>
      <c r="T1205" t="s">
        <v>57</v>
      </c>
    </row>
    <row r="1206" ht="25.5" customHeight="1" spans="1:20">
      <c r="A1206" t="s">
        <v>2838</v>
      </c>
      <c r="B1206" t="s">
        <v>56</v>
      </c>
      <c r="C1206" t="s">
        <v>3968</v>
      </c>
      <c r="D1206" s="3"/>
      <c r="E1206" s="2">
        <v>45694</v>
      </c>
      <c r="F1206">
        <v>68700</v>
      </c>
      <c r="G1206">
        <v>600</v>
      </c>
      <c r="H1206">
        <v>18</v>
      </c>
      <c r="I1206">
        <v>2</v>
      </c>
      <c r="J1206">
        <v>6</v>
      </c>
      <c r="K1206">
        <v>1</v>
      </c>
      <c r="L1206" t="s">
        <v>3208</v>
      </c>
      <c r="M1206" t="s">
        <v>3132</v>
      </c>
      <c r="N1206" t="s">
        <v>1630</v>
      </c>
      <c r="O1206" s="4">
        <v>45698.6216782407</v>
      </c>
      <c r="P1206" t="s">
        <v>57</v>
      </c>
      <c r="Q1206" t="s">
        <v>1753</v>
      </c>
      <c r="R1206" t="s">
        <v>3699</v>
      </c>
      <c r="S1206" t="s">
        <v>3245</v>
      </c>
      <c r="T1206" t="s">
        <v>57</v>
      </c>
    </row>
    <row r="1207" ht="25.5" customHeight="1" spans="1:20">
      <c r="A1207" t="s">
        <v>2838</v>
      </c>
      <c r="B1207" t="s">
        <v>56</v>
      </c>
      <c r="C1207" t="s">
        <v>3968</v>
      </c>
      <c r="D1207" s="3"/>
      <c r="E1207" s="2">
        <v>45695</v>
      </c>
      <c r="F1207">
        <v>68700</v>
      </c>
      <c r="G1207">
        <v>610</v>
      </c>
      <c r="H1207">
        <v>18</v>
      </c>
      <c r="I1207">
        <v>2</v>
      </c>
      <c r="J1207">
        <v>6</v>
      </c>
      <c r="K1207">
        <v>1</v>
      </c>
      <c r="L1207" t="s">
        <v>3284</v>
      </c>
      <c r="M1207" t="s">
        <v>3132</v>
      </c>
      <c r="N1207" t="s">
        <v>1630</v>
      </c>
      <c r="O1207" s="4">
        <v>45695.7160763889</v>
      </c>
      <c r="P1207" t="s">
        <v>57</v>
      </c>
      <c r="Q1207" t="s">
        <v>1753</v>
      </c>
      <c r="R1207" t="s">
        <v>3699</v>
      </c>
      <c r="T1207" t="s">
        <v>57</v>
      </c>
    </row>
    <row r="1208" ht="25.5" customHeight="1" spans="1:20">
      <c r="A1208" t="s">
        <v>2838</v>
      </c>
      <c r="B1208" t="s">
        <v>56</v>
      </c>
      <c r="C1208" t="s">
        <v>3968</v>
      </c>
      <c r="D1208" s="3"/>
      <c r="E1208" s="2">
        <v>45696</v>
      </c>
      <c r="F1208">
        <v>68700</v>
      </c>
      <c r="G1208">
        <v>617</v>
      </c>
      <c r="H1208">
        <v>18</v>
      </c>
      <c r="I1208">
        <v>2</v>
      </c>
      <c r="J1208">
        <v>6</v>
      </c>
      <c r="K1208">
        <v>1</v>
      </c>
      <c r="L1208" t="s">
        <v>3284</v>
      </c>
      <c r="M1208" t="s">
        <v>3132</v>
      </c>
      <c r="N1208" t="s">
        <v>1630</v>
      </c>
      <c r="O1208" s="4">
        <v>45696.4342708333</v>
      </c>
      <c r="P1208" t="s">
        <v>57</v>
      </c>
      <c r="Q1208" t="s">
        <v>1753</v>
      </c>
      <c r="R1208" t="s">
        <v>3699</v>
      </c>
      <c r="T1208" t="s">
        <v>57</v>
      </c>
    </row>
    <row r="1209" ht="25.5" customHeight="1" spans="1:20">
      <c r="A1209" t="s">
        <v>2574</v>
      </c>
      <c r="B1209" t="s">
        <v>269</v>
      </c>
      <c r="C1209" t="s">
        <v>3970</v>
      </c>
      <c r="D1209" s="3" t="str">
        <f>HYPERLINK("https://www.youtube.com/@nacion_tech/videos","https://www.youtube.com/@nacion_tech/videos")</f>
        <v>https://www.youtube.com/@nacion_tech/videos</v>
      </c>
      <c r="E1209" s="2">
        <v>45677</v>
      </c>
      <c r="F1209">
        <v>27200</v>
      </c>
      <c r="G1209">
        <v>23</v>
      </c>
      <c r="H1209">
        <v>5</v>
      </c>
      <c r="I1209">
        <v>0</v>
      </c>
      <c r="L1209" t="s">
        <v>3138</v>
      </c>
      <c r="M1209" t="s">
        <v>3225</v>
      </c>
      <c r="N1209" t="s">
        <v>1630</v>
      </c>
      <c r="O1209" s="4">
        <v>45694.7128240741</v>
      </c>
      <c r="P1209" t="s">
        <v>378</v>
      </c>
      <c r="Q1209" t="s">
        <v>1753</v>
      </c>
      <c r="R1209" t="s">
        <v>3971</v>
      </c>
      <c r="T1209" t="s">
        <v>378</v>
      </c>
    </row>
    <row r="1210" ht="25.5" customHeight="1" spans="1:20">
      <c r="A1210" t="s">
        <v>2574</v>
      </c>
      <c r="B1210" t="s">
        <v>269</v>
      </c>
      <c r="C1210" t="s">
        <v>3970</v>
      </c>
      <c r="D1210" s="3"/>
      <c r="E1210" s="2">
        <v>45678</v>
      </c>
      <c r="F1210">
        <v>27200</v>
      </c>
      <c r="G1210">
        <v>89</v>
      </c>
      <c r="H1210">
        <v>12</v>
      </c>
      <c r="I1210">
        <v>0</v>
      </c>
      <c r="L1210" t="s">
        <v>3138</v>
      </c>
      <c r="M1210" t="s">
        <v>3225</v>
      </c>
      <c r="N1210" t="s">
        <v>1630</v>
      </c>
      <c r="O1210" s="4">
        <v>45694.7128587963</v>
      </c>
      <c r="P1210" t="s">
        <v>378</v>
      </c>
      <c r="Q1210" t="s">
        <v>1753</v>
      </c>
      <c r="R1210" t="s">
        <v>3859</v>
      </c>
      <c r="T1210" t="s">
        <v>378</v>
      </c>
    </row>
    <row r="1211" ht="25.5" customHeight="1" spans="1:20">
      <c r="A1211" t="s">
        <v>2574</v>
      </c>
      <c r="B1211" t="s">
        <v>269</v>
      </c>
      <c r="C1211" t="s">
        <v>3970</v>
      </c>
      <c r="D1211" s="3"/>
      <c r="E1211" s="2">
        <v>45679</v>
      </c>
      <c r="F1211">
        <v>27300</v>
      </c>
      <c r="G1211">
        <v>133</v>
      </c>
      <c r="H1211">
        <v>14</v>
      </c>
      <c r="I1211">
        <v>0</v>
      </c>
      <c r="L1211" t="s">
        <v>3138</v>
      </c>
      <c r="M1211" t="s">
        <v>3225</v>
      </c>
      <c r="N1211" t="s">
        <v>1630</v>
      </c>
      <c r="O1211" s="4">
        <v>45694.7128587963</v>
      </c>
      <c r="P1211" t="s">
        <v>378</v>
      </c>
      <c r="Q1211" t="s">
        <v>1753</v>
      </c>
      <c r="R1211" t="s">
        <v>3486</v>
      </c>
      <c r="T1211" t="s">
        <v>378</v>
      </c>
    </row>
    <row r="1212" ht="25.5" customHeight="1" spans="1:20">
      <c r="A1212" t="s">
        <v>2574</v>
      </c>
      <c r="B1212" t="s">
        <v>269</v>
      </c>
      <c r="C1212" t="s">
        <v>3970</v>
      </c>
      <c r="D1212" s="3"/>
      <c r="E1212" s="2">
        <v>45680</v>
      </c>
      <c r="F1212">
        <v>27300</v>
      </c>
      <c r="G1212">
        <v>149</v>
      </c>
      <c r="H1212">
        <v>17</v>
      </c>
      <c r="I1212">
        <v>0</v>
      </c>
      <c r="L1212" t="s">
        <v>3138</v>
      </c>
      <c r="M1212" t="s">
        <v>3225</v>
      </c>
      <c r="N1212" t="s">
        <v>1630</v>
      </c>
      <c r="O1212" s="4">
        <v>45694.7128587963</v>
      </c>
      <c r="P1212" t="s">
        <v>378</v>
      </c>
      <c r="Q1212" t="s">
        <v>1753</v>
      </c>
      <c r="R1212" t="s">
        <v>3860</v>
      </c>
      <c r="T1212" t="s">
        <v>378</v>
      </c>
    </row>
    <row r="1213" ht="25.5" customHeight="1" spans="1:20">
      <c r="A1213" t="s">
        <v>2574</v>
      </c>
      <c r="B1213" t="s">
        <v>269</v>
      </c>
      <c r="C1213" t="s">
        <v>3970</v>
      </c>
      <c r="D1213" s="3"/>
      <c r="E1213" s="2">
        <v>45681</v>
      </c>
      <c r="F1213">
        <v>27400</v>
      </c>
      <c r="G1213">
        <v>160</v>
      </c>
      <c r="H1213">
        <v>17</v>
      </c>
      <c r="I1213">
        <v>0</v>
      </c>
      <c r="L1213" t="s">
        <v>3138</v>
      </c>
      <c r="M1213" t="s">
        <v>3225</v>
      </c>
      <c r="N1213" t="s">
        <v>1630</v>
      </c>
      <c r="O1213" s="4">
        <v>45694.7128587963</v>
      </c>
      <c r="P1213" t="s">
        <v>378</v>
      </c>
      <c r="Q1213" t="s">
        <v>1753</v>
      </c>
      <c r="R1213" t="s">
        <v>3860</v>
      </c>
      <c r="T1213" t="s">
        <v>378</v>
      </c>
    </row>
    <row r="1214" ht="25.5" customHeight="1" spans="1:20">
      <c r="A1214" t="s">
        <v>2574</v>
      </c>
      <c r="B1214" t="s">
        <v>269</v>
      </c>
      <c r="C1214" t="s">
        <v>3970</v>
      </c>
      <c r="D1214" s="3"/>
      <c r="E1214" s="2">
        <v>45683</v>
      </c>
      <c r="F1214">
        <v>27500</v>
      </c>
      <c r="G1214">
        <v>184</v>
      </c>
      <c r="H1214">
        <v>19</v>
      </c>
      <c r="I1214">
        <v>0</v>
      </c>
      <c r="L1214" t="s">
        <v>3138</v>
      </c>
      <c r="M1214" t="s">
        <v>3225</v>
      </c>
      <c r="N1214" t="s">
        <v>1630</v>
      </c>
      <c r="O1214" s="4">
        <v>45694.7128587963</v>
      </c>
      <c r="P1214" t="s">
        <v>378</v>
      </c>
      <c r="Q1214" t="s">
        <v>1753</v>
      </c>
      <c r="R1214" t="s">
        <v>3877</v>
      </c>
      <c r="T1214" t="s">
        <v>378</v>
      </c>
    </row>
    <row r="1215" ht="25.5" customHeight="1" spans="1:20">
      <c r="A1215" t="s">
        <v>2574</v>
      </c>
      <c r="B1215" t="s">
        <v>269</v>
      </c>
      <c r="C1215" t="s">
        <v>3970</v>
      </c>
      <c r="D1215" s="3"/>
      <c r="E1215" s="2">
        <v>45684</v>
      </c>
      <c r="F1215">
        <v>27600</v>
      </c>
      <c r="G1215">
        <v>221</v>
      </c>
      <c r="H1215">
        <v>20</v>
      </c>
      <c r="I1215">
        <v>0</v>
      </c>
      <c r="L1215" t="s">
        <v>3138</v>
      </c>
      <c r="M1215" t="s">
        <v>3225</v>
      </c>
      <c r="N1215" t="s">
        <v>1630</v>
      </c>
      <c r="O1215" s="4">
        <v>45694.7128587963</v>
      </c>
      <c r="P1215" t="s">
        <v>378</v>
      </c>
      <c r="Q1215" t="s">
        <v>1753</v>
      </c>
      <c r="R1215" t="s">
        <v>3878</v>
      </c>
      <c r="T1215" t="s">
        <v>378</v>
      </c>
    </row>
    <row r="1216" ht="25.5" customHeight="1" spans="1:20">
      <c r="A1216" t="s">
        <v>2574</v>
      </c>
      <c r="B1216" t="s">
        <v>269</v>
      </c>
      <c r="C1216" t="s">
        <v>3970</v>
      </c>
      <c r="D1216" s="3"/>
      <c r="E1216" s="2">
        <v>45693</v>
      </c>
      <c r="F1216">
        <v>28000</v>
      </c>
      <c r="G1216">
        <v>384</v>
      </c>
      <c r="H1216">
        <v>24</v>
      </c>
      <c r="I1216">
        <v>0</v>
      </c>
      <c r="L1216" t="s">
        <v>3138</v>
      </c>
      <c r="M1216" t="s">
        <v>3225</v>
      </c>
      <c r="N1216" t="s">
        <v>1630</v>
      </c>
      <c r="O1216" s="4">
        <v>45694.7128587963</v>
      </c>
      <c r="P1216" t="s">
        <v>378</v>
      </c>
      <c r="Q1216" t="s">
        <v>1753</v>
      </c>
      <c r="R1216" t="s">
        <v>3777</v>
      </c>
      <c r="T1216" t="s">
        <v>378</v>
      </c>
    </row>
    <row r="1217" ht="25.5" customHeight="1" spans="1:20">
      <c r="A1217" t="s">
        <v>2574</v>
      </c>
      <c r="B1217" t="s">
        <v>269</v>
      </c>
      <c r="C1217" t="s">
        <v>3970</v>
      </c>
      <c r="D1217" s="3"/>
      <c r="E1217" s="2">
        <v>45694</v>
      </c>
      <c r="F1217">
        <v>28000</v>
      </c>
      <c r="G1217">
        <v>398</v>
      </c>
      <c r="H1217">
        <v>24</v>
      </c>
      <c r="I1217">
        <v>0</v>
      </c>
      <c r="L1217" t="s">
        <v>3138</v>
      </c>
      <c r="M1217" t="s">
        <v>3225</v>
      </c>
      <c r="N1217" t="s">
        <v>1630</v>
      </c>
      <c r="O1217" s="4">
        <v>45698.6216782407</v>
      </c>
      <c r="P1217" t="s">
        <v>378</v>
      </c>
      <c r="Q1217" t="s">
        <v>1753</v>
      </c>
      <c r="R1217" t="s">
        <v>3777</v>
      </c>
      <c r="S1217" t="s">
        <v>3180</v>
      </c>
      <c r="T1217" t="s">
        <v>378</v>
      </c>
    </row>
    <row r="1218" ht="25.5" customHeight="1" spans="1:20">
      <c r="A1218" t="s">
        <v>2574</v>
      </c>
      <c r="B1218" t="s">
        <v>269</v>
      </c>
      <c r="C1218" t="s">
        <v>3970</v>
      </c>
      <c r="D1218" s="3"/>
      <c r="E1218" s="2">
        <v>45695</v>
      </c>
      <c r="F1218">
        <v>28000</v>
      </c>
      <c r="G1218">
        <v>417</v>
      </c>
      <c r="H1218">
        <v>24</v>
      </c>
      <c r="I1218">
        <v>0</v>
      </c>
      <c r="L1218" t="s">
        <v>3138</v>
      </c>
      <c r="M1218" t="s">
        <v>3225</v>
      </c>
      <c r="N1218" t="s">
        <v>1630</v>
      </c>
      <c r="O1218" s="4">
        <v>45695.6389351852</v>
      </c>
      <c r="P1218" t="s">
        <v>378</v>
      </c>
      <c r="Q1218" t="s">
        <v>1753</v>
      </c>
      <c r="R1218" t="s">
        <v>3777</v>
      </c>
      <c r="T1218" t="s">
        <v>378</v>
      </c>
    </row>
    <row r="1219" ht="25.5" customHeight="1" spans="1:20">
      <c r="A1219" t="s">
        <v>2574</v>
      </c>
      <c r="B1219" t="s">
        <v>269</v>
      </c>
      <c r="C1219" t="s">
        <v>3970</v>
      </c>
      <c r="D1219" s="3"/>
      <c r="E1219" s="2">
        <v>45696</v>
      </c>
      <c r="F1219">
        <v>28000</v>
      </c>
      <c r="G1219">
        <v>428</v>
      </c>
      <c r="H1219">
        <v>24</v>
      </c>
      <c r="I1219">
        <v>0</v>
      </c>
      <c r="L1219" t="s">
        <v>3138</v>
      </c>
      <c r="M1219" t="s">
        <v>3225</v>
      </c>
      <c r="N1219" t="s">
        <v>1630</v>
      </c>
      <c r="O1219" s="4">
        <v>45696.4619328704</v>
      </c>
      <c r="P1219" t="s">
        <v>378</v>
      </c>
      <c r="Q1219" t="s">
        <v>1753</v>
      </c>
      <c r="R1219" t="s">
        <v>3777</v>
      </c>
      <c r="T1219" t="s">
        <v>378</v>
      </c>
    </row>
    <row r="1220" ht="25.5" customHeight="1" spans="1:20">
      <c r="A1220" t="s">
        <v>2415</v>
      </c>
      <c r="B1220" t="s">
        <v>65</v>
      </c>
      <c r="C1220" t="s">
        <v>3972</v>
      </c>
      <c r="D1220" s="3" t="str">
        <f>HYPERLINK("https://www.instagram.com/namikazetech/reels/","https://www.instagram.com/namikazetech/reels/")</f>
        <v>https://www.instagram.com/namikazetech/reels/</v>
      </c>
      <c r="E1220" s="2">
        <v>45670</v>
      </c>
      <c r="F1220">
        <v>92300</v>
      </c>
      <c r="G1220">
        <v>9053</v>
      </c>
      <c r="H1220">
        <v>180</v>
      </c>
      <c r="I1220">
        <v>0</v>
      </c>
      <c r="L1220" t="s">
        <v>3138</v>
      </c>
      <c r="M1220" t="s">
        <v>3973</v>
      </c>
      <c r="N1220" t="s">
        <v>1630</v>
      </c>
      <c r="O1220" s="4">
        <v>45672.5090625</v>
      </c>
      <c r="P1220" t="s">
        <v>116</v>
      </c>
      <c r="Q1220" t="s">
        <v>1779</v>
      </c>
      <c r="R1220" t="s">
        <v>3215</v>
      </c>
      <c r="T1220" t="s">
        <v>116</v>
      </c>
    </row>
    <row r="1221" ht="25.5" customHeight="1" spans="1:20">
      <c r="A1221" t="s">
        <v>2415</v>
      </c>
      <c r="B1221" t="s">
        <v>65</v>
      </c>
      <c r="C1221" t="s">
        <v>3972</v>
      </c>
      <c r="D1221" s="3"/>
      <c r="E1221" s="2">
        <v>45672</v>
      </c>
      <c r="F1221">
        <v>92500</v>
      </c>
      <c r="G1221">
        <v>10800</v>
      </c>
      <c r="H1221">
        <v>204</v>
      </c>
      <c r="I1221">
        <v>0</v>
      </c>
      <c r="L1221" t="s">
        <v>3138</v>
      </c>
      <c r="M1221" t="s">
        <v>3973</v>
      </c>
      <c r="N1221" t="s">
        <v>1630</v>
      </c>
      <c r="O1221" s="4">
        <v>45672.5090162037</v>
      </c>
      <c r="P1221" t="s">
        <v>116</v>
      </c>
      <c r="Q1221" t="s">
        <v>1779</v>
      </c>
      <c r="R1221" t="s">
        <v>3319</v>
      </c>
      <c r="T1221" t="s">
        <v>116</v>
      </c>
    </row>
    <row r="1222" ht="25.5" customHeight="1" spans="1:20">
      <c r="A1222" t="s">
        <v>2415</v>
      </c>
      <c r="B1222" t="s">
        <v>65</v>
      </c>
      <c r="C1222" t="s">
        <v>3972</v>
      </c>
      <c r="D1222" s="3"/>
      <c r="E1222" s="2">
        <v>45673</v>
      </c>
      <c r="F1222">
        <v>92500</v>
      </c>
      <c r="G1222">
        <v>11600</v>
      </c>
      <c r="H1222">
        <v>223</v>
      </c>
      <c r="I1222">
        <v>0</v>
      </c>
      <c r="L1222" t="s">
        <v>3138</v>
      </c>
      <c r="M1222" t="s">
        <v>3973</v>
      </c>
      <c r="N1222" t="s">
        <v>1630</v>
      </c>
      <c r="O1222" s="4">
        <v>45673.4899652778</v>
      </c>
      <c r="P1222" t="s">
        <v>116</v>
      </c>
      <c r="Q1222" t="s">
        <v>1779</v>
      </c>
      <c r="R1222" t="s">
        <v>3411</v>
      </c>
      <c r="T1222" t="s">
        <v>116</v>
      </c>
    </row>
    <row r="1223" ht="25.5" customHeight="1" spans="1:20">
      <c r="A1223" t="s">
        <v>2415</v>
      </c>
      <c r="B1223" t="s">
        <v>65</v>
      </c>
      <c r="C1223" t="s">
        <v>3972</v>
      </c>
      <c r="D1223" s="3"/>
      <c r="E1223" s="2">
        <v>45674</v>
      </c>
      <c r="F1223">
        <v>92600</v>
      </c>
      <c r="G1223">
        <v>12100</v>
      </c>
      <c r="H1223">
        <v>230</v>
      </c>
      <c r="I1223">
        <v>0</v>
      </c>
      <c r="L1223" t="s">
        <v>3138</v>
      </c>
      <c r="M1223" t="s">
        <v>3973</v>
      </c>
      <c r="N1223" t="s">
        <v>1630</v>
      </c>
      <c r="O1223" s="4">
        <v>45674.6268981481</v>
      </c>
      <c r="P1223" t="s">
        <v>116</v>
      </c>
      <c r="Q1223" t="s">
        <v>1779</v>
      </c>
      <c r="R1223" t="s">
        <v>3974</v>
      </c>
      <c r="T1223" t="s">
        <v>116</v>
      </c>
    </row>
    <row r="1224" ht="25.5" customHeight="1" spans="1:20">
      <c r="A1224" t="s">
        <v>2415</v>
      </c>
      <c r="B1224" t="s">
        <v>65</v>
      </c>
      <c r="C1224" t="s">
        <v>3972</v>
      </c>
      <c r="D1224" s="3"/>
      <c r="E1224" s="2">
        <v>45677</v>
      </c>
      <c r="F1224">
        <v>92800</v>
      </c>
      <c r="G1224">
        <v>13500</v>
      </c>
      <c r="H1224">
        <v>257</v>
      </c>
      <c r="I1224">
        <v>0</v>
      </c>
      <c r="L1224" t="s">
        <v>3138</v>
      </c>
      <c r="M1224" t="s">
        <v>3973</v>
      </c>
      <c r="N1224" t="s">
        <v>1630</v>
      </c>
      <c r="O1224" s="4">
        <v>45677.4057986111</v>
      </c>
      <c r="P1224" t="s">
        <v>116</v>
      </c>
      <c r="Q1224" t="s">
        <v>1779</v>
      </c>
      <c r="R1224" t="s">
        <v>3551</v>
      </c>
      <c r="T1224" t="s">
        <v>116</v>
      </c>
    </row>
    <row r="1225" ht="25.5" customHeight="1" spans="1:20">
      <c r="A1225" t="s">
        <v>2415</v>
      </c>
      <c r="B1225" t="s">
        <v>65</v>
      </c>
      <c r="C1225" t="s">
        <v>3972</v>
      </c>
      <c r="D1225" s="3"/>
      <c r="E1225" s="2">
        <v>45678</v>
      </c>
      <c r="F1225">
        <v>92900</v>
      </c>
      <c r="G1225">
        <v>14100</v>
      </c>
      <c r="H1225">
        <v>271</v>
      </c>
      <c r="I1225">
        <v>0</v>
      </c>
      <c r="L1225" t="s">
        <v>3138</v>
      </c>
      <c r="M1225" t="s">
        <v>3973</v>
      </c>
      <c r="N1225" t="s">
        <v>1630</v>
      </c>
      <c r="O1225" s="4">
        <v>45678.5035069444</v>
      </c>
      <c r="P1225" t="s">
        <v>116</v>
      </c>
      <c r="Q1225" t="s">
        <v>1779</v>
      </c>
      <c r="R1225" t="s">
        <v>3975</v>
      </c>
      <c r="T1225" t="s">
        <v>116</v>
      </c>
    </row>
    <row r="1226" ht="25.5" customHeight="1" spans="1:20">
      <c r="A1226" t="s">
        <v>2415</v>
      </c>
      <c r="B1226" t="s">
        <v>65</v>
      </c>
      <c r="C1226" t="s">
        <v>3972</v>
      </c>
      <c r="D1226" s="3"/>
      <c r="E1226" s="2">
        <v>45679</v>
      </c>
      <c r="F1226">
        <v>93100</v>
      </c>
      <c r="G1226">
        <v>14600</v>
      </c>
      <c r="H1226">
        <v>277</v>
      </c>
      <c r="I1226">
        <v>0</v>
      </c>
      <c r="L1226" t="s">
        <v>3138</v>
      </c>
      <c r="M1226" t="s">
        <v>3973</v>
      </c>
      <c r="N1226" t="s">
        <v>1630</v>
      </c>
      <c r="O1226" s="4">
        <v>45679.6635416667</v>
      </c>
      <c r="P1226" t="s">
        <v>116</v>
      </c>
      <c r="Q1226" t="s">
        <v>1779</v>
      </c>
      <c r="R1226" t="s">
        <v>3976</v>
      </c>
      <c r="T1226" t="s">
        <v>116</v>
      </c>
    </row>
    <row r="1227" ht="25.5" customHeight="1" spans="1:20">
      <c r="A1227" t="s">
        <v>2415</v>
      </c>
      <c r="B1227" t="s">
        <v>65</v>
      </c>
      <c r="C1227" t="s">
        <v>3972</v>
      </c>
      <c r="D1227" s="3"/>
      <c r="E1227" s="2">
        <v>45680</v>
      </c>
      <c r="F1227">
        <v>93200</v>
      </c>
      <c r="G1227">
        <v>15100</v>
      </c>
      <c r="H1227">
        <v>277</v>
      </c>
      <c r="I1227">
        <v>0</v>
      </c>
      <c r="L1227" t="s">
        <v>3138</v>
      </c>
      <c r="M1227" t="s">
        <v>3973</v>
      </c>
      <c r="N1227" t="s">
        <v>1630</v>
      </c>
      <c r="O1227" s="4">
        <v>45680.5130439815</v>
      </c>
      <c r="P1227" t="s">
        <v>116</v>
      </c>
      <c r="Q1227" t="s">
        <v>1779</v>
      </c>
      <c r="R1227" t="s">
        <v>3976</v>
      </c>
      <c r="T1227" t="s">
        <v>116</v>
      </c>
    </row>
    <row r="1228" ht="25.5" customHeight="1" spans="1:20">
      <c r="A1228" t="s">
        <v>2415</v>
      </c>
      <c r="B1228" t="s">
        <v>65</v>
      </c>
      <c r="C1228" t="s">
        <v>3972</v>
      </c>
      <c r="D1228" s="3"/>
      <c r="E1228" s="2">
        <v>45681</v>
      </c>
      <c r="F1228">
        <v>93400</v>
      </c>
      <c r="G1228">
        <v>15500</v>
      </c>
      <c r="H1228">
        <v>281</v>
      </c>
      <c r="I1228">
        <v>0</v>
      </c>
      <c r="L1228" t="s">
        <v>3138</v>
      </c>
      <c r="M1228" t="s">
        <v>3973</v>
      </c>
      <c r="N1228" t="s">
        <v>1630</v>
      </c>
      <c r="O1228" s="4">
        <v>45681.4922685185</v>
      </c>
      <c r="P1228" t="s">
        <v>116</v>
      </c>
      <c r="Q1228" t="s">
        <v>1779</v>
      </c>
      <c r="R1228" t="s">
        <v>3305</v>
      </c>
      <c r="T1228" t="s">
        <v>116</v>
      </c>
    </row>
    <row r="1229" ht="25.5" customHeight="1" spans="1:20">
      <c r="A1229" t="s">
        <v>2415</v>
      </c>
      <c r="B1229" t="s">
        <v>65</v>
      </c>
      <c r="C1229" t="s">
        <v>3972</v>
      </c>
      <c r="D1229" s="3"/>
      <c r="E1229" s="2">
        <v>45683</v>
      </c>
      <c r="F1229">
        <v>93700</v>
      </c>
      <c r="G1229">
        <v>16400</v>
      </c>
      <c r="H1229">
        <v>292</v>
      </c>
      <c r="I1229">
        <v>0</v>
      </c>
      <c r="L1229" t="s">
        <v>3138</v>
      </c>
      <c r="M1229" t="s">
        <v>3973</v>
      </c>
      <c r="N1229" t="s">
        <v>1630</v>
      </c>
      <c r="O1229" s="4">
        <v>45683.7225115741</v>
      </c>
      <c r="P1229" t="s">
        <v>116</v>
      </c>
      <c r="Q1229" t="s">
        <v>1779</v>
      </c>
      <c r="R1229" t="s">
        <v>3140</v>
      </c>
      <c r="T1229" t="s">
        <v>116</v>
      </c>
    </row>
    <row r="1230" ht="25.5" customHeight="1" spans="1:20">
      <c r="A1230" t="s">
        <v>2415</v>
      </c>
      <c r="B1230" t="s">
        <v>65</v>
      </c>
      <c r="C1230" t="s">
        <v>3972</v>
      </c>
      <c r="D1230" s="3"/>
      <c r="E1230" s="2">
        <v>45684</v>
      </c>
      <c r="F1230">
        <v>93900</v>
      </c>
      <c r="G1230">
        <v>16800</v>
      </c>
      <c r="H1230">
        <v>294</v>
      </c>
      <c r="I1230">
        <v>0</v>
      </c>
      <c r="L1230" t="s">
        <v>3138</v>
      </c>
      <c r="M1230" t="s">
        <v>3973</v>
      </c>
      <c r="N1230" t="s">
        <v>1630</v>
      </c>
      <c r="O1230" s="4">
        <v>45684.7781944444</v>
      </c>
      <c r="P1230" t="s">
        <v>116</v>
      </c>
      <c r="Q1230" t="s">
        <v>1779</v>
      </c>
      <c r="R1230" t="s">
        <v>3977</v>
      </c>
      <c r="T1230" t="s">
        <v>116</v>
      </c>
    </row>
    <row r="1231" ht="25.5" customHeight="1" spans="1:20">
      <c r="A1231" t="s">
        <v>2415</v>
      </c>
      <c r="B1231" t="s">
        <v>65</v>
      </c>
      <c r="C1231" t="s">
        <v>3972</v>
      </c>
      <c r="D1231" s="3"/>
      <c r="E1231" s="2">
        <v>45693</v>
      </c>
      <c r="F1231">
        <v>94000</v>
      </c>
      <c r="G1231">
        <v>18000</v>
      </c>
      <c r="H1231">
        <v>305</v>
      </c>
      <c r="I1231">
        <v>0</v>
      </c>
      <c r="L1231" t="s">
        <v>3138</v>
      </c>
      <c r="M1231" t="s">
        <v>3973</v>
      </c>
      <c r="N1231" t="s">
        <v>1630</v>
      </c>
      <c r="O1231" s="4">
        <v>45693.7776157407</v>
      </c>
      <c r="P1231" t="s">
        <v>116</v>
      </c>
      <c r="Q1231" t="s">
        <v>1779</v>
      </c>
      <c r="R1231" t="s">
        <v>3978</v>
      </c>
      <c r="T1231" t="s">
        <v>116</v>
      </c>
    </row>
    <row r="1232" ht="25.5" customHeight="1" spans="1:20">
      <c r="A1232" t="s">
        <v>2415</v>
      </c>
      <c r="B1232" t="s">
        <v>65</v>
      </c>
      <c r="C1232" t="s">
        <v>3972</v>
      </c>
      <c r="D1232" s="3"/>
      <c r="E1232" s="2">
        <v>45694</v>
      </c>
      <c r="F1232">
        <v>94700</v>
      </c>
      <c r="G1232">
        <v>18700</v>
      </c>
      <c r="H1232">
        <v>307</v>
      </c>
      <c r="I1232">
        <v>0</v>
      </c>
      <c r="L1232" t="s">
        <v>3138</v>
      </c>
      <c r="M1232" t="s">
        <v>3973</v>
      </c>
      <c r="N1232" t="s">
        <v>1630</v>
      </c>
      <c r="O1232" s="4">
        <v>45698.6216782407</v>
      </c>
      <c r="P1232" t="s">
        <v>116</v>
      </c>
      <c r="Q1232" t="s">
        <v>1779</v>
      </c>
      <c r="R1232" t="s">
        <v>3979</v>
      </c>
      <c r="S1232" t="s">
        <v>3180</v>
      </c>
      <c r="T1232" t="s">
        <v>116</v>
      </c>
    </row>
    <row r="1233" ht="25.5" customHeight="1" spans="1:20">
      <c r="A1233" t="s">
        <v>2415</v>
      </c>
      <c r="B1233" t="s">
        <v>65</v>
      </c>
      <c r="C1233" t="s">
        <v>3972</v>
      </c>
      <c r="D1233" s="3"/>
      <c r="E1233" s="2">
        <v>45695</v>
      </c>
      <c r="F1233">
        <v>94700</v>
      </c>
      <c r="G1233">
        <v>18900</v>
      </c>
      <c r="H1233">
        <v>310</v>
      </c>
      <c r="I1233">
        <v>0</v>
      </c>
      <c r="L1233" t="s">
        <v>3138</v>
      </c>
      <c r="M1233" t="s">
        <v>3973</v>
      </c>
      <c r="N1233" t="s">
        <v>1630</v>
      </c>
      <c r="O1233" s="4">
        <v>45695.487962963</v>
      </c>
      <c r="P1233" t="s">
        <v>116</v>
      </c>
      <c r="Q1233" t="s">
        <v>1779</v>
      </c>
      <c r="R1233" t="s">
        <v>3980</v>
      </c>
      <c r="T1233" t="s">
        <v>116</v>
      </c>
    </row>
    <row r="1234" ht="25.5" customHeight="1" spans="1:18">
      <c r="A1234" t="s">
        <v>3981</v>
      </c>
      <c r="D1234" s="3"/>
      <c r="E1234" s="2">
        <v>45673</v>
      </c>
      <c r="O1234" s="4">
        <v>45673.4848611111</v>
      </c>
      <c r="R1234" t="s">
        <v>3133</v>
      </c>
    </row>
    <row r="1235" ht="25.5" customHeight="1" spans="1:20">
      <c r="A1235" t="s">
        <v>320</v>
      </c>
      <c r="B1235" t="s">
        <v>56</v>
      </c>
      <c r="C1235" t="s">
        <v>3982</v>
      </c>
      <c r="D1235" s="3"/>
      <c r="E1235" s="2"/>
      <c r="M1235" t="s">
        <v>3719</v>
      </c>
      <c r="N1235" t="s">
        <v>1630</v>
      </c>
      <c r="O1235" s="4">
        <v>45670.743587963</v>
      </c>
      <c r="P1235" t="s">
        <v>57</v>
      </c>
      <c r="Q1235" t="s">
        <v>1693</v>
      </c>
      <c r="R1235" t="s">
        <v>3133</v>
      </c>
      <c r="T1235" t="s">
        <v>57</v>
      </c>
    </row>
    <row r="1236" ht="25.5" customHeight="1" spans="1:20">
      <c r="A1236" t="s">
        <v>2470</v>
      </c>
      <c r="B1236" t="s">
        <v>1816</v>
      </c>
      <c r="C1236" t="s">
        <v>3983</v>
      </c>
      <c r="D1236" s="3"/>
      <c r="E1236" s="2">
        <v>45664</v>
      </c>
      <c r="F1236">
        <v>31600</v>
      </c>
      <c r="G1236">
        <v>21400</v>
      </c>
      <c r="H1236">
        <v>62</v>
      </c>
      <c r="I1236">
        <v>39</v>
      </c>
      <c r="J1236">
        <v>70</v>
      </c>
      <c r="K1236">
        <v>20</v>
      </c>
      <c r="L1236" t="s">
        <v>3138</v>
      </c>
      <c r="M1236" t="s">
        <v>3378</v>
      </c>
      <c r="N1236" t="s">
        <v>1630</v>
      </c>
      <c r="O1236" s="4">
        <v>45671.7872685185</v>
      </c>
      <c r="P1236" t="s">
        <v>1817</v>
      </c>
      <c r="Q1236" t="s">
        <v>1631</v>
      </c>
      <c r="R1236" t="s">
        <v>3934</v>
      </c>
      <c r="T1236" t="s">
        <v>1817</v>
      </c>
    </row>
    <row r="1237" ht="25.5" customHeight="1" spans="1:20">
      <c r="A1237" t="s">
        <v>2470</v>
      </c>
      <c r="B1237" t="s">
        <v>1816</v>
      </c>
      <c r="C1237" t="s">
        <v>3983</v>
      </c>
      <c r="D1237" s="3"/>
      <c r="E1237" s="2">
        <v>45665</v>
      </c>
      <c r="F1237">
        <v>31700</v>
      </c>
      <c r="G1237">
        <v>23300</v>
      </c>
      <c r="H1237">
        <v>73</v>
      </c>
      <c r="I1237">
        <v>41</v>
      </c>
      <c r="J1237">
        <v>80</v>
      </c>
      <c r="K1237">
        <v>18</v>
      </c>
      <c r="L1237" t="s">
        <v>3138</v>
      </c>
      <c r="M1237" t="s">
        <v>3378</v>
      </c>
      <c r="N1237" t="s">
        <v>1630</v>
      </c>
      <c r="O1237" s="4">
        <v>45672.5030092593</v>
      </c>
      <c r="P1237" t="s">
        <v>1817</v>
      </c>
      <c r="Q1237" t="s">
        <v>1631</v>
      </c>
      <c r="R1237" t="s">
        <v>3190</v>
      </c>
      <c r="T1237" t="s">
        <v>1817</v>
      </c>
    </row>
    <row r="1238" ht="25.5" customHeight="1" spans="1:20">
      <c r="A1238" t="s">
        <v>2470</v>
      </c>
      <c r="B1238" t="s">
        <v>1816</v>
      </c>
      <c r="C1238" t="s">
        <v>3983</v>
      </c>
      <c r="D1238" s="3"/>
      <c r="E1238" s="2">
        <v>45670</v>
      </c>
      <c r="F1238">
        <v>31800</v>
      </c>
      <c r="G1238">
        <v>23900</v>
      </c>
      <c r="H1238">
        <v>77</v>
      </c>
      <c r="I1238">
        <v>42</v>
      </c>
      <c r="J1238">
        <v>82</v>
      </c>
      <c r="K1238">
        <v>17</v>
      </c>
      <c r="L1238" t="s">
        <v>3138</v>
      </c>
      <c r="M1238" t="s">
        <v>3378</v>
      </c>
      <c r="N1238" t="s">
        <v>1630</v>
      </c>
      <c r="O1238" s="4">
        <v>45672.5030092593</v>
      </c>
      <c r="P1238" t="s">
        <v>1817</v>
      </c>
      <c r="Q1238" t="s">
        <v>1631</v>
      </c>
      <c r="R1238" t="s">
        <v>3333</v>
      </c>
      <c r="T1238" t="s">
        <v>1817</v>
      </c>
    </row>
    <row r="1239" ht="25.5" customHeight="1" spans="1:20">
      <c r="A1239" t="s">
        <v>2470</v>
      </c>
      <c r="B1239" t="s">
        <v>1816</v>
      </c>
      <c r="C1239" t="s">
        <v>3983</v>
      </c>
      <c r="D1239" s="3"/>
      <c r="E1239" s="2">
        <v>45671</v>
      </c>
      <c r="F1239">
        <v>31800</v>
      </c>
      <c r="G1239">
        <v>24000</v>
      </c>
      <c r="H1239">
        <v>77</v>
      </c>
      <c r="I1239">
        <v>42</v>
      </c>
      <c r="J1239">
        <v>82</v>
      </c>
      <c r="K1239">
        <v>17</v>
      </c>
      <c r="L1239" t="s">
        <v>3138</v>
      </c>
      <c r="M1239" t="s">
        <v>3378</v>
      </c>
      <c r="N1239" t="s">
        <v>1630</v>
      </c>
      <c r="O1239" s="4">
        <v>45672.5030092593</v>
      </c>
      <c r="P1239" t="s">
        <v>1817</v>
      </c>
      <c r="Q1239" t="s">
        <v>1631</v>
      </c>
      <c r="R1239" t="s">
        <v>3333</v>
      </c>
      <c r="T1239" t="s">
        <v>1817</v>
      </c>
    </row>
    <row r="1240" ht="25.5" customHeight="1" spans="1:20">
      <c r="A1240" t="s">
        <v>2470</v>
      </c>
      <c r="B1240" t="s">
        <v>1816</v>
      </c>
      <c r="C1240" t="s">
        <v>3983</v>
      </c>
      <c r="D1240" s="3"/>
      <c r="E1240" s="2">
        <v>45672</v>
      </c>
      <c r="F1240">
        <v>31900</v>
      </c>
      <c r="G1240">
        <v>24000</v>
      </c>
      <c r="H1240">
        <v>77</v>
      </c>
      <c r="I1240">
        <v>42</v>
      </c>
      <c r="J1240">
        <v>81</v>
      </c>
      <c r="K1240">
        <v>17</v>
      </c>
      <c r="L1240" t="s">
        <v>3138</v>
      </c>
      <c r="M1240" t="s">
        <v>3378</v>
      </c>
      <c r="N1240" t="s">
        <v>1630</v>
      </c>
      <c r="O1240" s="4">
        <v>45672.7146990741</v>
      </c>
      <c r="P1240" t="s">
        <v>1817</v>
      </c>
      <c r="Q1240" t="s">
        <v>1631</v>
      </c>
      <c r="R1240" t="s">
        <v>3984</v>
      </c>
      <c r="T1240" t="s">
        <v>1817</v>
      </c>
    </row>
    <row r="1241" ht="25.5" customHeight="1" spans="1:20">
      <c r="A1241" t="s">
        <v>2470</v>
      </c>
      <c r="B1241" t="s">
        <v>1816</v>
      </c>
      <c r="C1241" t="s">
        <v>3983</v>
      </c>
      <c r="D1241" s="3"/>
      <c r="E1241" s="2">
        <v>45673</v>
      </c>
      <c r="F1241">
        <v>32000</v>
      </c>
      <c r="G1241">
        <v>24000</v>
      </c>
      <c r="H1241">
        <v>77</v>
      </c>
      <c r="I1241">
        <v>42</v>
      </c>
      <c r="J1241">
        <v>81</v>
      </c>
      <c r="K1241">
        <v>17</v>
      </c>
      <c r="L1241" t="s">
        <v>3138</v>
      </c>
      <c r="M1241" t="s">
        <v>3378</v>
      </c>
      <c r="N1241" t="s">
        <v>1630</v>
      </c>
      <c r="O1241" s="4">
        <v>45673.6283449074</v>
      </c>
      <c r="P1241" t="s">
        <v>1817</v>
      </c>
      <c r="Q1241" t="s">
        <v>1631</v>
      </c>
      <c r="R1241" t="s">
        <v>3984</v>
      </c>
      <c r="T1241" t="s">
        <v>1817</v>
      </c>
    </row>
    <row r="1242" ht="25.5" customHeight="1" spans="1:20">
      <c r="A1242" t="s">
        <v>2470</v>
      </c>
      <c r="B1242" t="s">
        <v>1816</v>
      </c>
      <c r="C1242" t="s">
        <v>3983</v>
      </c>
      <c r="D1242" s="3"/>
      <c r="E1242" s="2">
        <v>45674</v>
      </c>
      <c r="F1242">
        <v>31900</v>
      </c>
      <c r="G1242">
        <v>24000</v>
      </c>
      <c r="H1242">
        <v>77</v>
      </c>
      <c r="I1242">
        <v>42</v>
      </c>
      <c r="J1242">
        <v>81</v>
      </c>
      <c r="K1242">
        <v>17</v>
      </c>
      <c r="L1242" t="s">
        <v>3138</v>
      </c>
      <c r="M1242" t="s">
        <v>3378</v>
      </c>
      <c r="N1242" t="s">
        <v>1630</v>
      </c>
      <c r="O1242" s="4">
        <v>45674.682974537</v>
      </c>
      <c r="P1242" t="s">
        <v>1817</v>
      </c>
      <c r="Q1242" t="s">
        <v>1631</v>
      </c>
      <c r="R1242" t="s">
        <v>3984</v>
      </c>
      <c r="T1242" t="s">
        <v>1817</v>
      </c>
    </row>
    <row r="1243" ht="25.5" customHeight="1" spans="1:20">
      <c r="A1243" t="s">
        <v>2470</v>
      </c>
      <c r="B1243" t="s">
        <v>1816</v>
      </c>
      <c r="C1243" t="s">
        <v>3983</v>
      </c>
      <c r="D1243" s="3"/>
      <c r="E1243" s="2">
        <v>45677</v>
      </c>
      <c r="F1243">
        <v>32000</v>
      </c>
      <c r="G1243">
        <v>24000</v>
      </c>
      <c r="H1243">
        <v>77</v>
      </c>
      <c r="I1243">
        <v>42</v>
      </c>
      <c r="J1243">
        <v>81</v>
      </c>
      <c r="K1243">
        <v>16</v>
      </c>
      <c r="L1243" t="s">
        <v>3138</v>
      </c>
      <c r="M1243" t="s">
        <v>3378</v>
      </c>
      <c r="N1243" t="s">
        <v>1630</v>
      </c>
      <c r="O1243" s="4">
        <v>45677.4419907407</v>
      </c>
      <c r="P1243" t="s">
        <v>1817</v>
      </c>
      <c r="Q1243" t="s">
        <v>1631</v>
      </c>
      <c r="R1243" t="s">
        <v>3320</v>
      </c>
      <c r="T1243" t="s">
        <v>1817</v>
      </c>
    </row>
    <row r="1244" ht="25.5" customHeight="1" spans="1:20">
      <c r="A1244" t="s">
        <v>2470</v>
      </c>
      <c r="B1244" t="s">
        <v>1816</v>
      </c>
      <c r="C1244" t="s">
        <v>3983</v>
      </c>
      <c r="D1244" s="3"/>
      <c r="E1244" s="2">
        <v>45678</v>
      </c>
      <c r="F1244">
        <v>32100</v>
      </c>
      <c r="G1244">
        <v>24000</v>
      </c>
      <c r="H1244">
        <v>77</v>
      </c>
      <c r="I1244">
        <v>42</v>
      </c>
      <c r="J1244">
        <v>81</v>
      </c>
      <c r="K1244">
        <v>16</v>
      </c>
      <c r="L1244" t="s">
        <v>3138</v>
      </c>
      <c r="M1244" t="s">
        <v>3378</v>
      </c>
      <c r="N1244" t="s">
        <v>1630</v>
      </c>
      <c r="O1244" s="4">
        <v>45678.6675115741</v>
      </c>
      <c r="P1244" t="s">
        <v>1817</v>
      </c>
      <c r="Q1244" t="s">
        <v>1631</v>
      </c>
      <c r="R1244" t="s">
        <v>3320</v>
      </c>
      <c r="T1244" t="s">
        <v>1817</v>
      </c>
    </row>
    <row r="1245" ht="25.5" customHeight="1" spans="1:20">
      <c r="A1245" t="s">
        <v>2470</v>
      </c>
      <c r="B1245" t="s">
        <v>1816</v>
      </c>
      <c r="C1245" t="s">
        <v>3983</v>
      </c>
      <c r="D1245" s="3"/>
      <c r="E1245" s="2">
        <v>45679</v>
      </c>
      <c r="F1245">
        <v>32100</v>
      </c>
      <c r="G1245">
        <v>24000</v>
      </c>
      <c r="H1245">
        <v>77</v>
      </c>
      <c r="I1245">
        <v>42</v>
      </c>
      <c r="J1245">
        <v>81</v>
      </c>
      <c r="K1245">
        <v>17</v>
      </c>
      <c r="L1245" t="s">
        <v>3138</v>
      </c>
      <c r="M1245" t="s">
        <v>3378</v>
      </c>
      <c r="N1245" t="s">
        <v>1630</v>
      </c>
      <c r="O1245" s="4">
        <v>45679.6528125</v>
      </c>
      <c r="P1245" t="s">
        <v>1817</v>
      </c>
      <c r="Q1245" t="s">
        <v>1631</v>
      </c>
      <c r="R1245" t="s">
        <v>3984</v>
      </c>
      <c r="T1245" t="s">
        <v>1817</v>
      </c>
    </row>
    <row r="1246" ht="25.5" customHeight="1" spans="1:20">
      <c r="A1246" t="s">
        <v>2470</v>
      </c>
      <c r="B1246" t="s">
        <v>1816</v>
      </c>
      <c r="C1246" t="s">
        <v>3983</v>
      </c>
      <c r="D1246" s="3"/>
      <c r="E1246" s="2">
        <v>45680</v>
      </c>
      <c r="F1246">
        <v>31800</v>
      </c>
      <c r="G1246">
        <v>24000</v>
      </c>
      <c r="H1246">
        <v>77</v>
      </c>
      <c r="I1246">
        <v>42</v>
      </c>
      <c r="J1246">
        <v>81</v>
      </c>
      <c r="K1246">
        <v>17</v>
      </c>
      <c r="L1246" t="s">
        <v>3138</v>
      </c>
      <c r="M1246" t="s">
        <v>3378</v>
      </c>
      <c r="N1246" t="s">
        <v>1630</v>
      </c>
      <c r="O1246" s="4">
        <v>45680.6681944444</v>
      </c>
      <c r="P1246" t="s">
        <v>1817</v>
      </c>
      <c r="Q1246" t="s">
        <v>1631</v>
      </c>
      <c r="R1246" t="s">
        <v>3984</v>
      </c>
      <c r="T1246" t="s">
        <v>1817</v>
      </c>
    </row>
    <row r="1247" ht="25.5" customHeight="1" spans="1:20">
      <c r="A1247" t="s">
        <v>2470</v>
      </c>
      <c r="B1247" t="s">
        <v>1816</v>
      </c>
      <c r="C1247" t="s">
        <v>3983</v>
      </c>
      <c r="D1247" s="3"/>
      <c r="E1247" s="2">
        <v>45681</v>
      </c>
      <c r="F1247">
        <v>32000</v>
      </c>
      <c r="G1247">
        <v>24000</v>
      </c>
      <c r="H1247">
        <v>77</v>
      </c>
      <c r="I1247">
        <v>42</v>
      </c>
      <c r="J1247">
        <v>81</v>
      </c>
      <c r="K1247">
        <v>17</v>
      </c>
      <c r="L1247" t="s">
        <v>3138</v>
      </c>
      <c r="M1247" t="s">
        <v>3378</v>
      </c>
      <c r="N1247" t="s">
        <v>1630</v>
      </c>
      <c r="O1247" s="4">
        <v>45681.6528240741</v>
      </c>
      <c r="P1247" t="s">
        <v>1817</v>
      </c>
      <c r="Q1247" t="s">
        <v>1631</v>
      </c>
      <c r="R1247" t="s">
        <v>3984</v>
      </c>
      <c r="T1247" t="s">
        <v>1817</v>
      </c>
    </row>
    <row r="1248" ht="25.5" customHeight="1" spans="1:20">
      <c r="A1248" t="s">
        <v>2470</v>
      </c>
      <c r="B1248" t="s">
        <v>1816</v>
      </c>
      <c r="C1248" t="s">
        <v>3983</v>
      </c>
      <c r="D1248" s="3"/>
      <c r="E1248" s="2">
        <v>45683</v>
      </c>
      <c r="F1248">
        <v>31800</v>
      </c>
      <c r="G1248">
        <v>24000</v>
      </c>
      <c r="H1248">
        <v>77</v>
      </c>
      <c r="I1248">
        <v>42</v>
      </c>
      <c r="J1248">
        <v>81</v>
      </c>
      <c r="K1248">
        <v>17</v>
      </c>
      <c r="L1248" t="s">
        <v>3138</v>
      </c>
      <c r="M1248" t="s">
        <v>3378</v>
      </c>
      <c r="N1248" t="s">
        <v>1630</v>
      </c>
      <c r="O1248" s="4">
        <v>45683.7947337963</v>
      </c>
      <c r="P1248" t="s">
        <v>1817</v>
      </c>
      <c r="Q1248" t="s">
        <v>1631</v>
      </c>
      <c r="R1248" t="s">
        <v>3984</v>
      </c>
      <c r="T1248" t="s">
        <v>1817</v>
      </c>
    </row>
    <row r="1249" ht="25.5" customHeight="1" spans="1:20">
      <c r="A1249" t="s">
        <v>2470</v>
      </c>
      <c r="B1249" t="s">
        <v>1816</v>
      </c>
      <c r="C1249" t="s">
        <v>3983</v>
      </c>
      <c r="D1249" s="3"/>
      <c r="E1249" s="2">
        <v>45684</v>
      </c>
      <c r="F1249">
        <v>31800</v>
      </c>
      <c r="G1249">
        <v>24000</v>
      </c>
      <c r="H1249">
        <v>77</v>
      </c>
      <c r="I1249">
        <v>42</v>
      </c>
      <c r="J1249">
        <v>80</v>
      </c>
      <c r="K1249">
        <v>17</v>
      </c>
      <c r="L1249" t="s">
        <v>3138</v>
      </c>
      <c r="M1249" t="s">
        <v>3378</v>
      </c>
      <c r="N1249" t="s">
        <v>1630</v>
      </c>
      <c r="O1249" s="4">
        <v>45684.7535648148</v>
      </c>
      <c r="P1249" t="s">
        <v>1817</v>
      </c>
      <c r="Q1249" t="s">
        <v>1631</v>
      </c>
      <c r="R1249" t="s">
        <v>3320</v>
      </c>
      <c r="T1249" t="s">
        <v>1817</v>
      </c>
    </row>
    <row r="1250" ht="25.5" customHeight="1" spans="1:20">
      <c r="A1250" t="s">
        <v>2470</v>
      </c>
      <c r="B1250" t="s">
        <v>1816</v>
      </c>
      <c r="C1250" t="s">
        <v>3983</v>
      </c>
      <c r="D1250" s="3"/>
      <c r="E1250" s="2">
        <v>45693</v>
      </c>
      <c r="F1250">
        <v>32000</v>
      </c>
      <c r="G1250">
        <v>24000</v>
      </c>
      <c r="H1250">
        <v>76</v>
      </c>
      <c r="I1250">
        <v>42</v>
      </c>
      <c r="J1250">
        <v>81</v>
      </c>
      <c r="K1250">
        <v>17</v>
      </c>
      <c r="L1250" t="s">
        <v>3138</v>
      </c>
      <c r="M1250" t="s">
        <v>3378</v>
      </c>
      <c r="N1250" t="s">
        <v>1630</v>
      </c>
      <c r="O1250" s="4">
        <v>45693.8371875</v>
      </c>
      <c r="P1250" t="s">
        <v>1817</v>
      </c>
      <c r="Q1250" t="s">
        <v>1631</v>
      </c>
      <c r="R1250" t="s">
        <v>3320</v>
      </c>
      <c r="T1250" t="s">
        <v>1817</v>
      </c>
    </row>
    <row r="1251" ht="25.5" customHeight="1" spans="1:20">
      <c r="A1251" t="s">
        <v>2470</v>
      </c>
      <c r="B1251" t="s">
        <v>1816</v>
      </c>
      <c r="C1251" t="s">
        <v>3983</v>
      </c>
      <c r="D1251" s="3"/>
      <c r="E1251" s="2">
        <v>45694</v>
      </c>
      <c r="F1251">
        <v>31900</v>
      </c>
      <c r="G1251">
        <v>24000</v>
      </c>
      <c r="H1251">
        <v>76</v>
      </c>
      <c r="I1251">
        <v>42</v>
      </c>
      <c r="J1251">
        <v>81</v>
      </c>
      <c r="K1251">
        <v>17</v>
      </c>
      <c r="L1251" t="s">
        <v>3138</v>
      </c>
      <c r="M1251" t="s">
        <v>3378</v>
      </c>
      <c r="N1251" t="s">
        <v>1630</v>
      </c>
      <c r="O1251" s="4">
        <v>45698.6216782407</v>
      </c>
      <c r="P1251" t="s">
        <v>1817</v>
      </c>
      <c r="Q1251" t="s">
        <v>1631</v>
      </c>
      <c r="R1251" t="s">
        <v>3320</v>
      </c>
      <c r="S1251" t="s">
        <v>3180</v>
      </c>
      <c r="T1251" t="s">
        <v>1817</v>
      </c>
    </row>
    <row r="1252" ht="25.5" customHeight="1" spans="1:20">
      <c r="A1252" t="s">
        <v>3066</v>
      </c>
      <c r="B1252" t="s">
        <v>56</v>
      </c>
      <c r="D1252" s="3"/>
      <c r="E1252" s="2"/>
      <c r="M1252" t="s">
        <v>3662</v>
      </c>
      <c r="N1252" t="s">
        <v>1645</v>
      </c>
      <c r="O1252" s="4">
        <v>45670.743587963</v>
      </c>
      <c r="P1252" t="s">
        <v>57</v>
      </c>
      <c r="R1252" t="s">
        <v>3133</v>
      </c>
      <c r="T1252" t="s">
        <v>57</v>
      </c>
    </row>
    <row r="1253" ht="25.5" customHeight="1" spans="1:20">
      <c r="A1253" t="s">
        <v>3108</v>
      </c>
      <c r="B1253" t="s">
        <v>65</v>
      </c>
      <c r="C1253" t="s">
        <v>3985</v>
      </c>
      <c r="D1253" s="3" t="str">
        <f>HYPERLINK("https://www.instagram.com/nowistech_/reels/","https://www.instagram.com/nowistech_/reels/")</f>
        <v>https://www.instagram.com/nowistech_/reels/</v>
      </c>
      <c r="E1253" s="2">
        <v>45668</v>
      </c>
      <c r="F1253">
        <v>32900</v>
      </c>
      <c r="G1253">
        <v>3399</v>
      </c>
      <c r="H1253">
        <v>23</v>
      </c>
      <c r="I1253">
        <v>2</v>
      </c>
      <c r="L1253" t="s">
        <v>3138</v>
      </c>
      <c r="N1253" t="s">
        <v>1630</v>
      </c>
      <c r="O1253" s="4">
        <v>45670.7765393518</v>
      </c>
      <c r="P1253" t="s">
        <v>116</v>
      </c>
      <c r="Q1253" t="s">
        <v>1779</v>
      </c>
      <c r="R1253" t="s">
        <v>3557</v>
      </c>
      <c r="T1253" t="s">
        <v>116</v>
      </c>
    </row>
    <row r="1254" ht="25.5" customHeight="1" spans="1:20">
      <c r="A1254" t="s">
        <v>3108</v>
      </c>
      <c r="B1254" t="s">
        <v>65</v>
      </c>
      <c r="C1254" t="s">
        <v>3985</v>
      </c>
      <c r="D1254" s="3"/>
      <c r="E1254" s="2">
        <v>45671</v>
      </c>
      <c r="F1254">
        <v>32900</v>
      </c>
      <c r="G1254">
        <v>3469</v>
      </c>
      <c r="H1254">
        <v>23</v>
      </c>
      <c r="I1254">
        <v>2</v>
      </c>
      <c r="L1254" t="s">
        <v>3138</v>
      </c>
      <c r="N1254" t="s">
        <v>1630</v>
      </c>
      <c r="O1254" s="4">
        <v>45672.5030092593</v>
      </c>
      <c r="P1254" t="s">
        <v>116</v>
      </c>
      <c r="Q1254" t="s">
        <v>1779</v>
      </c>
      <c r="R1254" t="s">
        <v>3557</v>
      </c>
      <c r="T1254" t="s">
        <v>116</v>
      </c>
    </row>
    <row r="1255" ht="25.5" customHeight="1" spans="1:20">
      <c r="A1255" t="s">
        <v>3108</v>
      </c>
      <c r="B1255" t="s">
        <v>65</v>
      </c>
      <c r="C1255" t="s">
        <v>3985</v>
      </c>
      <c r="D1255" s="3"/>
      <c r="E1255" s="2">
        <v>45672</v>
      </c>
      <c r="F1255">
        <v>32900</v>
      </c>
      <c r="G1255">
        <v>3503</v>
      </c>
      <c r="H1255">
        <v>23</v>
      </c>
      <c r="I1255">
        <v>2</v>
      </c>
      <c r="L1255" t="s">
        <v>3138</v>
      </c>
      <c r="N1255" t="s">
        <v>1630</v>
      </c>
      <c r="O1255" s="4">
        <v>45672.5083333333</v>
      </c>
      <c r="P1255" t="s">
        <v>116</v>
      </c>
      <c r="Q1255" t="s">
        <v>1779</v>
      </c>
      <c r="R1255" t="s">
        <v>3557</v>
      </c>
      <c r="T1255" t="s">
        <v>116</v>
      </c>
    </row>
    <row r="1256" ht="25.5" customHeight="1" spans="1:20">
      <c r="A1256" t="s">
        <v>3108</v>
      </c>
      <c r="B1256" t="s">
        <v>65</v>
      </c>
      <c r="C1256" t="s">
        <v>3985</v>
      </c>
      <c r="D1256" s="3"/>
      <c r="E1256" s="2">
        <v>45673</v>
      </c>
      <c r="F1256">
        <v>33000</v>
      </c>
      <c r="G1256">
        <v>3538</v>
      </c>
      <c r="H1256">
        <v>25</v>
      </c>
      <c r="I1256">
        <v>2</v>
      </c>
      <c r="L1256" t="s">
        <v>3138</v>
      </c>
      <c r="N1256" t="s">
        <v>1630</v>
      </c>
      <c r="O1256" s="4">
        <v>45673.4901736111</v>
      </c>
      <c r="P1256" t="s">
        <v>116</v>
      </c>
      <c r="Q1256" t="s">
        <v>1779</v>
      </c>
      <c r="R1256" t="s">
        <v>3699</v>
      </c>
      <c r="T1256" t="s">
        <v>116</v>
      </c>
    </row>
    <row r="1257" ht="25.5" customHeight="1" spans="1:20">
      <c r="A1257" t="s">
        <v>3108</v>
      </c>
      <c r="B1257" t="s">
        <v>65</v>
      </c>
      <c r="C1257" t="s">
        <v>3985</v>
      </c>
      <c r="D1257" s="3"/>
      <c r="E1257" s="2">
        <v>45674</v>
      </c>
      <c r="F1257">
        <v>33000</v>
      </c>
      <c r="G1257">
        <v>3563</v>
      </c>
      <c r="H1257">
        <v>27</v>
      </c>
      <c r="I1257">
        <v>2</v>
      </c>
      <c r="L1257" t="s">
        <v>3138</v>
      </c>
      <c r="N1257" t="s">
        <v>1630</v>
      </c>
      <c r="O1257" s="4">
        <v>45674.6272916667</v>
      </c>
      <c r="P1257" t="s">
        <v>116</v>
      </c>
      <c r="Q1257" t="s">
        <v>1779</v>
      </c>
      <c r="R1257" t="s">
        <v>3986</v>
      </c>
      <c r="T1257" t="s">
        <v>116</v>
      </c>
    </row>
    <row r="1258" ht="25.5" customHeight="1" spans="1:20">
      <c r="A1258" t="s">
        <v>3108</v>
      </c>
      <c r="B1258" t="s">
        <v>65</v>
      </c>
      <c r="C1258" t="s">
        <v>3985</v>
      </c>
      <c r="D1258" s="3"/>
      <c r="E1258" s="2">
        <v>45677</v>
      </c>
      <c r="F1258">
        <v>33000</v>
      </c>
      <c r="G1258">
        <v>3640</v>
      </c>
      <c r="H1258">
        <v>28</v>
      </c>
      <c r="I1258">
        <v>2</v>
      </c>
      <c r="L1258" t="s">
        <v>3138</v>
      </c>
      <c r="N1258" t="s">
        <v>1630</v>
      </c>
      <c r="O1258" s="4">
        <v>45677.4060300926</v>
      </c>
      <c r="P1258" t="s">
        <v>116</v>
      </c>
      <c r="Q1258" t="s">
        <v>1779</v>
      </c>
      <c r="R1258" t="s">
        <v>3987</v>
      </c>
      <c r="T1258" t="s">
        <v>116</v>
      </c>
    </row>
    <row r="1259" ht="25.5" customHeight="1" spans="1:20">
      <c r="A1259" t="s">
        <v>3108</v>
      </c>
      <c r="B1259" t="s">
        <v>65</v>
      </c>
      <c r="C1259" t="s">
        <v>3985</v>
      </c>
      <c r="D1259" s="3"/>
      <c r="E1259" s="2">
        <v>45678</v>
      </c>
      <c r="F1259">
        <v>33000</v>
      </c>
      <c r="G1259">
        <v>3656</v>
      </c>
      <c r="H1259">
        <v>28</v>
      </c>
      <c r="I1259">
        <v>2</v>
      </c>
      <c r="L1259" t="s">
        <v>3138</v>
      </c>
      <c r="N1259" t="s">
        <v>1630</v>
      </c>
      <c r="O1259" s="4">
        <v>45678.5057523148</v>
      </c>
      <c r="P1259" t="s">
        <v>116</v>
      </c>
      <c r="Q1259" t="s">
        <v>1779</v>
      </c>
      <c r="R1259" t="s">
        <v>3987</v>
      </c>
      <c r="T1259" t="s">
        <v>116</v>
      </c>
    </row>
    <row r="1260" ht="25.5" customHeight="1" spans="1:20">
      <c r="A1260" t="s">
        <v>3108</v>
      </c>
      <c r="B1260" t="s">
        <v>65</v>
      </c>
      <c r="C1260" t="s">
        <v>3985</v>
      </c>
      <c r="D1260" s="3"/>
      <c r="E1260" s="2">
        <v>45679</v>
      </c>
      <c r="F1260">
        <v>33100</v>
      </c>
      <c r="G1260">
        <v>3670</v>
      </c>
      <c r="H1260">
        <v>28</v>
      </c>
      <c r="I1260">
        <v>2</v>
      </c>
      <c r="L1260" t="s">
        <v>3138</v>
      </c>
      <c r="N1260" t="s">
        <v>1630</v>
      </c>
      <c r="O1260" s="4">
        <v>45679.6637731481</v>
      </c>
      <c r="P1260" t="s">
        <v>116</v>
      </c>
      <c r="Q1260" t="s">
        <v>1779</v>
      </c>
      <c r="R1260" t="s">
        <v>3987</v>
      </c>
      <c r="T1260" t="s">
        <v>116</v>
      </c>
    </row>
    <row r="1261" ht="25.5" customHeight="1" spans="1:20">
      <c r="A1261" t="s">
        <v>3108</v>
      </c>
      <c r="B1261" t="s">
        <v>65</v>
      </c>
      <c r="C1261" t="s">
        <v>3985</v>
      </c>
      <c r="D1261" s="3"/>
      <c r="E1261" s="2">
        <v>45680</v>
      </c>
      <c r="F1261">
        <v>33100</v>
      </c>
      <c r="G1261">
        <v>3692</v>
      </c>
      <c r="H1261">
        <v>28</v>
      </c>
      <c r="I1261">
        <v>2</v>
      </c>
      <c r="L1261" t="s">
        <v>3138</v>
      </c>
      <c r="N1261" t="s">
        <v>1630</v>
      </c>
      <c r="O1261" s="4">
        <v>45680.5134259259</v>
      </c>
      <c r="P1261" t="s">
        <v>116</v>
      </c>
      <c r="Q1261" t="s">
        <v>1779</v>
      </c>
      <c r="R1261" t="s">
        <v>3987</v>
      </c>
      <c r="T1261" t="s">
        <v>116</v>
      </c>
    </row>
    <row r="1262" ht="25.5" customHeight="1" spans="1:20">
      <c r="A1262" t="s">
        <v>3108</v>
      </c>
      <c r="B1262" t="s">
        <v>65</v>
      </c>
      <c r="C1262" t="s">
        <v>3985</v>
      </c>
      <c r="D1262" s="3"/>
      <c r="E1262" s="2">
        <v>45681</v>
      </c>
      <c r="F1262">
        <v>33100</v>
      </c>
      <c r="G1262">
        <v>3705</v>
      </c>
      <c r="H1262">
        <v>29</v>
      </c>
      <c r="I1262">
        <v>2</v>
      </c>
      <c r="L1262" t="s">
        <v>3138</v>
      </c>
      <c r="N1262" t="s">
        <v>1630</v>
      </c>
      <c r="O1262" s="4">
        <v>45681.4925115741</v>
      </c>
      <c r="P1262" t="s">
        <v>116</v>
      </c>
      <c r="Q1262" t="s">
        <v>1779</v>
      </c>
      <c r="R1262" t="s">
        <v>3788</v>
      </c>
      <c r="T1262" t="s">
        <v>116</v>
      </c>
    </row>
    <row r="1263" ht="25.5" customHeight="1" spans="1:20">
      <c r="A1263" t="s">
        <v>3108</v>
      </c>
      <c r="B1263" t="s">
        <v>65</v>
      </c>
      <c r="C1263" t="s">
        <v>3985</v>
      </c>
      <c r="D1263" s="3"/>
      <c r="E1263" s="2">
        <v>45683</v>
      </c>
      <c r="F1263">
        <v>33600</v>
      </c>
      <c r="G1263">
        <v>3738</v>
      </c>
      <c r="H1263">
        <v>29</v>
      </c>
      <c r="I1263">
        <v>2</v>
      </c>
      <c r="L1263" t="s">
        <v>3138</v>
      </c>
      <c r="N1263" t="s">
        <v>1630</v>
      </c>
      <c r="O1263" s="4">
        <v>45683.7229166667</v>
      </c>
      <c r="P1263" t="s">
        <v>116</v>
      </c>
      <c r="Q1263" t="s">
        <v>1779</v>
      </c>
      <c r="R1263" t="s">
        <v>3788</v>
      </c>
      <c r="T1263" t="s">
        <v>116</v>
      </c>
    </row>
    <row r="1264" ht="25.5" customHeight="1" spans="1:20">
      <c r="A1264" t="s">
        <v>3108</v>
      </c>
      <c r="B1264" t="s">
        <v>65</v>
      </c>
      <c r="C1264" t="s">
        <v>3985</v>
      </c>
      <c r="D1264" s="3"/>
      <c r="E1264" s="2">
        <v>45684</v>
      </c>
      <c r="F1264">
        <v>34000</v>
      </c>
      <c r="G1264">
        <v>3763</v>
      </c>
      <c r="H1264">
        <v>30</v>
      </c>
      <c r="I1264">
        <v>2</v>
      </c>
      <c r="L1264" t="s">
        <v>3138</v>
      </c>
      <c r="N1264" t="s">
        <v>1630</v>
      </c>
      <c r="O1264" s="4">
        <v>45684.7784375</v>
      </c>
      <c r="P1264" t="s">
        <v>116</v>
      </c>
      <c r="Q1264" t="s">
        <v>1779</v>
      </c>
      <c r="R1264" t="s">
        <v>3844</v>
      </c>
      <c r="T1264" t="s">
        <v>116</v>
      </c>
    </row>
    <row r="1265" ht="25.5" customHeight="1" spans="1:20">
      <c r="A1265" t="s">
        <v>3108</v>
      </c>
      <c r="B1265" t="s">
        <v>65</v>
      </c>
      <c r="C1265" t="s">
        <v>3985</v>
      </c>
      <c r="D1265" s="3"/>
      <c r="E1265" s="2">
        <v>45693</v>
      </c>
      <c r="F1265">
        <v>34000</v>
      </c>
      <c r="G1265">
        <v>3859</v>
      </c>
      <c r="H1265">
        <v>32</v>
      </c>
      <c r="I1265">
        <v>2</v>
      </c>
      <c r="L1265" t="s">
        <v>3138</v>
      </c>
      <c r="N1265" t="s">
        <v>1630</v>
      </c>
      <c r="O1265" s="4">
        <v>45693.7778472222</v>
      </c>
      <c r="P1265" t="s">
        <v>116</v>
      </c>
      <c r="Q1265" t="s">
        <v>1779</v>
      </c>
      <c r="R1265" t="s">
        <v>3939</v>
      </c>
      <c r="T1265" t="s">
        <v>116</v>
      </c>
    </row>
    <row r="1266" ht="25.5" customHeight="1" spans="1:20">
      <c r="A1266" t="s">
        <v>3108</v>
      </c>
      <c r="B1266" t="s">
        <v>65</v>
      </c>
      <c r="C1266" t="s">
        <v>3985</v>
      </c>
      <c r="D1266" s="3"/>
      <c r="E1266" s="2">
        <v>45694</v>
      </c>
      <c r="F1266">
        <v>34800</v>
      </c>
      <c r="G1266">
        <v>3866</v>
      </c>
      <c r="H1266">
        <v>32</v>
      </c>
      <c r="I1266">
        <v>2</v>
      </c>
      <c r="L1266" t="s">
        <v>3138</v>
      </c>
      <c r="N1266" t="s">
        <v>1630</v>
      </c>
      <c r="O1266" s="4">
        <v>45698.6216782407</v>
      </c>
      <c r="P1266" t="s">
        <v>116</v>
      </c>
      <c r="Q1266" t="s">
        <v>1779</v>
      </c>
      <c r="R1266" t="s">
        <v>3939</v>
      </c>
      <c r="S1266" t="s">
        <v>3180</v>
      </c>
      <c r="T1266" t="s">
        <v>116</v>
      </c>
    </row>
    <row r="1267" ht="25.5" customHeight="1" spans="1:20">
      <c r="A1267" t="s">
        <v>3108</v>
      </c>
      <c r="B1267" t="s">
        <v>65</v>
      </c>
      <c r="C1267" t="s">
        <v>3985</v>
      </c>
      <c r="D1267" s="3"/>
      <c r="E1267" s="2">
        <v>45695</v>
      </c>
      <c r="F1267">
        <v>34800</v>
      </c>
      <c r="G1267">
        <v>3871</v>
      </c>
      <c r="H1267">
        <v>32</v>
      </c>
      <c r="I1267">
        <v>2</v>
      </c>
      <c r="L1267" t="s">
        <v>3138</v>
      </c>
      <c r="N1267" t="s">
        <v>1630</v>
      </c>
      <c r="O1267" s="4">
        <v>45695.4881712963</v>
      </c>
      <c r="P1267" t="s">
        <v>116</v>
      </c>
      <c r="Q1267" t="s">
        <v>1779</v>
      </c>
      <c r="R1267" t="s">
        <v>3939</v>
      </c>
      <c r="T1267" t="s">
        <v>116</v>
      </c>
    </row>
    <row r="1268" ht="25.5" customHeight="1" spans="1:20">
      <c r="A1268" t="s">
        <v>1902</v>
      </c>
      <c r="B1268" t="s">
        <v>56</v>
      </c>
      <c r="C1268" t="s">
        <v>3988</v>
      </c>
      <c r="D1268" s="3" t="str">
        <f>HYPERLINK("https://www.tiktok.com/@nowistech","https://www.tiktok.com/@nowistech")</f>
        <v>https://www.tiktok.com/@nowistech</v>
      </c>
      <c r="E1268" s="2">
        <v>45668</v>
      </c>
      <c r="F1268">
        <v>746500</v>
      </c>
      <c r="G1268">
        <v>42800</v>
      </c>
      <c r="H1268">
        <v>2511</v>
      </c>
      <c r="I1268">
        <v>10</v>
      </c>
      <c r="J1268">
        <v>203</v>
      </c>
      <c r="K1268">
        <v>65</v>
      </c>
      <c r="L1268" t="s">
        <v>3258</v>
      </c>
      <c r="M1268" t="s">
        <v>3811</v>
      </c>
      <c r="N1268" t="s">
        <v>1630</v>
      </c>
      <c r="O1268" s="4">
        <v>45670.8635763889</v>
      </c>
      <c r="P1268" t="s">
        <v>57</v>
      </c>
      <c r="Q1268" t="s">
        <v>1779</v>
      </c>
      <c r="R1268" t="s">
        <v>3989</v>
      </c>
      <c r="T1268" t="s">
        <v>57</v>
      </c>
    </row>
    <row r="1269" ht="25.5" customHeight="1" spans="1:20">
      <c r="A1269" t="s">
        <v>1902</v>
      </c>
      <c r="B1269" t="s">
        <v>56</v>
      </c>
      <c r="C1269" t="s">
        <v>3988</v>
      </c>
      <c r="D1269" s="3"/>
      <c r="E1269" s="2">
        <v>45671</v>
      </c>
      <c r="F1269">
        <v>747000</v>
      </c>
      <c r="G1269">
        <v>50700</v>
      </c>
      <c r="H1269">
        <v>3145</v>
      </c>
      <c r="I1269">
        <v>15</v>
      </c>
      <c r="J1269">
        <v>277</v>
      </c>
      <c r="K1269">
        <v>89</v>
      </c>
      <c r="L1269" t="s">
        <v>3258</v>
      </c>
      <c r="M1269" t="s">
        <v>3811</v>
      </c>
      <c r="N1269" t="s">
        <v>1630</v>
      </c>
      <c r="O1269" s="4">
        <v>45672.5030092593</v>
      </c>
      <c r="P1269" t="s">
        <v>57</v>
      </c>
      <c r="Q1269" t="s">
        <v>1779</v>
      </c>
      <c r="R1269" t="s">
        <v>3990</v>
      </c>
      <c r="T1269" t="s">
        <v>57</v>
      </c>
    </row>
    <row r="1270" ht="25.5" customHeight="1" spans="1:20">
      <c r="A1270" t="s">
        <v>1902</v>
      </c>
      <c r="B1270" t="s">
        <v>56</v>
      </c>
      <c r="C1270" t="s">
        <v>3988</v>
      </c>
      <c r="D1270" s="3"/>
      <c r="E1270" s="2">
        <v>45672</v>
      </c>
      <c r="F1270">
        <v>747600</v>
      </c>
      <c r="G1270">
        <v>51600</v>
      </c>
      <c r="H1270">
        <v>3180</v>
      </c>
      <c r="I1270">
        <v>15</v>
      </c>
      <c r="J1270">
        <v>301</v>
      </c>
      <c r="K1270">
        <v>91</v>
      </c>
      <c r="L1270" t="s">
        <v>3258</v>
      </c>
      <c r="M1270" t="s">
        <v>3811</v>
      </c>
      <c r="N1270" t="s">
        <v>1630</v>
      </c>
      <c r="O1270" s="4">
        <v>45672.5217361111</v>
      </c>
      <c r="P1270" t="s">
        <v>57</v>
      </c>
      <c r="Q1270" t="s">
        <v>1779</v>
      </c>
      <c r="R1270" t="s">
        <v>3991</v>
      </c>
      <c r="T1270" t="s">
        <v>57</v>
      </c>
    </row>
    <row r="1271" ht="25.5" customHeight="1" spans="1:20">
      <c r="A1271" t="s">
        <v>1902</v>
      </c>
      <c r="B1271" t="s">
        <v>56</v>
      </c>
      <c r="C1271" t="s">
        <v>3988</v>
      </c>
      <c r="D1271" s="3"/>
      <c r="E1271" s="2">
        <v>45673</v>
      </c>
      <c r="F1271">
        <v>748000</v>
      </c>
      <c r="G1271">
        <v>52400</v>
      </c>
      <c r="H1271">
        <v>3209</v>
      </c>
      <c r="I1271">
        <v>15</v>
      </c>
      <c r="J1271">
        <v>321</v>
      </c>
      <c r="K1271">
        <v>94</v>
      </c>
      <c r="L1271" t="s">
        <v>3258</v>
      </c>
      <c r="M1271" t="s">
        <v>3811</v>
      </c>
      <c r="N1271" t="s">
        <v>1630</v>
      </c>
      <c r="O1271" s="4">
        <v>45673.6148958333</v>
      </c>
      <c r="P1271" t="s">
        <v>57</v>
      </c>
      <c r="Q1271" t="s">
        <v>1779</v>
      </c>
      <c r="R1271" t="s">
        <v>3992</v>
      </c>
      <c r="T1271" t="s">
        <v>57</v>
      </c>
    </row>
    <row r="1272" ht="25.5" customHeight="1" spans="1:20">
      <c r="A1272" t="s">
        <v>1902</v>
      </c>
      <c r="B1272" t="s">
        <v>56</v>
      </c>
      <c r="C1272" t="s">
        <v>3988</v>
      </c>
      <c r="D1272" s="3"/>
      <c r="E1272" s="2">
        <v>45674</v>
      </c>
      <c r="F1272">
        <v>748400</v>
      </c>
      <c r="G1272">
        <v>53100</v>
      </c>
      <c r="H1272">
        <v>3219</v>
      </c>
      <c r="I1272">
        <v>15</v>
      </c>
      <c r="J1272">
        <v>338</v>
      </c>
      <c r="K1272">
        <v>97</v>
      </c>
      <c r="L1272" t="s">
        <v>3258</v>
      </c>
      <c r="M1272" t="s">
        <v>3811</v>
      </c>
      <c r="N1272" t="s">
        <v>1630</v>
      </c>
      <c r="O1272" s="4">
        <v>45677.4325694444</v>
      </c>
      <c r="P1272" t="s">
        <v>57</v>
      </c>
      <c r="Q1272" t="s">
        <v>1779</v>
      </c>
      <c r="R1272" t="s">
        <v>3993</v>
      </c>
      <c r="T1272" t="s">
        <v>57</v>
      </c>
    </row>
    <row r="1273" ht="25.5" customHeight="1" spans="1:20">
      <c r="A1273" t="s">
        <v>1902</v>
      </c>
      <c r="B1273" t="s">
        <v>56</v>
      </c>
      <c r="C1273" t="s">
        <v>3988</v>
      </c>
      <c r="D1273" s="3"/>
      <c r="E1273" s="2">
        <v>45677</v>
      </c>
      <c r="F1273">
        <v>749700</v>
      </c>
      <c r="G1273">
        <v>55200</v>
      </c>
      <c r="H1273">
        <v>3292</v>
      </c>
      <c r="I1273">
        <v>16</v>
      </c>
      <c r="J1273">
        <v>373</v>
      </c>
      <c r="K1273">
        <v>107</v>
      </c>
      <c r="L1273" t="s">
        <v>3258</v>
      </c>
      <c r="M1273" t="s">
        <v>3811</v>
      </c>
      <c r="N1273" t="s">
        <v>1630</v>
      </c>
      <c r="O1273" s="4">
        <v>45677.4327777778</v>
      </c>
      <c r="P1273" t="s">
        <v>57</v>
      </c>
      <c r="Q1273" t="s">
        <v>1779</v>
      </c>
      <c r="R1273" t="s">
        <v>3994</v>
      </c>
      <c r="T1273" t="s">
        <v>57</v>
      </c>
    </row>
    <row r="1274" ht="25.5" customHeight="1" spans="1:20">
      <c r="A1274" t="s">
        <v>1902</v>
      </c>
      <c r="B1274" t="s">
        <v>56</v>
      </c>
      <c r="C1274" t="s">
        <v>3988</v>
      </c>
      <c r="D1274" s="3"/>
      <c r="E1274" s="2">
        <v>45678</v>
      </c>
      <c r="F1274">
        <v>750100</v>
      </c>
      <c r="G1274">
        <v>55800</v>
      </c>
      <c r="H1274">
        <v>3314</v>
      </c>
      <c r="I1274">
        <v>16</v>
      </c>
      <c r="J1274">
        <v>382</v>
      </c>
      <c r="K1274">
        <v>110</v>
      </c>
      <c r="L1274" t="s">
        <v>3258</v>
      </c>
      <c r="M1274" t="s">
        <v>3811</v>
      </c>
      <c r="N1274" t="s">
        <v>1630</v>
      </c>
      <c r="O1274" s="4">
        <v>45678.6372800926</v>
      </c>
      <c r="P1274" t="s">
        <v>57</v>
      </c>
      <c r="Q1274" t="s">
        <v>1779</v>
      </c>
      <c r="R1274" t="s">
        <v>3995</v>
      </c>
      <c r="T1274" t="s">
        <v>57</v>
      </c>
    </row>
    <row r="1275" ht="25.5" customHeight="1" spans="1:20">
      <c r="A1275" t="s">
        <v>1902</v>
      </c>
      <c r="B1275" t="s">
        <v>56</v>
      </c>
      <c r="C1275" t="s">
        <v>3988</v>
      </c>
      <c r="D1275" s="3"/>
      <c r="E1275" s="2">
        <v>45679</v>
      </c>
      <c r="F1275">
        <v>751000</v>
      </c>
      <c r="G1275">
        <v>56400</v>
      </c>
      <c r="H1275">
        <v>3330</v>
      </c>
      <c r="I1275">
        <v>17</v>
      </c>
      <c r="J1275">
        <v>392</v>
      </c>
      <c r="K1275">
        <v>111</v>
      </c>
      <c r="L1275" t="s">
        <v>3258</v>
      </c>
      <c r="M1275" t="s">
        <v>3811</v>
      </c>
      <c r="N1275" t="s">
        <v>1630</v>
      </c>
      <c r="O1275" s="4">
        <v>45679.6941666667</v>
      </c>
      <c r="P1275" t="s">
        <v>57</v>
      </c>
      <c r="Q1275" t="s">
        <v>1779</v>
      </c>
      <c r="R1275" t="s">
        <v>3996</v>
      </c>
      <c r="T1275" t="s">
        <v>57</v>
      </c>
    </row>
    <row r="1276" ht="25.5" customHeight="1" spans="1:20">
      <c r="A1276" t="s">
        <v>1902</v>
      </c>
      <c r="B1276" t="s">
        <v>56</v>
      </c>
      <c r="C1276" t="s">
        <v>3988</v>
      </c>
      <c r="D1276" s="3"/>
      <c r="E1276" s="2">
        <v>45680</v>
      </c>
      <c r="F1276">
        <v>751700</v>
      </c>
      <c r="G1276">
        <v>56800</v>
      </c>
      <c r="H1276">
        <v>3340</v>
      </c>
      <c r="I1276">
        <v>17</v>
      </c>
      <c r="J1276">
        <v>402</v>
      </c>
      <c r="K1276">
        <v>114</v>
      </c>
      <c r="L1276" t="s">
        <v>3258</v>
      </c>
      <c r="M1276" t="s">
        <v>3811</v>
      </c>
      <c r="N1276" t="s">
        <v>1630</v>
      </c>
      <c r="O1276" s="4">
        <v>45680.6505787037</v>
      </c>
      <c r="P1276" t="s">
        <v>57</v>
      </c>
      <c r="Q1276" t="s">
        <v>1779</v>
      </c>
      <c r="R1276" t="s">
        <v>3997</v>
      </c>
      <c r="T1276" t="s">
        <v>57</v>
      </c>
    </row>
    <row r="1277" ht="25.5" customHeight="1" spans="1:20">
      <c r="A1277" t="s">
        <v>1902</v>
      </c>
      <c r="B1277" t="s">
        <v>56</v>
      </c>
      <c r="C1277" t="s">
        <v>3988</v>
      </c>
      <c r="D1277" s="3"/>
      <c r="E1277" s="2">
        <v>45681</v>
      </c>
      <c r="F1277">
        <v>752500</v>
      </c>
      <c r="G1277">
        <v>57300</v>
      </c>
      <c r="H1277">
        <v>3349</v>
      </c>
      <c r="I1277">
        <v>18</v>
      </c>
      <c r="J1277">
        <v>409</v>
      </c>
      <c r="K1277">
        <v>116</v>
      </c>
      <c r="L1277" t="s">
        <v>3258</v>
      </c>
      <c r="M1277" t="s">
        <v>3811</v>
      </c>
      <c r="N1277" t="s">
        <v>1630</v>
      </c>
      <c r="O1277" s="4">
        <v>45681.6108333333</v>
      </c>
      <c r="P1277" t="s">
        <v>57</v>
      </c>
      <c r="Q1277" t="s">
        <v>1779</v>
      </c>
      <c r="R1277" t="s">
        <v>3998</v>
      </c>
      <c r="T1277" t="s">
        <v>57</v>
      </c>
    </row>
    <row r="1278" ht="25.5" customHeight="1" spans="1:20">
      <c r="A1278" t="s">
        <v>1902</v>
      </c>
      <c r="B1278" t="s">
        <v>56</v>
      </c>
      <c r="C1278" t="s">
        <v>3988</v>
      </c>
      <c r="D1278" s="3"/>
      <c r="E1278" s="2">
        <v>45683</v>
      </c>
      <c r="F1278">
        <v>754000</v>
      </c>
      <c r="G1278">
        <v>58200</v>
      </c>
      <c r="H1278">
        <v>3376</v>
      </c>
      <c r="I1278">
        <v>18</v>
      </c>
      <c r="J1278">
        <v>418</v>
      </c>
      <c r="K1278">
        <v>119</v>
      </c>
      <c r="L1278" t="s">
        <v>3258</v>
      </c>
      <c r="M1278" t="s">
        <v>3811</v>
      </c>
      <c r="N1278" t="s">
        <v>1630</v>
      </c>
      <c r="O1278" s="4">
        <v>45683.768287037</v>
      </c>
      <c r="P1278" t="s">
        <v>57</v>
      </c>
      <c r="Q1278" t="s">
        <v>1779</v>
      </c>
      <c r="R1278" t="s">
        <v>3999</v>
      </c>
      <c r="T1278" t="s">
        <v>57</v>
      </c>
    </row>
    <row r="1279" ht="25.5" customHeight="1" spans="1:20">
      <c r="A1279" t="s">
        <v>1902</v>
      </c>
      <c r="B1279" t="s">
        <v>56</v>
      </c>
      <c r="C1279" t="s">
        <v>3988</v>
      </c>
      <c r="D1279" s="3"/>
      <c r="E1279" s="2">
        <v>45684</v>
      </c>
      <c r="F1279">
        <v>754700</v>
      </c>
      <c r="G1279">
        <v>58800</v>
      </c>
      <c r="H1279">
        <v>3391</v>
      </c>
      <c r="I1279">
        <v>18</v>
      </c>
      <c r="J1279">
        <v>428</v>
      </c>
      <c r="K1279">
        <v>121</v>
      </c>
      <c r="L1279" t="s">
        <v>3258</v>
      </c>
      <c r="M1279" t="s">
        <v>3811</v>
      </c>
      <c r="N1279" t="s">
        <v>1630</v>
      </c>
      <c r="O1279" s="4">
        <v>45684.8407523148</v>
      </c>
      <c r="P1279" t="s">
        <v>57</v>
      </c>
      <c r="Q1279" t="s">
        <v>1779</v>
      </c>
      <c r="R1279" t="s">
        <v>4000</v>
      </c>
      <c r="T1279" t="s">
        <v>57</v>
      </c>
    </row>
    <row r="1280" ht="25.5" customHeight="1" spans="1:20">
      <c r="A1280" t="s">
        <v>1902</v>
      </c>
      <c r="B1280" t="s">
        <v>56</v>
      </c>
      <c r="C1280" t="s">
        <v>3988</v>
      </c>
      <c r="D1280" s="3"/>
      <c r="E1280" s="2">
        <v>45693</v>
      </c>
      <c r="F1280">
        <v>760800</v>
      </c>
      <c r="G1280">
        <v>62800</v>
      </c>
      <c r="H1280">
        <v>3493</v>
      </c>
      <c r="I1280">
        <v>22</v>
      </c>
      <c r="J1280">
        <v>483</v>
      </c>
      <c r="K1280">
        <v>135</v>
      </c>
      <c r="L1280" t="s">
        <v>3258</v>
      </c>
      <c r="M1280" t="s">
        <v>3811</v>
      </c>
      <c r="N1280" t="s">
        <v>1630</v>
      </c>
      <c r="O1280" s="4">
        <v>45693.8228935185</v>
      </c>
      <c r="P1280" t="s">
        <v>57</v>
      </c>
      <c r="Q1280" t="s">
        <v>1779</v>
      </c>
      <c r="R1280" t="s">
        <v>4001</v>
      </c>
      <c r="T1280" t="s">
        <v>57</v>
      </c>
    </row>
    <row r="1281" ht="25.5" customHeight="1" spans="1:20">
      <c r="A1281" t="s">
        <v>1902</v>
      </c>
      <c r="B1281" t="s">
        <v>56</v>
      </c>
      <c r="C1281" t="s">
        <v>3988</v>
      </c>
      <c r="D1281" s="3"/>
      <c r="E1281" s="2">
        <v>45694</v>
      </c>
      <c r="F1281">
        <v>761200</v>
      </c>
      <c r="G1281">
        <v>63100</v>
      </c>
      <c r="H1281">
        <v>3503</v>
      </c>
      <c r="I1281">
        <v>23</v>
      </c>
      <c r="J1281">
        <v>488</v>
      </c>
      <c r="K1281">
        <v>135</v>
      </c>
      <c r="L1281" t="s">
        <v>3258</v>
      </c>
      <c r="M1281" t="s">
        <v>3811</v>
      </c>
      <c r="N1281" t="s">
        <v>1630</v>
      </c>
      <c r="O1281" s="4">
        <v>45698.6216782407</v>
      </c>
      <c r="P1281" t="s">
        <v>57</v>
      </c>
      <c r="Q1281" t="s">
        <v>1779</v>
      </c>
      <c r="R1281" t="s">
        <v>4002</v>
      </c>
      <c r="S1281" t="s">
        <v>3169</v>
      </c>
      <c r="T1281" t="s">
        <v>57</v>
      </c>
    </row>
    <row r="1282" ht="25.5" customHeight="1" spans="1:20">
      <c r="A1282" t="s">
        <v>3110</v>
      </c>
      <c r="B1282" t="s">
        <v>269</v>
      </c>
      <c r="C1282" t="s">
        <v>4003</v>
      </c>
      <c r="D1282" s="3" t="str">
        <f>HYPERLINK("https://www.youtube.com/@Nowistech_/shorts","https://www.youtube.com/@Nowistech_/shorts")</f>
        <v>https://www.youtube.com/@Nowistech_/shorts</v>
      </c>
      <c r="E1282" s="2">
        <v>45668</v>
      </c>
      <c r="F1282">
        <v>461</v>
      </c>
      <c r="G1282">
        <v>513</v>
      </c>
      <c r="H1282">
        <v>0</v>
      </c>
      <c r="I1282">
        <v>0</v>
      </c>
      <c r="L1282" t="s">
        <v>3138</v>
      </c>
      <c r="N1282" t="s">
        <v>1630</v>
      </c>
      <c r="O1282" s="4">
        <v>45670.868900463</v>
      </c>
      <c r="P1282" t="s">
        <v>423</v>
      </c>
      <c r="Q1282" t="s">
        <v>1779</v>
      </c>
      <c r="R1282" t="s">
        <v>3133</v>
      </c>
      <c r="T1282" t="s">
        <v>423</v>
      </c>
    </row>
    <row r="1283" ht="25.5" customHeight="1" spans="1:20">
      <c r="A1283" t="s">
        <v>3110</v>
      </c>
      <c r="B1283" t="s">
        <v>269</v>
      </c>
      <c r="C1283" t="s">
        <v>4003</v>
      </c>
      <c r="D1283" s="3"/>
      <c r="E1283" s="2">
        <v>45674</v>
      </c>
      <c r="F1283">
        <v>506</v>
      </c>
      <c r="G1283">
        <v>527</v>
      </c>
      <c r="H1283">
        <v>0</v>
      </c>
      <c r="I1283">
        <v>0</v>
      </c>
      <c r="L1283" t="s">
        <v>3138</v>
      </c>
      <c r="N1283" t="s">
        <v>1630</v>
      </c>
      <c r="O1283" s="4">
        <v>45674.7153356482</v>
      </c>
      <c r="P1283" t="s">
        <v>423</v>
      </c>
      <c r="Q1283" t="s">
        <v>1779</v>
      </c>
      <c r="R1283" t="s">
        <v>3133</v>
      </c>
      <c r="T1283" t="s">
        <v>423</v>
      </c>
    </row>
    <row r="1284" ht="25.5" customHeight="1" spans="1:20">
      <c r="A1284" t="s">
        <v>3110</v>
      </c>
      <c r="B1284" t="s">
        <v>269</v>
      </c>
      <c r="C1284" t="s">
        <v>4003</v>
      </c>
      <c r="D1284" s="3"/>
      <c r="E1284" s="2">
        <v>45677</v>
      </c>
      <c r="F1284">
        <v>521</v>
      </c>
      <c r="G1284">
        <v>534</v>
      </c>
      <c r="H1284">
        <v>0</v>
      </c>
      <c r="I1284">
        <v>0</v>
      </c>
      <c r="L1284" t="s">
        <v>3138</v>
      </c>
      <c r="N1284" t="s">
        <v>1630</v>
      </c>
      <c r="O1284" s="4">
        <v>45677.4176967593</v>
      </c>
      <c r="P1284" t="s">
        <v>423</v>
      </c>
      <c r="Q1284" t="s">
        <v>1779</v>
      </c>
      <c r="R1284" t="s">
        <v>3133</v>
      </c>
      <c r="T1284" t="s">
        <v>423</v>
      </c>
    </row>
    <row r="1285" ht="25.5" customHeight="1" spans="1:20">
      <c r="A1285" t="s">
        <v>3110</v>
      </c>
      <c r="B1285" t="s">
        <v>269</v>
      </c>
      <c r="C1285" t="s">
        <v>4003</v>
      </c>
      <c r="D1285" s="3"/>
      <c r="E1285" s="2">
        <v>45678</v>
      </c>
      <c r="F1285">
        <v>529</v>
      </c>
      <c r="G1285">
        <v>639</v>
      </c>
      <c r="H1285">
        <v>0</v>
      </c>
      <c r="I1285">
        <v>0</v>
      </c>
      <c r="L1285" t="s">
        <v>3138</v>
      </c>
      <c r="N1285" t="s">
        <v>1630</v>
      </c>
      <c r="O1285" s="4">
        <v>45678.5217708333</v>
      </c>
      <c r="P1285" t="s">
        <v>423</v>
      </c>
      <c r="Q1285" t="s">
        <v>1779</v>
      </c>
      <c r="R1285" t="s">
        <v>3133</v>
      </c>
      <c r="T1285" t="s">
        <v>423</v>
      </c>
    </row>
    <row r="1286" ht="25.5" customHeight="1" spans="1:20">
      <c r="A1286" t="s">
        <v>3110</v>
      </c>
      <c r="B1286" t="s">
        <v>269</v>
      </c>
      <c r="C1286" t="s">
        <v>4003</v>
      </c>
      <c r="D1286" s="3"/>
      <c r="E1286" s="2">
        <v>45679</v>
      </c>
      <c r="F1286">
        <v>537</v>
      </c>
      <c r="G1286">
        <v>538</v>
      </c>
      <c r="H1286">
        <v>0</v>
      </c>
      <c r="I1286">
        <v>0</v>
      </c>
      <c r="L1286" t="s">
        <v>3138</v>
      </c>
      <c r="N1286" t="s">
        <v>1630</v>
      </c>
      <c r="O1286" s="4">
        <v>45679.6831712963</v>
      </c>
      <c r="P1286" t="s">
        <v>423</v>
      </c>
      <c r="Q1286" t="s">
        <v>1779</v>
      </c>
      <c r="R1286" t="s">
        <v>3133</v>
      </c>
      <c r="T1286" t="s">
        <v>423</v>
      </c>
    </row>
    <row r="1287" ht="25.5" customHeight="1" spans="1:20">
      <c r="A1287" t="s">
        <v>3110</v>
      </c>
      <c r="B1287" t="s">
        <v>269</v>
      </c>
      <c r="C1287" t="s">
        <v>4003</v>
      </c>
      <c r="D1287" s="3"/>
      <c r="E1287" s="2">
        <v>45680</v>
      </c>
      <c r="F1287">
        <v>542</v>
      </c>
      <c r="G1287">
        <v>540</v>
      </c>
      <c r="H1287">
        <v>0</v>
      </c>
      <c r="I1287">
        <v>0</v>
      </c>
      <c r="L1287" t="s">
        <v>3138</v>
      </c>
      <c r="N1287" t="s">
        <v>1630</v>
      </c>
      <c r="O1287" s="4">
        <v>45680.6327199074</v>
      </c>
      <c r="P1287" t="s">
        <v>423</v>
      </c>
      <c r="Q1287" t="s">
        <v>1779</v>
      </c>
      <c r="R1287" t="s">
        <v>3133</v>
      </c>
      <c r="T1287" t="s">
        <v>423</v>
      </c>
    </row>
    <row r="1288" ht="25.5" customHeight="1" spans="1:20">
      <c r="A1288" t="s">
        <v>3110</v>
      </c>
      <c r="B1288" t="s">
        <v>269</v>
      </c>
      <c r="C1288" t="s">
        <v>4003</v>
      </c>
      <c r="D1288" s="3"/>
      <c r="E1288" s="2">
        <v>45681</v>
      </c>
      <c r="F1288">
        <v>554</v>
      </c>
      <c r="G1288">
        <v>541</v>
      </c>
      <c r="H1288">
        <v>0</v>
      </c>
      <c r="I1288">
        <v>0</v>
      </c>
      <c r="L1288" t="s">
        <v>3138</v>
      </c>
      <c r="N1288" t="s">
        <v>1630</v>
      </c>
      <c r="O1288" s="4">
        <v>45681.5355671296</v>
      </c>
      <c r="P1288" t="s">
        <v>423</v>
      </c>
      <c r="Q1288" t="s">
        <v>1779</v>
      </c>
      <c r="R1288" t="s">
        <v>3133</v>
      </c>
      <c r="T1288" t="s">
        <v>423</v>
      </c>
    </row>
    <row r="1289" ht="25.5" customHeight="1" spans="1:20">
      <c r="A1289" t="s">
        <v>3110</v>
      </c>
      <c r="B1289" t="s">
        <v>269</v>
      </c>
      <c r="C1289" t="s">
        <v>4003</v>
      </c>
      <c r="D1289" s="3"/>
      <c r="E1289" s="2">
        <v>45683</v>
      </c>
      <c r="F1289">
        <v>566</v>
      </c>
      <c r="G1289">
        <v>543</v>
      </c>
      <c r="H1289">
        <v>0</v>
      </c>
      <c r="I1289">
        <v>0</v>
      </c>
      <c r="L1289" t="s">
        <v>3138</v>
      </c>
      <c r="N1289" t="s">
        <v>1630</v>
      </c>
      <c r="O1289" s="4">
        <v>45683.7447685185</v>
      </c>
      <c r="P1289" t="s">
        <v>423</v>
      </c>
      <c r="Q1289" t="s">
        <v>1779</v>
      </c>
      <c r="R1289" t="s">
        <v>3133</v>
      </c>
      <c r="T1289" t="s">
        <v>423</v>
      </c>
    </row>
    <row r="1290" ht="25.5" customHeight="1" spans="1:20">
      <c r="A1290" t="s">
        <v>3110</v>
      </c>
      <c r="B1290" t="s">
        <v>269</v>
      </c>
      <c r="C1290" t="s">
        <v>4003</v>
      </c>
      <c r="D1290" s="3"/>
      <c r="E1290" s="2">
        <v>45684</v>
      </c>
      <c r="F1290">
        <v>585</v>
      </c>
      <c r="G1290">
        <v>545</v>
      </c>
      <c r="H1290">
        <v>0</v>
      </c>
      <c r="I1290">
        <v>0</v>
      </c>
      <c r="L1290" t="s">
        <v>3138</v>
      </c>
      <c r="N1290" t="s">
        <v>1630</v>
      </c>
      <c r="O1290" s="4">
        <v>45684.7928703704</v>
      </c>
      <c r="P1290" t="s">
        <v>423</v>
      </c>
      <c r="Q1290" t="s">
        <v>1779</v>
      </c>
      <c r="R1290" t="s">
        <v>3133</v>
      </c>
      <c r="T1290" t="s">
        <v>423</v>
      </c>
    </row>
    <row r="1291" ht="25.5" customHeight="1" spans="1:20">
      <c r="A1291" t="s">
        <v>3110</v>
      </c>
      <c r="B1291" t="s">
        <v>269</v>
      </c>
      <c r="C1291" t="s">
        <v>4003</v>
      </c>
      <c r="D1291" s="3"/>
      <c r="E1291" s="2">
        <v>45693</v>
      </c>
      <c r="F1291">
        <v>658</v>
      </c>
      <c r="G1291">
        <v>559</v>
      </c>
      <c r="H1291">
        <v>0</v>
      </c>
      <c r="I1291">
        <v>0</v>
      </c>
      <c r="L1291" t="s">
        <v>3138</v>
      </c>
      <c r="N1291" t="s">
        <v>1630</v>
      </c>
      <c r="O1291" s="4">
        <v>45693.7915740741</v>
      </c>
      <c r="P1291" t="s">
        <v>423</v>
      </c>
      <c r="Q1291" t="s">
        <v>1779</v>
      </c>
      <c r="R1291" t="s">
        <v>3133</v>
      </c>
      <c r="T1291" t="s">
        <v>423</v>
      </c>
    </row>
    <row r="1292" ht="25.5" customHeight="1" spans="1:20">
      <c r="A1292" t="s">
        <v>3110</v>
      </c>
      <c r="B1292" t="s">
        <v>269</v>
      </c>
      <c r="C1292" t="s">
        <v>4003</v>
      </c>
      <c r="D1292" s="3"/>
      <c r="E1292" s="2">
        <v>45694</v>
      </c>
      <c r="F1292">
        <v>662</v>
      </c>
      <c r="G1292">
        <v>560</v>
      </c>
      <c r="H1292">
        <v>0</v>
      </c>
      <c r="I1292">
        <v>0</v>
      </c>
      <c r="L1292" t="s">
        <v>3138</v>
      </c>
      <c r="N1292" t="s">
        <v>1630</v>
      </c>
      <c r="O1292" s="4">
        <v>45698.6221527778</v>
      </c>
      <c r="P1292" t="s">
        <v>423</v>
      </c>
      <c r="Q1292" t="s">
        <v>1779</v>
      </c>
      <c r="R1292" t="s">
        <v>3133</v>
      </c>
      <c r="S1292" t="s">
        <v>3301</v>
      </c>
      <c r="T1292" t="s">
        <v>423</v>
      </c>
    </row>
    <row r="1293" ht="25.5" customHeight="1" spans="1:20">
      <c r="A1293" t="s">
        <v>3110</v>
      </c>
      <c r="B1293" t="s">
        <v>269</v>
      </c>
      <c r="C1293" t="s">
        <v>4003</v>
      </c>
      <c r="D1293" s="3"/>
      <c r="E1293" s="2">
        <v>45695</v>
      </c>
      <c r="F1293">
        <v>672</v>
      </c>
      <c r="G1293">
        <v>563</v>
      </c>
      <c r="H1293">
        <v>0</v>
      </c>
      <c r="I1293">
        <v>0</v>
      </c>
      <c r="L1293" t="s">
        <v>3138</v>
      </c>
      <c r="N1293" t="s">
        <v>1630</v>
      </c>
      <c r="O1293" s="4">
        <v>45695.6391550926</v>
      </c>
      <c r="P1293" t="s">
        <v>423</v>
      </c>
      <c r="Q1293" t="s">
        <v>1779</v>
      </c>
      <c r="R1293" t="s">
        <v>3133</v>
      </c>
      <c r="T1293" t="s">
        <v>423</v>
      </c>
    </row>
    <row r="1294" ht="25.5" customHeight="1" spans="1:20">
      <c r="A1294" t="s">
        <v>1829</v>
      </c>
      <c r="B1294" t="s">
        <v>65</v>
      </c>
      <c r="C1294" t="s">
        <v>4004</v>
      </c>
      <c r="D1294" s="3" t="str">
        <f>HYPERLINK("https://www.instagram.com/oxydoxytv/reels/","https://www.instagram.com/oxydoxytv/reels/")</f>
        <v>https://www.instagram.com/oxydoxytv/reels/</v>
      </c>
      <c r="E1294" s="2">
        <v>45666</v>
      </c>
      <c r="F1294">
        <v>379000</v>
      </c>
      <c r="G1294">
        <v>9361</v>
      </c>
      <c r="H1294">
        <v>334</v>
      </c>
      <c r="I1294">
        <v>2</v>
      </c>
      <c r="L1294" t="s">
        <v>3138</v>
      </c>
      <c r="M1294" t="s">
        <v>4005</v>
      </c>
      <c r="N1294" t="s">
        <v>1630</v>
      </c>
      <c r="O1294" s="4">
        <v>45670.7771875</v>
      </c>
      <c r="P1294" t="s">
        <v>116</v>
      </c>
      <c r="Q1294" t="s">
        <v>1789</v>
      </c>
      <c r="R1294" t="s">
        <v>4006</v>
      </c>
      <c r="T1294" t="s">
        <v>116</v>
      </c>
    </row>
    <row r="1295" ht="25.5" customHeight="1" spans="1:20">
      <c r="A1295" t="s">
        <v>1829</v>
      </c>
      <c r="B1295" t="s">
        <v>65</v>
      </c>
      <c r="C1295" t="s">
        <v>4004</v>
      </c>
      <c r="D1295" s="3"/>
      <c r="E1295" s="2">
        <v>45671</v>
      </c>
      <c r="F1295">
        <v>379000</v>
      </c>
      <c r="G1295">
        <v>9811</v>
      </c>
      <c r="H1295">
        <v>355</v>
      </c>
      <c r="I1295">
        <v>2</v>
      </c>
      <c r="L1295" t="s">
        <v>3138</v>
      </c>
      <c r="M1295" t="s">
        <v>4005</v>
      </c>
      <c r="N1295" t="s">
        <v>1630</v>
      </c>
      <c r="O1295" s="4">
        <v>45672.5030092593</v>
      </c>
      <c r="P1295" t="s">
        <v>116</v>
      </c>
      <c r="Q1295" t="s">
        <v>1789</v>
      </c>
      <c r="R1295" t="s">
        <v>4007</v>
      </c>
      <c r="T1295" t="s">
        <v>116</v>
      </c>
    </row>
    <row r="1296" ht="25.5" customHeight="1" spans="1:20">
      <c r="A1296" t="s">
        <v>1829</v>
      </c>
      <c r="B1296" t="s">
        <v>65</v>
      </c>
      <c r="C1296" t="s">
        <v>4004</v>
      </c>
      <c r="D1296" s="3"/>
      <c r="E1296" s="2">
        <v>45672</v>
      </c>
      <c r="F1296">
        <v>379000</v>
      </c>
      <c r="G1296">
        <v>10100</v>
      </c>
      <c r="H1296">
        <v>361</v>
      </c>
      <c r="I1296">
        <v>2</v>
      </c>
      <c r="L1296" t="s">
        <v>3138</v>
      </c>
      <c r="M1296" t="s">
        <v>4005</v>
      </c>
      <c r="N1296" t="s">
        <v>1630</v>
      </c>
      <c r="O1296" s="4">
        <v>45672.5094791667</v>
      </c>
      <c r="P1296" t="s">
        <v>116</v>
      </c>
      <c r="Q1296" t="s">
        <v>1789</v>
      </c>
      <c r="R1296" t="s">
        <v>4008</v>
      </c>
      <c r="T1296" t="s">
        <v>116</v>
      </c>
    </row>
    <row r="1297" ht="25.5" customHeight="1" spans="1:20">
      <c r="A1297" t="s">
        <v>1829</v>
      </c>
      <c r="B1297" t="s">
        <v>65</v>
      </c>
      <c r="C1297" t="s">
        <v>4004</v>
      </c>
      <c r="D1297" s="3"/>
      <c r="E1297" s="2">
        <v>45673</v>
      </c>
      <c r="F1297">
        <v>379000</v>
      </c>
      <c r="G1297">
        <v>10400</v>
      </c>
      <c r="H1297">
        <v>367</v>
      </c>
      <c r="I1297">
        <v>2</v>
      </c>
      <c r="L1297" t="s">
        <v>3138</v>
      </c>
      <c r="M1297" t="s">
        <v>4005</v>
      </c>
      <c r="N1297" t="s">
        <v>1630</v>
      </c>
      <c r="O1297" s="4">
        <v>45673.4903125</v>
      </c>
      <c r="P1297" t="s">
        <v>116</v>
      </c>
      <c r="Q1297" t="s">
        <v>1789</v>
      </c>
      <c r="R1297" t="s">
        <v>4009</v>
      </c>
      <c r="T1297" t="s">
        <v>116</v>
      </c>
    </row>
    <row r="1298" ht="25.5" customHeight="1" spans="1:20">
      <c r="A1298" t="s">
        <v>1829</v>
      </c>
      <c r="B1298" t="s">
        <v>65</v>
      </c>
      <c r="C1298" t="s">
        <v>4004</v>
      </c>
      <c r="D1298" s="3"/>
      <c r="E1298" s="2">
        <v>45674</v>
      </c>
      <c r="F1298">
        <v>379000</v>
      </c>
      <c r="G1298">
        <v>10800</v>
      </c>
      <c r="H1298">
        <v>377</v>
      </c>
      <c r="I1298">
        <v>2</v>
      </c>
      <c r="L1298" t="s">
        <v>3138</v>
      </c>
      <c r="M1298" t="s">
        <v>4005</v>
      </c>
      <c r="N1298" t="s">
        <v>1630</v>
      </c>
      <c r="O1298" s="4">
        <v>45674.6366666667</v>
      </c>
      <c r="P1298" t="s">
        <v>116</v>
      </c>
      <c r="Q1298" t="s">
        <v>1789</v>
      </c>
      <c r="R1298" t="s">
        <v>4010</v>
      </c>
      <c r="T1298" t="s">
        <v>116</v>
      </c>
    </row>
    <row r="1299" ht="25.5" customHeight="1" spans="1:20">
      <c r="A1299" t="s">
        <v>1829</v>
      </c>
      <c r="B1299" t="s">
        <v>65</v>
      </c>
      <c r="C1299" t="s">
        <v>4004</v>
      </c>
      <c r="D1299" s="3"/>
      <c r="E1299" s="2">
        <v>45677</v>
      </c>
      <c r="F1299">
        <v>380000</v>
      </c>
      <c r="G1299">
        <v>11700</v>
      </c>
      <c r="H1299">
        <v>402</v>
      </c>
      <c r="I1299">
        <v>3</v>
      </c>
      <c r="L1299" t="s">
        <v>3138</v>
      </c>
      <c r="M1299" t="s">
        <v>4005</v>
      </c>
      <c r="N1299" t="s">
        <v>1630</v>
      </c>
      <c r="O1299" s="4">
        <v>45677.4061921296</v>
      </c>
      <c r="P1299" t="s">
        <v>116</v>
      </c>
      <c r="Q1299" t="s">
        <v>1789</v>
      </c>
      <c r="R1299" t="s">
        <v>4011</v>
      </c>
      <c r="T1299" t="s">
        <v>116</v>
      </c>
    </row>
    <row r="1300" ht="25.5" customHeight="1" spans="1:20">
      <c r="A1300" t="s">
        <v>1829</v>
      </c>
      <c r="B1300" t="s">
        <v>65</v>
      </c>
      <c r="C1300" t="s">
        <v>4004</v>
      </c>
      <c r="D1300" s="3"/>
      <c r="E1300" s="2">
        <v>45678</v>
      </c>
      <c r="F1300">
        <v>380000</v>
      </c>
      <c r="G1300">
        <v>12000</v>
      </c>
      <c r="H1300">
        <v>413</v>
      </c>
      <c r="I1300">
        <v>3</v>
      </c>
      <c r="L1300" t="s">
        <v>3138</v>
      </c>
      <c r="M1300" t="s">
        <v>4005</v>
      </c>
      <c r="N1300" t="s">
        <v>1630</v>
      </c>
      <c r="O1300" s="4">
        <v>45679.6639583333</v>
      </c>
      <c r="P1300" t="s">
        <v>116</v>
      </c>
      <c r="Q1300" t="s">
        <v>1789</v>
      </c>
      <c r="R1300" t="s">
        <v>4012</v>
      </c>
      <c r="T1300" t="s">
        <v>116</v>
      </c>
    </row>
    <row r="1301" ht="25.5" customHeight="1" spans="1:20">
      <c r="A1301" t="s">
        <v>1829</v>
      </c>
      <c r="B1301" t="s">
        <v>65</v>
      </c>
      <c r="C1301" t="s">
        <v>4004</v>
      </c>
      <c r="D1301" s="3"/>
      <c r="E1301" s="2">
        <v>45679</v>
      </c>
      <c r="F1301">
        <v>380000</v>
      </c>
      <c r="G1301">
        <v>12200</v>
      </c>
      <c r="H1301">
        <v>417</v>
      </c>
      <c r="I1301">
        <v>3</v>
      </c>
      <c r="L1301" t="s">
        <v>3138</v>
      </c>
      <c r="M1301" t="s">
        <v>4005</v>
      </c>
      <c r="N1301" t="s">
        <v>1630</v>
      </c>
      <c r="O1301" s="4">
        <v>45679.6639236111</v>
      </c>
      <c r="P1301" t="s">
        <v>116</v>
      </c>
      <c r="Q1301" t="s">
        <v>1789</v>
      </c>
      <c r="R1301" t="s">
        <v>4013</v>
      </c>
      <c r="T1301" t="s">
        <v>116</v>
      </c>
    </row>
    <row r="1302" ht="25.5" customHeight="1" spans="1:20">
      <c r="A1302" t="s">
        <v>1829</v>
      </c>
      <c r="B1302" t="s">
        <v>65</v>
      </c>
      <c r="C1302" t="s">
        <v>4004</v>
      </c>
      <c r="D1302" s="3"/>
      <c r="E1302" s="2">
        <v>45680</v>
      </c>
      <c r="F1302">
        <v>380000</v>
      </c>
      <c r="G1302">
        <v>12400</v>
      </c>
      <c r="H1302">
        <v>422</v>
      </c>
      <c r="I1302">
        <v>3</v>
      </c>
      <c r="L1302" t="s">
        <v>3138</v>
      </c>
      <c r="M1302" t="s">
        <v>4005</v>
      </c>
      <c r="N1302" t="s">
        <v>1630</v>
      </c>
      <c r="O1302" s="4">
        <v>45680.513587963</v>
      </c>
      <c r="P1302" t="s">
        <v>116</v>
      </c>
      <c r="Q1302" t="s">
        <v>1789</v>
      </c>
      <c r="R1302" t="s">
        <v>4014</v>
      </c>
      <c r="T1302" t="s">
        <v>116</v>
      </c>
    </row>
    <row r="1303" ht="25.5" customHeight="1" spans="1:20">
      <c r="A1303" t="s">
        <v>1829</v>
      </c>
      <c r="B1303" t="s">
        <v>65</v>
      </c>
      <c r="C1303" t="s">
        <v>4004</v>
      </c>
      <c r="D1303" s="3"/>
      <c r="E1303" s="2">
        <v>45681</v>
      </c>
      <c r="F1303">
        <v>380000</v>
      </c>
      <c r="G1303">
        <v>12600</v>
      </c>
      <c r="H1303">
        <v>429</v>
      </c>
      <c r="I1303">
        <v>3</v>
      </c>
      <c r="L1303" t="s">
        <v>3138</v>
      </c>
      <c r="M1303" t="s">
        <v>4005</v>
      </c>
      <c r="N1303" t="s">
        <v>1630</v>
      </c>
      <c r="O1303" s="4">
        <v>45681.4926388889</v>
      </c>
      <c r="P1303" t="s">
        <v>116</v>
      </c>
      <c r="Q1303" t="s">
        <v>1789</v>
      </c>
      <c r="R1303" t="s">
        <v>4015</v>
      </c>
      <c r="T1303" t="s">
        <v>116</v>
      </c>
    </row>
    <row r="1304" ht="25.5" customHeight="1" spans="1:20">
      <c r="A1304" t="s">
        <v>1829</v>
      </c>
      <c r="B1304" t="s">
        <v>65</v>
      </c>
      <c r="C1304" t="s">
        <v>4004</v>
      </c>
      <c r="D1304" s="3"/>
      <c r="E1304" s="2">
        <v>45683</v>
      </c>
      <c r="F1304">
        <v>380000</v>
      </c>
      <c r="G1304">
        <v>12900</v>
      </c>
      <c r="H1304">
        <v>429</v>
      </c>
      <c r="I1304">
        <v>3</v>
      </c>
      <c r="L1304" t="s">
        <v>3138</v>
      </c>
      <c r="M1304" t="s">
        <v>4005</v>
      </c>
      <c r="N1304" t="s">
        <v>1630</v>
      </c>
      <c r="O1304" s="4">
        <v>45683.7231365741</v>
      </c>
      <c r="P1304" t="s">
        <v>116</v>
      </c>
      <c r="Q1304" t="s">
        <v>1789</v>
      </c>
      <c r="R1304" t="s">
        <v>4015</v>
      </c>
      <c r="T1304" t="s">
        <v>116</v>
      </c>
    </row>
    <row r="1305" ht="25.5" customHeight="1" spans="1:20">
      <c r="A1305" t="s">
        <v>1829</v>
      </c>
      <c r="B1305" t="s">
        <v>65</v>
      </c>
      <c r="C1305" t="s">
        <v>4004</v>
      </c>
      <c r="D1305" s="3"/>
      <c r="E1305" s="2">
        <v>45684</v>
      </c>
      <c r="F1305">
        <v>380000</v>
      </c>
      <c r="G1305">
        <v>13100</v>
      </c>
      <c r="H1305">
        <v>443</v>
      </c>
      <c r="I1305">
        <v>3</v>
      </c>
      <c r="L1305" t="s">
        <v>3138</v>
      </c>
      <c r="M1305" t="s">
        <v>4005</v>
      </c>
      <c r="N1305" t="s">
        <v>1630</v>
      </c>
      <c r="O1305" s="4">
        <v>45684.7791666667</v>
      </c>
      <c r="P1305" t="s">
        <v>116</v>
      </c>
      <c r="Q1305" t="s">
        <v>1789</v>
      </c>
      <c r="R1305" t="s">
        <v>4016</v>
      </c>
      <c r="T1305" t="s">
        <v>116</v>
      </c>
    </row>
    <row r="1306" ht="25.5" customHeight="1" spans="1:20">
      <c r="A1306" t="s">
        <v>1829</v>
      </c>
      <c r="B1306" t="s">
        <v>65</v>
      </c>
      <c r="C1306" t="s">
        <v>4004</v>
      </c>
      <c r="D1306" s="3"/>
      <c r="E1306" s="2">
        <v>45693</v>
      </c>
      <c r="F1306">
        <v>379000</v>
      </c>
      <c r="G1306">
        <v>14000</v>
      </c>
      <c r="H1306">
        <v>464</v>
      </c>
      <c r="I1306">
        <v>4</v>
      </c>
      <c r="L1306" t="s">
        <v>3138</v>
      </c>
      <c r="M1306" t="s">
        <v>4005</v>
      </c>
      <c r="N1306" t="s">
        <v>1630</v>
      </c>
      <c r="O1306" s="4">
        <v>45693.7779976852</v>
      </c>
      <c r="P1306" t="s">
        <v>116</v>
      </c>
      <c r="Q1306" t="s">
        <v>1789</v>
      </c>
      <c r="R1306" t="s">
        <v>3146</v>
      </c>
      <c r="T1306" t="s">
        <v>116</v>
      </c>
    </row>
    <row r="1307" ht="25.5" customHeight="1" spans="1:20">
      <c r="A1307" t="s">
        <v>1829</v>
      </c>
      <c r="B1307" t="s">
        <v>65</v>
      </c>
      <c r="C1307" t="s">
        <v>4004</v>
      </c>
      <c r="D1307" s="3"/>
      <c r="E1307" s="2">
        <v>45694</v>
      </c>
      <c r="F1307">
        <v>379000</v>
      </c>
      <c r="G1307">
        <v>14100</v>
      </c>
      <c r="H1307">
        <v>467</v>
      </c>
      <c r="I1307">
        <v>4</v>
      </c>
      <c r="L1307" t="s">
        <v>3138</v>
      </c>
      <c r="M1307" t="s">
        <v>4005</v>
      </c>
      <c r="N1307" t="s">
        <v>1630</v>
      </c>
      <c r="O1307" s="4">
        <v>45698.6216782407</v>
      </c>
      <c r="P1307" t="s">
        <v>116</v>
      </c>
      <c r="Q1307" t="s">
        <v>1789</v>
      </c>
      <c r="R1307" t="s">
        <v>4017</v>
      </c>
      <c r="S1307" t="s">
        <v>3245</v>
      </c>
      <c r="T1307" t="s">
        <v>116</v>
      </c>
    </row>
    <row r="1308" ht="25.5" customHeight="1" spans="1:20">
      <c r="A1308" t="s">
        <v>1829</v>
      </c>
      <c r="B1308" t="s">
        <v>65</v>
      </c>
      <c r="C1308" t="s">
        <v>4004</v>
      </c>
      <c r="D1308" s="3"/>
      <c r="E1308" s="2">
        <v>45695</v>
      </c>
      <c r="F1308">
        <v>379000</v>
      </c>
      <c r="G1308">
        <v>14200</v>
      </c>
      <c r="H1308">
        <v>470</v>
      </c>
      <c r="I1308">
        <v>4</v>
      </c>
      <c r="L1308" t="s">
        <v>3138</v>
      </c>
      <c r="M1308" t="s">
        <v>4005</v>
      </c>
      <c r="N1308" t="s">
        <v>1630</v>
      </c>
      <c r="O1308" s="4">
        <v>45695.4883101852</v>
      </c>
      <c r="P1308" t="s">
        <v>116</v>
      </c>
      <c r="Q1308" t="s">
        <v>1789</v>
      </c>
      <c r="R1308" t="s">
        <v>4018</v>
      </c>
      <c r="T1308" t="s">
        <v>116</v>
      </c>
    </row>
    <row r="1309" ht="25.5" customHeight="1" spans="1:20">
      <c r="A1309" t="s">
        <v>2570</v>
      </c>
      <c r="B1309" t="s">
        <v>56</v>
      </c>
      <c r="C1309" t="s">
        <v>4019</v>
      </c>
      <c r="D1309" s="3" t="str">
        <f>HYPERLINK("https://www.tiktok.com/@oxydoxytv","https://www.tiktok.com/@oxydoxytv")</f>
        <v>https://www.tiktok.com/@oxydoxytv</v>
      </c>
      <c r="E1309" s="2">
        <v>45666</v>
      </c>
      <c r="F1309">
        <v>1100000</v>
      </c>
      <c r="G1309">
        <v>10500</v>
      </c>
      <c r="H1309">
        <v>105</v>
      </c>
      <c r="I1309">
        <v>5</v>
      </c>
      <c r="J1309">
        <v>15</v>
      </c>
      <c r="K1309">
        <v>2</v>
      </c>
      <c r="L1309" t="s">
        <v>3331</v>
      </c>
      <c r="M1309" t="s">
        <v>3225</v>
      </c>
      <c r="N1309" t="s">
        <v>1630</v>
      </c>
      <c r="O1309" s="4">
        <v>45672.5030092593</v>
      </c>
      <c r="P1309" t="s">
        <v>57</v>
      </c>
      <c r="Q1309" t="s">
        <v>1789</v>
      </c>
      <c r="R1309" t="s">
        <v>3254</v>
      </c>
      <c r="T1309" t="s">
        <v>57</v>
      </c>
    </row>
    <row r="1310" ht="25.5" customHeight="1" spans="1:20">
      <c r="A1310" t="s">
        <v>2570</v>
      </c>
      <c r="B1310" t="s">
        <v>56</v>
      </c>
      <c r="C1310" t="s">
        <v>4019</v>
      </c>
      <c r="D1310" s="3"/>
      <c r="E1310" s="2">
        <v>45671</v>
      </c>
      <c r="F1310">
        <v>1100000</v>
      </c>
      <c r="G1310">
        <v>10700</v>
      </c>
      <c r="H1310">
        <v>108</v>
      </c>
      <c r="I1310">
        <v>5</v>
      </c>
      <c r="J1310">
        <v>15</v>
      </c>
      <c r="K1310">
        <v>2</v>
      </c>
      <c r="L1310" t="s">
        <v>3331</v>
      </c>
      <c r="M1310" t="s">
        <v>3225</v>
      </c>
      <c r="N1310" t="s">
        <v>1630</v>
      </c>
      <c r="O1310" s="4">
        <v>45672.5030092593</v>
      </c>
      <c r="P1310" t="s">
        <v>57</v>
      </c>
      <c r="Q1310" t="s">
        <v>1789</v>
      </c>
      <c r="R1310" t="s">
        <v>4020</v>
      </c>
      <c r="T1310" t="s">
        <v>57</v>
      </c>
    </row>
    <row r="1311" ht="25.5" customHeight="1" spans="1:20">
      <c r="A1311" t="s">
        <v>2570</v>
      </c>
      <c r="B1311" t="s">
        <v>56</v>
      </c>
      <c r="C1311" t="s">
        <v>4019</v>
      </c>
      <c r="D1311" s="3"/>
      <c r="E1311" s="2">
        <v>45672</v>
      </c>
      <c r="F1311">
        <v>1100000</v>
      </c>
      <c r="G1311">
        <v>10800</v>
      </c>
      <c r="H1311">
        <v>111</v>
      </c>
      <c r="I1311">
        <v>6</v>
      </c>
      <c r="J1311">
        <v>15</v>
      </c>
      <c r="K1311">
        <v>2</v>
      </c>
      <c r="L1311" t="s">
        <v>3331</v>
      </c>
      <c r="M1311" t="s">
        <v>3225</v>
      </c>
      <c r="N1311" t="s">
        <v>1630</v>
      </c>
      <c r="O1311" s="4">
        <v>45672.5219097222</v>
      </c>
      <c r="P1311" t="s">
        <v>57</v>
      </c>
      <c r="Q1311" t="s">
        <v>1789</v>
      </c>
      <c r="R1311" t="s">
        <v>4021</v>
      </c>
      <c r="T1311" t="s">
        <v>57</v>
      </c>
    </row>
    <row r="1312" ht="25.5" customHeight="1" spans="1:20">
      <c r="A1312" t="s">
        <v>2570</v>
      </c>
      <c r="B1312" t="s">
        <v>56</v>
      </c>
      <c r="C1312" t="s">
        <v>4019</v>
      </c>
      <c r="D1312" s="3"/>
      <c r="E1312" s="2">
        <v>45673</v>
      </c>
      <c r="F1312">
        <v>1100000</v>
      </c>
      <c r="G1312">
        <v>11000</v>
      </c>
      <c r="H1312">
        <v>112</v>
      </c>
      <c r="I1312">
        <v>6</v>
      </c>
      <c r="J1312">
        <v>16</v>
      </c>
      <c r="K1312">
        <v>2</v>
      </c>
      <c r="L1312" t="s">
        <v>3331</v>
      </c>
      <c r="M1312" t="s">
        <v>3225</v>
      </c>
      <c r="N1312" t="s">
        <v>1630</v>
      </c>
      <c r="O1312" s="4">
        <v>45673.6151041667</v>
      </c>
      <c r="P1312" t="s">
        <v>57</v>
      </c>
      <c r="Q1312" t="s">
        <v>1789</v>
      </c>
      <c r="R1312" t="s">
        <v>3255</v>
      </c>
      <c r="T1312" t="s">
        <v>57</v>
      </c>
    </row>
    <row r="1313" ht="25.5" customHeight="1" spans="1:20">
      <c r="A1313" t="s">
        <v>2570</v>
      </c>
      <c r="B1313" t="s">
        <v>56</v>
      </c>
      <c r="C1313" t="s">
        <v>4019</v>
      </c>
      <c r="D1313" s="3"/>
      <c r="E1313" s="2">
        <v>45674</v>
      </c>
      <c r="F1313">
        <v>1100000</v>
      </c>
      <c r="G1313">
        <v>11200</v>
      </c>
      <c r="H1313">
        <v>114</v>
      </c>
      <c r="I1313">
        <v>6</v>
      </c>
      <c r="J1313">
        <v>16</v>
      </c>
      <c r="K1313">
        <v>2</v>
      </c>
      <c r="L1313" t="s">
        <v>3331</v>
      </c>
      <c r="M1313" t="s">
        <v>3225</v>
      </c>
      <c r="N1313" t="s">
        <v>1630</v>
      </c>
      <c r="O1313" s="4">
        <v>45674.6729398148</v>
      </c>
      <c r="P1313" t="s">
        <v>57</v>
      </c>
      <c r="Q1313" t="s">
        <v>1789</v>
      </c>
      <c r="R1313" t="s">
        <v>4022</v>
      </c>
      <c r="T1313" t="s">
        <v>57</v>
      </c>
    </row>
    <row r="1314" ht="25.5" customHeight="1" spans="1:20">
      <c r="A1314" t="s">
        <v>2570</v>
      </c>
      <c r="B1314" t="s">
        <v>56</v>
      </c>
      <c r="C1314" t="s">
        <v>4019</v>
      </c>
      <c r="D1314" s="3"/>
      <c r="E1314" s="2">
        <v>45677</v>
      </c>
      <c r="F1314">
        <v>1100000</v>
      </c>
      <c r="G1314">
        <v>11800</v>
      </c>
      <c r="H1314">
        <v>119</v>
      </c>
      <c r="I1314">
        <v>7</v>
      </c>
      <c r="J1314">
        <v>16</v>
      </c>
      <c r="K1314">
        <v>2</v>
      </c>
      <c r="L1314" t="s">
        <v>3331</v>
      </c>
      <c r="M1314" t="s">
        <v>3225</v>
      </c>
      <c r="N1314" t="s">
        <v>1630</v>
      </c>
      <c r="O1314" s="4">
        <v>45677.4329282407</v>
      </c>
      <c r="P1314" t="s">
        <v>57</v>
      </c>
      <c r="Q1314" t="s">
        <v>1789</v>
      </c>
      <c r="R1314" t="s">
        <v>3429</v>
      </c>
      <c r="T1314" t="s">
        <v>57</v>
      </c>
    </row>
    <row r="1315" ht="25.5" customHeight="1" spans="1:20">
      <c r="A1315" t="s">
        <v>2570</v>
      </c>
      <c r="B1315" t="s">
        <v>56</v>
      </c>
      <c r="C1315" t="s">
        <v>4019</v>
      </c>
      <c r="D1315" s="3"/>
      <c r="E1315" s="2">
        <v>45678</v>
      </c>
      <c r="F1315">
        <v>1100000</v>
      </c>
      <c r="G1315">
        <v>12100</v>
      </c>
      <c r="H1315">
        <v>120</v>
      </c>
      <c r="I1315">
        <v>7</v>
      </c>
      <c r="J1315">
        <v>16</v>
      </c>
      <c r="K1315">
        <v>2</v>
      </c>
      <c r="L1315" t="s">
        <v>3331</v>
      </c>
      <c r="M1315" t="s">
        <v>3225</v>
      </c>
      <c r="N1315" t="s">
        <v>1630</v>
      </c>
      <c r="O1315" s="4">
        <v>45678.6375694444</v>
      </c>
      <c r="P1315" t="s">
        <v>57</v>
      </c>
      <c r="Q1315" t="s">
        <v>1789</v>
      </c>
      <c r="R1315" t="s">
        <v>3923</v>
      </c>
      <c r="T1315" t="s">
        <v>57</v>
      </c>
    </row>
    <row r="1316" ht="25.5" customHeight="1" spans="1:20">
      <c r="A1316" t="s">
        <v>2570</v>
      </c>
      <c r="B1316" t="s">
        <v>56</v>
      </c>
      <c r="C1316" t="s">
        <v>4019</v>
      </c>
      <c r="D1316" s="3"/>
      <c r="E1316" s="2">
        <v>45679</v>
      </c>
      <c r="F1316">
        <v>1100000</v>
      </c>
      <c r="G1316">
        <v>12300</v>
      </c>
      <c r="H1316">
        <v>124</v>
      </c>
      <c r="I1316">
        <v>8</v>
      </c>
      <c r="J1316">
        <v>18</v>
      </c>
      <c r="K1316">
        <v>2</v>
      </c>
      <c r="L1316" t="s">
        <v>3331</v>
      </c>
      <c r="M1316" t="s">
        <v>3225</v>
      </c>
      <c r="N1316" t="s">
        <v>1630</v>
      </c>
      <c r="O1316" s="4">
        <v>45680.6501736111</v>
      </c>
      <c r="P1316" t="s">
        <v>57</v>
      </c>
      <c r="Q1316" t="s">
        <v>1789</v>
      </c>
      <c r="R1316" t="s">
        <v>4023</v>
      </c>
      <c r="T1316" t="s">
        <v>57</v>
      </c>
    </row>
    <row r="1317" ht="25.5" customHeight="1" spans="1:20">
      <c r="A1317" t="s">
        <v>2570</v>
      </c>
      <c r="B1317" t="s">
        <v>56</v>
      </c>
      <c r="C1317" t="s">
        <v>4019</v>
      </c>
      <c r="D1317" s="3"/>
      <c r="E1317" s="2">
        <v>45680</v>
      </c>
      <c r="F1317">
        <v>1100000</v>
      </c>
      <c r="G1317">
        <v>12700</v>
      </c>
      <c r="H1317">
        <v>128</v>
      </c>
      <c r="I1317">
        <v>9</v>
      </c>
      <c r="J1317">
        <v>18</v>
      </c>
      <c r="K1317">
        <v>2</v>
      </c>
      <c r="L1317" t="s">
        <v>3331</v>
      </c>
      <c r="M1317" t="s">
        <v>3225</v>
      </c>
      <c r="N1317" t="s">
        <v>1630</v>
      </c>
      <c r="O1317" s="4">
        <v>45680.6503240741</v>
      </c>
      <c r="P1317" t="s">
        <v>57</v>
      </c>
      <c r="Q1317" t="s">
        <v>1789</v>
      </c>
      <c r="R1317" t="s">
        <v>4024</v>
      </c>
      <c r="T1317" t="s">
        <v>57</v>
      </c>
    </row>
    <row r="1318" ht="25.5" customHeight="1" spans="1:20">
      <c r="A1318" t="s">
        <v>2570</v>
      </c>
      <c r="B1318" t="s">
        <v>56</v>
      </c>
      <c r="C1318" t="s">
        <v>4019</v>
      </c>
      <c r="D1318" s="3"/>
      <c r="E1318" s="2">
        <v>45681</v>
      </c>
      <c r="F1318">
        <v>1100000</v>
      </c>
      <c r="G1318">
        <v>12800</v>
      </c>
      <c r="H1318">
        <v>130</v>
      </c>
      <c r="I1318">
        <v>9</v>
      </c>
      <c r="J1318">
        <v>18</v>
      </c>
      <c r="K1318">
        <v>2</v>
      </c>
      <c r="L1318" t="s">
        <v>3331</v>
      </c>
      <c r="M1318" t="s">
        <v>3225</v>
      </c>
      <c r="N1318" t="s">
        <v>1630</v>
      </c>
      <c r="O1318" s="4">
        <v>45681.6109953704</v>
      </c>
      <c r="P1318" t="s">
        <v>57</v>
      </c>
      <c r="Q1318" t="s">
        <v>1789</v>
      </c>
      <c r="R1318" t="s">
        <v>3562</v>
      </c>
      <c r="T1318" t="s">
        <v>57</v>
      </c>
    </row>
    <row r="1319" ht="25.5" customHeight="1" spans="1:20">
      <c r="A1319" t="s">
        <v>2570</v>
      </c>
      <c r="B1319" t="s">
        <v>56</v>
      </c>
      <c r="C1319" t="s">
        <v>4019</v>
      </c>
      <c r="D1319" s="3"/>
      <c r="E1319" s="2">
        <v>45683</v>
      </c>
      <c r="F1319">
        <v>1100000</v>
      </c>
      <c r="G1319">
        <v>13400</v>
      </c>
      <c r="H1319">
        <v>140</v>
      </c>
      <c r="I1319">
        <v>9</v>
      </c>
      <c r="J1319">
        <v>20</v>
      </c>
      <c r="K1319">
        <v>2</v>
      </c>
      <c r="L1319" t="s">
        <v>3331</v>
      </c>
      <c r="M1319" t="s">
        <v>3225</v>
      </c>
      <c r="N1319" t="s">
        <v>1630</v>
      </c>
      <c r="O1319" s="4">
        <v>45683.7684953704</v>
      </c>
      <c r="P1319" t="s">
        <v>57</v>
      </c>
      <c r="Q1319" t="s">
        <v>1789</v>
      </c>
      <c r="R1319" t="s">
        <v>3183</v>
      </c>
      <c r="T1319" t="s">
        <v>57</v>
      </c>
    </row>
    <row r="1320" ht="25.5" customHeight="1" spans="1:20">
      <c r="A1320" t="s">
        <v>2570</v>
      </c>
      <c r="B1320" t="s">
        <v>56</v>
      </c>
      <c r="C1320" t="s">
        <v>4019</v>
      </c>
      <c r="D1320" s="3"/>
      <c r="E1320" s="2">
        <v>45684</v>
      </c>
      <c r="F1320">
        <v>1100000</v>
      </c>
      <c r="G1320">
        <v>13600</v>
      </c>
      <c r="H1320">
        <v>140</v>
      </c>
      <c r="I1320">
        <v>9</v>
      </c>
      <c r="J1320">
        <v>22</v>
      </c>
      <c r="K1320">
        <v>2</v>
      </c>
      <c r="L1320" t="s">
        <v>3331</v>
      </c>
      <c r="M1320" t="s">
        <v>3225</v>
      </c>
      <c r="N1320" t="s">
        <v>1630</v>
      </c>
      <c r="O1320" s="4">
        <v>45684.8418287037</v>
      </c>
      <c r="P1320" t="s">
        <v>57</v>
      </c>
      <c r="Q1320" t="s">
        <v>1789</v>
      </c>
      <c r="R1320" t="s">
        <v>3457</v>
      </c>
      <c r="T1320" t="s">
        <v>57</v>
      </c>
    </row>
    <row r="1321" ht="25.5" customHeight="1" spans="1:20">
      <c r="A1321" t="s">
        <v>2570</v>
      </c>
      <c r="B1321" t="s">
        <v>56</v>
      </c>
      <c r="C1321" t="s">
        <v>4019</v>
      </c>
      <c r="D1321" s="3"/>
      <c r="E1321" s="2">
        <v>45693</v>
      </c>
      <c r="F1321">
        <v>1100000</v>
      </c>
      <c r="G1321">
        <v>14400</v>
      </c>
      <c r="H1321">
        <v>154</v>
      </c>
      <c r="I1321">
        <v>10</v>
      </c>
      <c r="J1321">
        <v>25</v>
      </c>
      <c r="K1321">
        <v>3</v>
      </c>
      <c r="L1321" t="s">
        <v>3331</v>
      </c>
      <c r="M1321" t="s">
        <v>3225</v>
      </c>
      <c r="N1321" t="s">
        <v>1630</v>
      </c>
      <c r="O1321" s="4">
        <v>45693.8230902778</v>
      </c>
      <c r="P1321" t="s">
        <v>57</v>
      </c>
      <c r="Q1321" t="s">
        <v>1789</v>
      </c>
      <c r="R1321" t="s">
        <v>4025</v>
      </c>
      <c r="T1321" t="s">
        <v>57</v>
      </c>
    </row>
    <row r="1322" ht="25.5" customHeight="1" spans="1:20">
      <c r="A1322" t="s">
        <v>2570</v>
      </c>
      <c r="B1322" t="s">
        <v>56</v>
      </c>
      <c r="C1322" t="s">
        <v>4019</v>
      </c>
      <c r="D1322" s="3"/>
      <c r="E1322" s="2">
        <v>45694</v>
      </c>
      <c r="F1322">
        <v>1100000</v>
      </c>
      <c r="G1322">
        <v>14400</v>
      </c>
      <c r="H1322">
        <v>155</v>
      </c>
      <c r="I1322">
        <v>10</v>
      </c>
      <c r="J1322">
        <v>25</v>
      </c>
      <c r="K1322">
        <v>3</v>
      </c>
      <c r="L1322" t="s">
        <v>3331</v>
      </c>
      <c r="M1322" t="s">
        <v>3225</v>
      </c>
      <c r="N1322" t="s">
        <v>1630</v>
      </c>
      <c r="O1322" s="4">
        <v>45698.6216782407</v>
      </c>
      <c r="P1322" t="s">
        <v>57</v>
      </c>
      <c r="Q1322" t="s">
        <v>1789</v>
      </c>
      <c r="R1322" t="s">
        <v>4026</v>
      </c>
      <c r="S1322" t="s">
        <v>3152</v>
      </c>
      <c r="T1322" t="s">
        <v>57</v>
      </c>
    </row>
    <row r="1323" ht="25.5" customHeight="1" spans="1:20">
      <c r="A1323" t="s">
        <v>3061</v>
      </c>
      <c r="B1323" t="s">
        <v>56</v>
      </c>
      <c r="C1323" t="s">
        <v>4027</v>
      </c>
      <c r="D1323" s="3"/>
      <c r="E1323" s="2">
        <v>45673</v>
      </c>
      <c r="F1323">
        <v>12700</v>
      </c>
      <c r="G1323">
        <v>424</v>
      </c>
      <c r="H1323">
        <v>37</v>
      </c>
      <c r="I1323">
        <v>29</v>
      </c>
      <c r="J1323">
        <v>15</v>
      </c>
      <c r="K1323">
        <v>6</v>
      </c>
      <c r="L1323" t="s">
        <v>4028</v>
      </c>
      <c r="M1323" t="s">
        <v>3662</v>
      </c>
      <c r="N1323" t="s">
        <v>1630</v>
      </c>
      <c r="O1323" s="4">
        <v>45673.6153703704</v>
      </c>
      <c r="P1323" t="s">
        <v>57</v>
      </c>
      <c r="Q1323" t="s">
        <v>1779</v>
      </c>
      <c r="R1323" t="s">
        <v>3328</v>
      </c>
      <c r="T1323" t="s">
        <v>57</v>
      </c>
    </row>
    <row r="1324" ht="25.5" customHeight="1" spans="1:20">
      <c r="A1324" t="s">
        <v>3061</v>
      </c>
      <c r="B1324" t="s">
        <v>56</v>
      </c>
      <c r="C1324" t="s">
        <v>4027</v>
      </c>
      <c r="D1324" s="3"/>
      <c r="E1324" s="2">
        <v>45674</v>
      </c>
      <c r="F1324">
        <v>12700</v>
      </c>
      <c r="G1324">
        <v>488</v>
      </c>
      <c r="H1324">
        <v>40</v>
      </c>
      <c r="I1324">
        <v>30</v>
      </c>
      <c r="J1324">
        <v>15</v>
      </c>
      <c r="K1324">
        <v>6</v>
      </c>
      <c r="L1324" t="s">
        <v>3213</v>
      </c>
      <c r="M1324" t="s">
        <v>3662</v>
      </c>
      <c r="N1324" t="s">
        <v>1630</v>
      </c>
      <c r="O1324" s="4">
        <v>45674.6732175926</v>
      </c>
      <c r="P1324" t="s">
        <v>57</v>
      </c>
      <c r="Q1324" t="s">
        <v>1779</v>
      </c>
      <c r="R1324" t="s">
        <v>3772</v>
      </c>
      <c r="T1324" t="s">
        <v>57</v>
      </c>
    </row>
    <row r="1325" ht="25.5" customHeight="1" spans="1:20">
      <c r="A1325" t="s">
        <v>3061</v>
      </c>
      <c r="B1325" t="s">
        <v>56</v>
      </c>
      <c r="C1325" t="s">
        <v>4027</v>
      </c>
      <c r="D1325" s="3"/>
      <c r="E1325" s="2">
        <v>45677</v>
      </c>
      <c r="F1325">
        <v>12800</v>
      </c>
      <c r="G1325">
        <v>636</v>
      </c>
      <c r="H1325">
        <v>45</v>
      </c>
      <c r="I1325">
        <v>30</v>
      </c>
      <c r="J1325">
        <v>17</v>
      </c>
      <c r="K1325">
        <v>6</v>
      </c>
      <c r="L1325" t="s">
        <v>3227</v>
      </c>
      <c r="M1325" t="s">
        <v>3662</v>
      </c>
      <c r="N1325" t="s">
        <v>1630</v>
      </c>
      <c r="O1325" s="4">
        <v>45677.4330902778</v>
      </c>
      <c r="P1325" t="s">
        <v>57</v>
      </c>
      <c r="Q1325" t="s">
        <v>1779</v>
      </c>
      <c r="R1325" t="s">
        <v>4029</v>
      </c>
      <c r="T1325" t="s">
        <v>57</v>
      </c>
    </row>
    <row r="1326" ht="25.5" customHeight="1" spans="1:20">
      <c r="A1326" t="s">
        <v>3061</v>
      </c>
      <c r="B1326" t="s">
        <v>56</v>
      </c>
      <c r="C1326" t="s">
        <v>4027</v>
      </c>
      <c r="D1326" s="3"/>
      <c r="E1326" s="2">
        <v>45678</v>
      </c>
      <c r="F1326">
        <v>12800</v>
      </c>
      <c r="G1326">
        <v>673</v>
      </c>
      <c r="H1326">
        <v>45</v>
      </c>
      <c r="I1326">
        <v>30</v>
      </c>
      <c r="J1326">
        <v>17</v>
      </c>
      <c r="K1326">
        <v>6</v>
      </c>
      <c r="L1326" t="s">
        <v>3612</v>
      </c>
      <c r="M1326" t="s">
        <v>3662</v>
      </c>
      <c r="N1326" t="s">
        <v>1630</v>
      </c>
      <c r="O1326" s="4">
        <v>45678.6377083333</v>
      </c>
      <c r="P1326" t="s">
        <v>57</v>
      </c>
      <c r="Q1326" t="s">
        <v>1779</v>
      </c>
      <c r="R1326" t="s">
        <v>4029</v>
      </c>
      <c r="T1326" t="s">
        <v>57</v>
      </c>
    </row>
    <row r="1327" ht="25.5" customHeight="1" spans="1:20">
      <c r="A1327" t="s">
        <v>3061</v>
      </c>
      <c r="B1327" t="s">
        <v>56</v>
      </c>
      <c r="C1327" t="s">
        <v>4027</v>
      </c>
      <c r="D1327" s="3"/>
      <c r="E1327" s="2">
        <v>45679</v>
      </c>
      <c r="F1327">
        <v>12800</v>
      </c>
      <c r="G1327">
        <v>697</v>
      </c>
      <c r="H1327">
        <v>46</v>
      </c>
      <c r="I1327">
        <v>30</v>
      </c>
      <c r="J1327">
        <v>18</v>
      </c>
      <c r="K1327">
        <v>6</v>
      </c>
      <c r="L1327" t="s">
        <v>3612</v>
      </c>
      <c r="M1327" t="s">
        <v>3662</v>
      </c>
      <c r="N1327" t="s">
        <v>1630</v>
      </c>
      <c r="O1327" s="4">
        <v>45679.6945486111</v>
      </c>
      <c r="P1327" t="s">
        <v>57</v>
      </c>
      <c r="Q1327" t="s">
        <v>1779</v>
      </c>
      <c r="R1327" t="s">
        <v>3773</v>
      </c>
      <c r="T1327" t="s">
        <v>57</v>
      </c>
    </row>
    <row r="1328" ht="25.5" customHeight="1" spans="1:20">
      <c r="A1328" t="s">
        <v>3061</v>
      </c>
      <c r="B1328" t="s">
        <v>56</v>
      </c>
      <c r="C1328" t="s">
        <v>4027</v>
      </c>
      <c r="D1328" s="3"/>
      <c r="E1328" s="2">
        <v>45680</v>
      </c>
      <c r="F1328">
        <v>12800</v>
      </c>
      <c r="G1328">
        <v>748</v>
      </c>
      <c r="H1328">
        <v>47</v>
      </c>
      <c r="I1328">
        <v>37</v>
      </c>
      <c r="J1328">
        <v>18</v>
      </c>
      <c r="K1328">
        <v>6</v>
      </c>
      <c r="L1328" t="s">
        <v>3612</v>
      </c>
      <c r="M1328" t="s">
        <v>3662</v>
      </c>
      <c r="N1328" t="s">
        <v>1630</v>
      </c>
      <c r="O1328" s="4">
        <v>45681.6111921296</v>
      </c>
      <c r="P1328" t="s">
        <v>57</v>
      </c>
      <c r="Q1328" t="s">
        <v>1779</v>
      </c>
      <c r="R1328" t="s">
        <v>3512</v>
      </c>
      <c r="T1328" t="s">
        <v>57</v>
      </c>
    </row>
    <row r="1329" ht="25.5" customHeight="1" spans="1:20">
      <c r="A1329" t="s">
        <v>3061</v>
      </c>
      <c r="B1329" t="s">
        <v>56</v>
      </c>
      <c r="C1329" t="s">
        <v>4027</v>
      </c>
      <c r="D1329" s="3"/>
      <c r="E1329" s="2">
        <v>45681</v>
      </c>
      <c r="F1329">
        <v>12800</v>
      </c>
      <c r="G1329">
        <v>750</v>
      </c>
      <c r="H1329">
        <v>47</v>
      </c>
      <c r="I1329">
        <v>37</v>
      </c>
      <c r="J1329">
        <v>18</v>
      </c>
      <c r="K1329">
        <v>6</v>
      </c>
      <c r="L1329" t="s">
        <v>3612</v>
      </c>
      <c r="M1329" t="s">
        <v>3662</v>
      </c>
      <c r="N1329" t="s">
        <v>1630</v>
      </c>
      <c r="O1329" s="4">
        <v>45683.7691782407</v>
      </c>
      <c r="P1329" t="s">
        <v>57</v>
      </c>
      <c r="Q1329" t="s">
        <v>1779</v>
      </c>
      <c r="R1329" t="s">
        <v>3512</v>
      </c>
      <c r="T1329" t="s">
        <v>57</v>
      </c>
    </row>
    <row r="1330" ht="25.5" customHeight="1" spans="1:20">
      <c r="A1330" t="s">
        <v>3061</v>
      </c>
      <c r="B1330" t="s">
        <v>56</v>
      </c>
      <c r="C1330" t="s">
        <v>4027</v>
      </c>
      <c r="D1330" s="3"/>
      <c r="E1330" s="2">
        <v>45683</v>
      </c>
      <c r="F1330">
        <v>12800</v>
      </c>
      <c r="G1330">
        <v>790</v>
      </c>
      <c r="H1330">
        <v>48</v>
      </c>
      <c r="I1330">
        <v>38</v>
      </c>
      <c r="J1330">
        <v>18</v>
      </c>
      <c r="K1330">
        <v>6</v>
      </c>
      <c r="L1330" t="s">
        <v>3612</v>
      </c>
      <c r="M1330" t="s">
        <v>3662</v>
      </c>
      <c r="N1330" t="s">
        <v>1630</v>
      </c>
      <c r="O1330" s="4">
        <v>45683.7689583333</v>
      </c>
      <c r="P1330" t="s">
        <v>57</v>
      </c>
      <c r="Q1330" t="s">
        <v>1779</v>
      </c>
      <c r="R1330" t="s">
        <v>4030</v>
      </c>
      <c r="T1330" t="s">
        <v>57</v>
      </c>
    </row>
    <row r="1331" ht="25.5" customHeight="1" spans="1:20">
      <c r="A1331" t="s">
        <v>3061</v>
      </c>
      <c r="B1331" t="s">
        <v>56</v>
      </c>
      <c r="C1331" t="s">
        <v>4027</v>
      </c>
      <c r="D1331" s="3"/>
      <c r="E1331" s="2">
        <v>45684</v>
      </c>
      <c r="F1331">
        <v>12800</v>
      </c>
      <c r="G1331">
        <v>823</v>
      </c>
      <c r="H1331">
        <v>48</v>
      </c>
      <c r="I1331">
        <v>38</v>
      </c>
      <c r="J1331">
        <v>18</v>
      </c>
      <c r="K1331">
        <v>6</v>
      </c>
      <c r="L1331" t="s">
        <v>3298</v>
      </c>
      <c r="M1331" t="s">
        <v>3662</v>
      </c>
      <c r="N1331" t="s">
        <v>1630</v>
      </c>
      <c r="O1331" s="4">
        <v>45684.8421180556</v>
      </c>
      <c r="P1331" t="s">
        <v>57</v>
      </c>
      <c r="Q1331" t="s">
        <v>1779</v>
      </c>
      <c r="R1331" t="s">
        <v>4030</v>
      </c>
      <c r="T1331" t="s">
        <v>57</v>
      </c>
    </row>
    <row r="1332" ht="25.5" customHeight="1" spans="1:20">
      <c r="A1332" t="s">
        <v>3061</v>
      </c>
      <c r="B1332" t="s">
        <v>56</v>
      </c>
      <c r="C1332" t="s">
        <v>4027</v>
      </c>
      <c r="D1332" s="3"/>
      <c r="E1332" s="2">
        <v>45693</v>
      </c>
      <c r="F1332">
        <v>12800</v>
      </c>
      <c r="G1332">
        <v>947</v>
      </c>
      <c r="H1332">
        <v>50</v>
      </c>
      <c r="I1332">
        <v>38</v>
      </c>
      <c r="J1332">
        <v>19</v>
      </c>
      <c r="K1332">
        <v>6</v>
      </c>
      <c r="L1332" t="s">
        <v>3260</v>
      </c>
      <c r="M1332" t="s">
        <v>3662</v>
      </c>
      <c r="N1332" t="s">
        <v>1630</v>
      </c>
      <c r="O1332" s="4">
        <v>45693.823287037</v>
      </c>
      <c r="P1332" t="s">
        <v>57</v>
      </c>
      <c r="Q1332" t="s">
        <v>1779</v>
      </c>
      <c r="R1332" t="s">
        <v>3390</v>
      </c>
      <c r="T1332" t="s">
        <v>57</v>
      </c>
    </row>
    <row r="1333" ht="25.5" customHeight="1" spans="1:20">
      <c r="A1333" t="s">
        <v>3061</v>
      </c>
      <c r="B1333" t="s">
        <v>56</v>
      </c>
      <c r="C1333" t="s">
        <v>4027</v>
      </c>
      <c r="D1333" s="3"/>
      <c r="E1333" s="2">
        <v>45694</v>
      </c>
      <c r="F1333">
        <v>12800</v>
      </c>
      <c r="G1333">
        <v>952</v>
      </c>
      <c r="H1333">
        <v>50</v>
      </c>
      <c r="I1333">
        <v>38</v>
      </c>
      <c r="J1333">
        <v>19</v>
      </c>
      <c r="K1333">
        <v>6</v>
      </c>
      <c r="L1333" t="s">
        <v>3260</v>
      </c>
      <c r="M1333" t="s">
        <v>3662</v>
      </c>
      <c r="N1333" t="s">
        <v>1630</v>
      </c>
      <c r="O1333" s="4">
        <v>45698.6216782407</v>
      </c>
      <c r="P1333" t="s">
        <v>57</v>
      </c>
      <c r="Q1333" t="s">
        <v>1779</v>
      </c>
      <c r="R1333" t="s">
        <v>3390</v>
      </c>
      <c r="S1333" t="s">
        <v>3180</v>
      </c>
      <c r="T1333" t="s">
        <v>57</v>
      </c>
    </row>
    <row r="1334" ht="25.5" customHeight="1" spans="1:20">
      <c r="A1334" t="s">
        <v>3061</v>
      </c>
      <c r="B1334" t="s">
        <v>56</v>
      </c>
      <c r="C1334" t="s">
        <v>4027</v>
      </c>
      <c r="D1334" s="3"/>
      <c r="E1334" s="2">
        <v>45695</v>
      </c>
      <c r="F1334">
        <v>12800</v>
      </c>
      <c r="G1334">
        <v>960</v>
      </c>
      <c r="H1334">
        <v>51</v>
      </c>
      <c r="I1334">
        <v>40</v>
      </c>
      <c r="J1334">
        <v>19</v>
      </c>
      <c r="K1334">
        <v>6</v>
      </c>
      <c r="L1334" t="s">
        <v>3260</v>
      </c>
      <c r="M1334" t="s">
        <v>3662</v>
      </c>
      <c r="N1334" t="s">
        <v>1630</v>
      </c>
      <c r="O1334" s="4">
        <v>45695.716412037</v>
      </c>
      <c r="P1334" t="s">
        <v>57</v>
      </c>
      <c r="Q1334" t="s">
        <v>1779</v>
      </c>
      <c r="R1334" t="s">
        <v>3391</v>
      </c>
      <c r="T1334" t="s">
        <v>57</v>
      </c>
    </row>
    <row r="1335" ht="25.5" customHeight="1" spans="1:20">
      <c r="A1335" t="s">
        <v>3061</v>
      </c>
      <c r="B1335" t="s">
        <v>56</v>
      </c>
      <c r="C1335" t="s">
        <v>4027</v>
      </c>
      <c r="D1335" s="3"/>
      <c r="E1335" s="2">
        <v>45696</v>
      </c>
      <c r="F1335">
        <v>12800</v>
      </c>
      <c r="G1335">
        <v>962</v>
      </c>
      <c r="H1335">
        <v>51</v>
      </c>
      <c r="I1335">
        <v>40</v>
      </c>
      <c r="J1335">
        <v>19</v>
      </c>
      <c r="K1335">
        <v>6</v>
      </c>
      <c r="L1335" t="s">
        <v>3260</v>
      </c>
      <c r="M1335" t="s">
        <v>3662</v>
      </c>
      <c r="N1335" t="s">
        <v>1630</v>
      </c>
      <c r="O1335" s="4">
        <v>45696.4344212963</v>
      </c>
      <c r="P1335" t="s">
        <v>57</v>
      </c>
      <c r="Q1335" t="s">
        <v>1779</v>
      </c>
      <c r="R1335" t="s">
        <v>3391</v>
      </c>
      <c r="T1335" t="s">
        <v>57</v>
      </c>
    </row>
    <row r="1336" ht="25.5" customHeight="1" spans="1:20">
      <c r="A1336" t="s">
        <v>2885</v>
      </c>
      <c r="B1336" t="s">
        <v>56</v>
      </c>
      <c r="C1336" t="s">
        <v>4031</v>
      </c>
      <c r="D1336" s="3"/>
      <c r="E1336" s="2">
        <v>45678</v>
      </c>
      <c r="F1336">
        <v>35000</v>
      </c>
      <c r="G1336">
        <v>111</v>
      </c>
      <c r="H1336">
        <v>6</v>
      </c>
      <c r="I1336">
        <v>2</v>
      </c>
      <c r="J1336">
        <v>3</v>
      </c>
      <c r="K1336">
        <v>1</v>
      </c>
      <c r="L1336" t="s">
        <v>3317</v>
      </c>
      <c r="M1336" t="s">
        <v>3808</v>
      </c>
      <c r="N1336" t="s">
        <v>1630</v>
      </c>
      <c r="O1336" s="4">
        <v>45678.6378703704</v>
      </c>
      <c r="P1336" t="s">
        <v>57</v>
      </c>
      <c r="Q1336" t="s">
        <v>1753</v>
      </c>
      <c r="R1336" t="s">
        <v>3859</v>
      </c>
      <c r="T1336" t="s">
        <v>57</v>
      </c>
    </row>
    <row r="1337" ht="25.5" customHeight="1" spans="1:20">
      <c r="A1337" t="s">
        <v>2885</v>
      </c>
      <c r="B1337" t="s">
        <v>56</v>
      </c>
      <c r="C1337" t="s">
        <v>4031</v>
      </c>
      <c r="D1337" s="3"/>
      <c r="E1337" s="2">
        <v>45679</v>
      </c>
      <c r="F1337">
        <v>35000</v>
      </c>
      <c r="G1337">
        <v>224</v>
      </c>
      <c r="H1337">
        <v>24</v>
      </c>
      <c r="I1337">
        <v>2</v>
      </c>
      <c r="J1337">
        <v>6</v>
      </c>
      <c r="K1337">
        <v>1</v>
      </c>
      <c r="L1337" t="s">
        <v>3612</v>
      </c>
      <c r="M1337" t="s">
        <v>3808</v>
      </c>
      <c r="N1337" t="s">
        <v>1630</v>
      </c>
      <c r="O1337" s="4">
        <v>45679.6946990741</v>
      </c>
      <c r="P1337" t="s">
        <v>57</v>
      </c>
      <c r="Q1337" t="s">
        <v>1753</v>
      </c>
      <c r="R1337" t="s">
        <v>3789</v>
      </c>
      <c r="T1337" t="s">
        <v>57</v>
      </c>
    </row>
    <row r="1338" ht="25.5" customHeight="1" spans="1:20">
      <c r="A1338" t="s">
        <v>2885</v>
      </c>
      <c r="B1338" t="s">
        <v>56</v>
      </c>
      <c r="C1338" t="s">
        <v>4031</v>
      </c>
      <c r="D1338" s="3"/>
      <c r="E1338" s="2">
        <v>45680</v>
      </c>
      <c r="F1338">
        <v>35000</v>
      </c>
      <c r="G1338">
        <v>262</v>
      </c>
      <c r="H1338">
        <v>27</v>
      </c>
      <c r="I1338">
        <v>2</v>
      </c>
      <c r="J1338">
        <v>8</v>
      </c>
      <c r="K1338">
        <v>1</v>
      </c>
      <c r="L1338" t="s">
        <v>3298</v>
      </c>
      <c r="M1338" t="s">
        <v>3808</v>
      </c>
      <c r="N1338" t="s">
        <v>1630</v>
      </c>
      <c r="O1338" s="4">
        <v>45680.6511574074</v>
      </c>
      <c r="P1338" t="s">
        <v>57</v>
      </c>
      <c r="Q1338" t="s">
        <v>1753</v>
      </c>
      <c r="R1338" t="s">
        <v>3506</v>
      </c>
      <c r="T1338" t="s">
        <v>57</v>
      </c>
    </row>
    <row r="1339" ht="25.5" customHeight="1" spans="1:20">
      <c r="A1339" t="s">
        <v>2885</v>
      </c>
      <c r="B1339" t="s">
        <v>56</v>
      </c>
      <c r="C1339" t="s">
        <v>4031</v>
      </c>
      <c r="D1339" s="3"/>
      <c r="E1339" s="2">
        <v>45681</v>
      </c>
      <c r="F1339">
        <v>35000</v>
      </c>
      <c r="G1339">
        <v>276</v>
      </c>
      <c r="H1339">
        <v>30</v>
      </c>
      <c r="I1339">
        <v>2</v>
      </c>
      <c r="J1339">
        <v>8</v>
      </c>
      <c r="K1339">
        <v>1</v>
      </c>
      <c r="L1339" t="s">
        <v>3612</v>
      </c>
      <c r="M1339" t="s">
        <v>3808</v>
      </c>
      <c r="N1339" t="s">
        <v>1630</v>
      </c>
      <c r="O1339" s="4">
        <v>45681.6113657407</v>
      </c>
      <c r="P1339" t="s">
        <v>57</v>
      </c>
      <c r="Q1339" t="s">
        <v>1753</v>
      </c>
      <c r="R1339" t="s">
        <v>3283</v>
      </c>
      <c r="T1339" t="s">
        <v>57</v>
      </c>
    </row>
    <row r="1340" ht="25.5" customHeight="1" spans="1:20">
      <c r="A1340" t="s">
        <v>2885</v>
      </c>
      <c r="B1340" t="s">
        <v>56</v>
      </c>
      <c r="C1340" t="s">
        <v>4031</v>
      </c>
      <c r="D1340" s="3"/>
      <c r="E1340" s="2">
        <v>45683</v>
      </c>
      <c r="F1340">
        <v>35000</v>
      </c>
      <c r="G1340">
        <v>301</v>
      </c>
      <c r="H1340">
        <v>31</v>
      </c>
      <c r="I1340">
        <v>2</v>
      </c>
      <c r="J1340">
        <v>8</v>
      </c>
      <c r="K1340">
        <v>1</v>
      </c>
      <c r="L1340" t="s">
        <v>3298</v>
      </c>
      <c r="M1340" t="s">
        <v>3808</v>
      </c>
      <c r="N1340" t="s">
        <v>1630</v>
      </c>
      <c r="O1340" s="4">
        <v>45683.7693634259</v>
      </c>
      <c r="P1340" t="s">
        <v>57</v>
      </c>
      <c r="Q1340" t="s">
        <v>1753</v>
      </c>
      <c r="R1340" t="s">
        <v>4032</v>
      </c>
      <c r="T1340" t="s">
        <v>57</v>
      </c>
    </row>
    <row r="1341" ht="25.5" customHeight="1" spans="1:20">
      <c r="A1341" t="s">
        <v>2885</v>
      </c>
      <c r="B1341" t="s">
        <v>56</v>
      </c>
      <c r="C1341" t="s">
        <v>4031</v>
      </c>
      <c r="D1341" s="3"/>
      <c r="E1341" s="2">
        <v>45684</v>
      </c>
      <c r="F1341">
        <v>35000</v>
      </c>
      <c r="G1341">
        <v>311</v>
      </c>
      <c r="H1341">
        <v>31</v>
      </c>
      <c r="I1341">
        <v>2</v>
      </c>
      <c r="J1341">
        <v>8</v>
      </c>
      <c r="K1341">
        <v>1</v>
      </c>
      <c r="L1341" t="s">
        <v>3298</v>
      </c>
      <c r="M1341" t="s">
        <v>3808</v>
      </c>
      <c r="N1341" t="s">
        <v>1630</v>
      </c>
      <c r="O1341" s="4">
        <v>45684.8424074074</v>
      </c>
      <c r="P1341" t="s">
        <v>57</v>
      </c>
      <c r="Q1341" t="s">
        <v>1753</v>
      </c>
      <c r="R1341" t="s">
        <v>4032</v>
      </c>
      <c r="T1341" t="s">
        <v>57</v>
      </c>
    </row>
    <row r="1342" ht="25.5" customHeight="1" spans="1:20">
      <c r="A1342" t="s">
        <v>2885</v>
      </c>
      <c r="B1342" t="s">
        <v>56</v>
      </c>
      <c r="C1342" t="s">
        <v>4031</v>
      </c>
      <c r="D1342" s="3"/>
      <c r="E1342" s="2">
        <v>45693</v>
      </c>
      <c r="F1342">
        <v>35000</v>
      </c>
      <c r="G1342">
        <v>405</v>
      </c>
      <c r="H1342">
        <v>33</v>
      </c>
      <c r="I1342">
        <v>2</v>
      </c>
      <c r="J1342">
        <v>7</v>
      </c>
      <c r="K1342">
        <v>2</v>
      </c>
      <c r="L1342" t="s">
        <v>3230</v>
      </c>
      <c r="M1342" t="s">
        <v>3808</v>
      </c>
      <c r="N1342" t="s">
        <v>1630</v>
      </c>
      <c r="O1342" s="4">
        <v>45693.8234722222</v>
      </c>
      <c r="P1342" t="s">
        <v>57</v>
      </c>
      <c r="Q1342" t="s">
        <v>1753</v>
      </c>
      <c r="R1342" t="s">
        <v>3507</v>
      </c>
      <c r="T1342" t="s">
        <v>57</v>
      </c>
    </row>
    <row r="1343" ht="25.5" customHeight="1" spans="1:20">
      <c r="A1343" t="s">
        <v>2885</v>
      </c>
      <c r="B1343" t="s">
        <v>56</v>
      </c>
      <c r="C1343" t="s">
        <v>4031</v>
      </c>
      <c r="D1343" s="3"/>
      <c r="E1343" s="2">
        <v>45694</v>
      </c>
      <c r="F1343">
        <v>35000</v>
      </c>
      <c r="G1343">
        <v>407</v>
      </c>
      <c r="H1343">
        <v>33</v>
      </c>
      <c r="I1343">
        <v>2</v>
      </c>
      <c r="J1343">
        <v>7</v>
      </c>
      <c r="K1343">
        <v>2</v>
      </c>
      <c r="L1343" t="s">
        <v>3230</v>
      </c>
      <c r="M1343" t="s">
        <v>3808</v>
      </c>
      <c r="N1343" t="s">
        <v>1630</v>
      </c>
      <c r="O1343" s="4">
        <v>45698.6216782407</v>
      </c>
      <c r="P1343" t="s">
        <v>57</v>
      </c>
      <c r="Q1343" t="s">
        <v>1753</v>
      </c>
      <c r="R1343" t="s">
        <v>3507</v>
      </c>
      <c r="S1343" t="s">
        <v>3180</v>
      </c>
      <c r="T1343" t="s">
        <v>57</v>
      </c>
    </row>
    <row r="1344" ht="25.5" customHeight="1" spans="1:20">
      <c r="A1344" t="s">
        <v>2885</v>
      </c>
      <c r="B1344" t="s">
        <v>56</v>
      </c>
      <c r="C1344" t="s">
        <v>4031</v>
      </c>
      <c r="D1344" s="3"/>
      <c r="E1344" s="2">
        <v>45695</v>
      </c>
      <c r="F1344">
        <v>35000</v>
      </c>
      <c r="G1344">
        <v>412</v>
      </c>
      <c r="H1344">
        <v>33</v>
      </c>
      <c r="I1344">
        <v>2</v>
      </c>
      <c r="J1344">
        <v>7</v>
      </c>
      <c r="K1344">
        <v>2</v>
      </c>
      <c r="L1344" t="s">
        <v>3230</v>
      </c>
      <c r="M1344" t="s">
        <v>3808</v>
      </c>
      <c r="N1344" t="s">
        <v>1630</v>
      </c>
      <c r="O1344" s="4">
        <v>45695.7166435185</v>
      </c>
      <c r="P1344" t="s">
        <v>57</v>
      </c>
      <c r="Q1344" t="s">
        <v>1753</v>
      </c>
      <c r="R1344" t="s">
        <v>3507</v>
      </c>
      <c r="T1344" t="s">
        <v>57</v>
      </c>
    </row>
    <row r="1345" ht="25.5" customHeight="1" spans="1:20">
      <c r="A1345" t="s">
        <v>2885</v>
      </c>
      <c r="B1345" t="s">
        <v>56</v>
      </c>
      <c r="C1345" t="s">
        <v>4031</v>
      </c>
      <c r="D1345" s="3"/>
      <c r="E1345" s="2">
        <v>45696</v>
      </c>
      <c r="F1345">
        <v>35000</v>
      </c>
      <c r="G1345">
        <v>412</v>
      </c>
      <c r="H1345">
        <v>33</v>
      </c>
      <c r="I1345">
        <v>2</v>
      </c>
      <c r="J1345">
        <v>7</v>
      </c>
      <c r="K1345">
        <v>2</v>
      </c>
      <c r="L1345" t="s">
        <v>3230</v>
      </c>
      <c r="M1345" t="s">
        <v>3808</v>
      </c>
      <c r="N1345" t="s">
        <v>1630</v>
      </c>
      <c r="O1345" s="4">
        <v>45696.4344675926</v>
      </c>
      <c r="P1345" t="s">
        <v>57</v>
      </c>
      <c r="Q1345" t="s">
        <v>1753</v>
      </c>
      <c r="R1345" t="s">
        <v>3507</v>
      </c>
      <c r="T1345" t="s">
        <v>57</v>
      </c>
    </row>
    <row r="1346" ht="25.5" customHeight="1" spans="1:20">
      <c r="A1346" t="s">
        <v>2585</v>
      </c>
      <c r="B1346" t="s">
        <v>56</v>
      </c>
      <c r="C1346" t="s">
        <v>4033</v>
      </c>
      <c r="D1346" s="3" t="str">
        <f>HYPERLINK("https://www.tiktok.com/@orzatech","https://www.tiktok.com/@orzatech")</f>
        <v>https://www.tiktok.com/@orzatech</v>
      </c>
      <c r="E1346" s="2">
        <v>45665</v>
      </c>
      <c r="F1346">
        <v>33400</v>
      </c>
      <c r="G1346">
        <v>5242</v>
      </c>
      <c r="H1346">
        <v>341</v>
      </c>
      <c r="I1346">
        <v>10</v>
      </c>
      <c r="J1346">
        <v>141</v>
      </c>
      <c r="K1346">
        <v>3</v>
      </c>
      <c r="L1346" t="s">
        <v>3248</v>
      </c>
      <c r="M1346" t="s">
        <v>3225</v>
      </c>
      <c r="N1346" t="s">
        <v>1630</v>
      </c>
      <c r="O1346" s="4">
        <v>45670.864212963</v>
      </c>
      <c r="P1346" t="s">
        <v>57</v>
      </c>
      <c r="Q1346" t="s">
        <v>97</v>
      </c>
      <c r="R1346" t="s">
        <v>4034</v>
      </c>
      <c r="T1346" t="s">
        <v>57</v>
      </c>
    </row>
    <row r="1347" ht="25.5" customHeight="1" spans="1:20">
      <c r="A1347" t="s">
        <v>2585</v>
      </c>
      <c r="B1347" t="s">
        <v>56</v>
      </c>
      <c r="C1347" t="s">
        <v>4033</v>
      </c>
      <c r="D1347" s="3"/>
      <c r="E1347" s="2">
        <v>45671</v>
      </c>
      <c r="F1347">
        <v>33400</v>
      </c>
      <c r="G1347">
        <v>5554</v>
      </c>
      <c r="H1347">
        <v>358</v>
      </c>
      <c r="I1347">
        <v>10</v>
      </c>
      <c r="J1347">
        <v>147</v>
      </c>
      <c r="K1347">
        <v>3</v>
      </c>
      <c r="L1347" t="s">
        <v>3248</v>
      </c>
      <c r="M1347" t="s">
        <v>3225</v>
      </c>
      <c r="N1347" t="s">
        <v>1630</v>
      </c>
      <c r="O1347" s="4">
        <v>45672.5030092593</v>
      </c>
      <c r="P1347" t="s">
        <v>57</v>
      </c>
      <c r="Q1347" t="s">
        <v>97</v>
      </c>
      <c r="R1347" t="s">
        <v>4035</v>
      </c>
      <c r="T1347" t="s">
        <v>57</v>
      </c>
    </row>
    <row r="1348" ht="25.5" customHeight="1" spans="1:20">
      <c r="A1348" t="s">
        <v>2585</v>
      </c>
      <c r="B1348" t="s">
        <v>56</v>
      </c>
      <c r="C1348" t="s">
        <v>4033</v>
      </c>
      <c r="D1348" s="3"/>
      <c r="E1348" s="2">
        <v>45672</v>
      </c>
      <c r="F1348">
        <v>33500</v>
      </c>
      <c r="G1348">
        <v>5748</v>
      </c>
      <c r="H1348">
        <v>368</v>
      </c>
      <c r="I1348">
        <v>10</v>
      </c>
      <c r="J1348">
        <v>152</v>
      </c>
      <c r="K1348">
        <v>3</v>
      </c>
      <c r="L1348" t="s">
        <v>3248</v>
      </c>
      <c r="M1348" t="s">
        <v>3225</v>
      </c>
      <c r="N1348" t="s">
        <v>1630</v>
      </c>
      <c r="O1348" s="4">
        <v>45672.5220949074</v>
      </c>
      <c r="P1348" t="s">
        <v>57</v>
      </c>
      <c r="Q1348" t="s">
        <v>97</v>
      </c>
      <c r="R1348" t="s">
        <v>4036</v>
      </c>
      <c r="T1348" t="s">
        <v>57</v>
      </c>
    </row>
    <row r="1349" ht="25.5" customHeight="1" spans="1:20">
      <c r="A1349" t="s">
        <v>2585</v>
      </c>
      <c r="B1349" t="s">
        <v>56</v>
      </c>
      <c r="C1349" t="s">
        <v>4033</v>
      </c>
      <c r="D1349" s="3"/>
      <c r="E1349" s="2">
        <v>45673</v>
      </c>
      <c r="F1349">
        <v>33500</v>
      </c>
      <c r="G1349">
        <v>5965</v>
      </c>
      <c r="H1349">
        <v>381</v>
      </c>
      <c r="I1349">
        <v>10</v>
      </c>
      <c r="J1349">
        <v>159</v>
      </c>
      <c r="K1349">
        <v>4</v>
      </c>
      <c r="L1349" t="s">
        <v>3248</v>
      </c>
      <c r="M1349" t="s">
        <v>3225</v>
      </c>
      <c r="N1349" t="s">
        <v>1630</v>
      </c>
      <c r="O1349" s="4">
        <v>45673.6157986111</v>
      </c>
      <c r="P1349" t="s">
        <v>57</v>
      </c>
      <c r="Q1349" t="s">
        <v>97</v>
      </c>
      <c r="R1349" t="s">
        <v>4037</v>
      </c>
      <c r="T1349" t="s">
        <v>57</v>
      </c>
    </row>
    <row r="1350" ht="25.5" customHeight="1" spans="1:20">
      <c r="A1350" t="s">
        <v>2585</v>
      </c>
      <c r="B1350" t="s">
        <v>56</v>
      </c>
      <c r="C1350" t="s">
        <v>4033</v>
      </c>
      <c r="D1350" s="3"/>
      <c r="E1350" s="2">
        <v>45674</v>
      </c>
      <c r="F1350">
        <v>33800</v>
      </c>
      <c r="G1350">
        <v>6393</v>
      </c>
      <c r="H1350">
        <v>402</v>
      </c>
      <c r="I1350">
        <v>10</v>
      </c>
      <c r="J1350">
        <v>170</v>
      </c>
      <c r="K1350">
        <v>4</v>
      </c>
      <c r="L1350" t="s">
        <v>3248</v>
      </c>
      <c r="M1350" t="s">
        <v>3225</v>
      </c>
      <c r="N1350" t="s">
        <v>1630</v>
      </c>
      <c r="O1350" s="4">
        <v>45674.6735185185</v>
      </c>
      <c r="P1350" t="s">
        <v>57</v>
      </c>
      <c r="Q1350" t="s">
        <v>97</v>
      </c>
      <c r="R1350" t="s">
        <v>4038</v>
      </c>
      <c r="T1350" t="s">
        <v>57</v>
      </c>
    </row>
    <row r="1351" ht="25.5" customHeight="1" spans="1:20">
      <c r="A1351" t="s">
        <v>2585</v>
      </c>
      <c r="B1351" t="s">
        <v>56</v>
      </c>
      <c r="C1351" t="s">
        <v>4033</v>
      </c>
      <c r="D1351" s="3"/>
      <c r="E1351" s="2">
        <v>45677</v>
      </c>
      <c r="F1351">
        <v>34500</v>
      </c>
      <c r="G1351">
        <v>7387</v>
      </c>
      <c r="H1351">
        <v>448</v>
      </c>
      <c r="I1351">
        <v>10</v>
      </c>
      <c r="J1351">
        <v>197</v>
      </c>
      <c r="K1351">
        <v>6</v>
      </c>
      <c r="L1351" t="s">
        <v>3258</v>
      </c>
      <c r="M1351" t="s">
        <v>3225</v>
      </c>
      <c r="N1351" t="s">
        <v>1630</v>
      </c>
      <c r="O1351" s="4">
        <v>45677.4332986111</v>
      </c>
      <c r="P1351" t="s">
        <v>57</v>
      </c>
      <c r="Q1351" t="s">
        <v>97</v>
      </c>
      <c r="R1351" t="s">
        <v>4039</v>
      </c>
      <c r="T1351" t="s">
        <v>57</v>
      </c>
    </row>
    <row r="1352" ht="25.5" customHeight="1" spans="1:20">
      <c r="A1352" t="s">
        <v>2585</v>
      </c>
      <c r="B1352" t="s">
        <v>56</v>
      </c>
      <c r="C1352" t="s">
        <v>4033</v>
      </c>
      <c r="D1352" s="3"/>
      <c r="E1352" s="2">
        <v>45678</v>
      </c>
      <c r="F1352">
        <v>34600</v>
      </c>
      <c r="G1352">
        <v>7675</v>
      </c>
      <c r="H1352">
        <v>463</v>
      </c>
      <c r="I1352">
        <v>10</v>
      </c>
      <c r="J1352">
        <v>206</v>
      </c>
      <c r="K1352">
        <v>6</v>
      </c>
      <c r="L1352" t="s">
        <v>3258</v>
      </c>
      <c r="M1352" t="s">
        <v>3225</v>
      </c>
      <c r="N1352" t="s">
        <v>1630</v>
      </c>
      <c r="O1352" s="4">
        <v>45678.6380671296</v>
      </c>
      <c r="P1352" t="s">
        <v>57</v>
      </c>
      <c r="Q1352" t="s">
        <v>97</v>
      </c>
      <c r="R1352" t="s">
        <v>4040</v>
      </c>
      <c r="T1352" t="s">
        <v>57</v>
      </c>
    </row>
    <row r="1353" ht="25.5" customHeight="1" spans="1:20">
      <c r="A1353" t="s">
        <v>2585</v>
      </c>
      <c r="B1353" t="s">
        <v>56</v>
      </c>
      <c r="C1353" t="s">
        <v>4033</v>
      </c>
      <c r="D1353" s="3"/>
      <c r="E1353" s="2">
        <v>45679</v>
      </c>
      <c r="F1353">
        <v>34600</v>
      </c>
      <c r="G1353">
        <v>7819</v>
      </c>
      <c r="H1353">
        <v>477</v>
      </c>
      <c r="I1353">
        <v>10</v>
      </c>
      <c r="J1353">
        <v>213</v>
      </c>
      <c r="K1353">
        <v>6</v>
      </c>
      <c r="L1353" t="s">
        <v>3258</v>
      </c>
      <c r="M1353" t="s">
        <v>3225</v>
      </c>
      <c r="N1353" t="s">
        <v>1630</v>
      </c>
      <c r="O1353" s="4">
        <v>45679.6948726852</v>
      </c>
      <c r="P1353" t="s">
        <v>57</v>
      </c>
      <c r="Q1353" t="s">
        <v>97</v>
      </c>
      <c r="R1353" t="s">
        <v>4041</v>
      </c>
      <c r="T1353" t="s">
        <v>57</v>
      </c>
    </row>
    <row r="1354" ht="25.5" customHeight="1" spans="1:20">
      <c r="A1354" t="s">
        <v>2585</v>
      </c>
      <c r="B1354" t="s">
        <v>56</v>
      </c>
      <c r="C1354" t="s">
        <v>4033</v>
      </c>
      <c r="D1354" s="3"/>
      <c r="E1354" s="2">
        <v>45680</v>
      </c>
      <c r="F1354">
        <v>35000</v>
      </c>
      <c r="G1354">
        <v>7976</v>
      </c>
      <c r="H1354">
        <v>489</v>
      </c>
      <c r="I1354">
        <v>10</v>
      </c>
      <c r="J1354">
        <v>217</v>
      </c>
      <c r="K1354">
        <v>6</v>
      </c>
      <c r="L1354" t="s">
        <v>3258</v>
      </c>
      <c r="M1354" t="s">
        <v>3225</v>
      </c>
      <c r="N1354" t="s">
        <v>1630</v>
      </c>
      <c r="O1354" s="4">
        <v>45680.6514699074</v>
      </c>
      <c r="P1354" t="s">
        <v>57</v>
      </c>
      <c r="Q1354" t="s">
        <v>97</v>
      </c>
      <c r="R1354" t="s">
        <v>4042</v>
      </c>
      <c r="T1354" t="s">
        <v>57</v>
      </c>
    </row>
    <row r="1355" ht="25.5" customHeight="1" spans="1:20">
      <c r="A1355" t="s">
        <v>2585</v>
      </c>
      <c r="B1355" t="s">
        <v>56</v>
      </c>
      <c r="C1355" t="s">
        <v>4033</v>
      </c>
      <c r="D1355" s="3"/>
      <c r="E1355" s="2">
        <v>45681</v>
      </c>
      <c r="F1355">
        <v>34700</v>
      </c>
      <c r="G1355">
        <v>8088</v>
      </c>
      <c r="H1355">
        <v>495</v>
      </c>
      <c r="I1355">
        <v>10</v>
      </c>
      <c r="J1355">
        <v>221</v>
      </c>
      <c r="K1355">
        <v>6</v>
      </c>
      <c r="L1355" t="s">
        <v>3258</v>
      </c>
      <c r="M1355" t="s">
        <v>3225</v>
      </c>
      <c r="N1355" t="s">
        <v>1630</v>
      </c>
      <c r="O1355" s="4">
        <v>45681.6385648148</v>
      </c>
      <c r="P1355" t="s">
        <v>57</v>
      </c>
      <c r="Q1355" t="s">
        <v>97</v>
      </c>
      <c r="R1355" t="s">
        <v>4043</v>
      </c>
      <c r="T1355" t="s">
        <v>57</v>
      </c>
    </row>
    <row r="1356" ht="25.5" customHeight="1" spans="1:20">
      <c r="A1356" t="s">
        <v>2585</v>
      </c>
      <c r="B1356" t="s">
        <v>56</v>
      </c>
      <c r="C1356" t="s">
        <v>4033</v>
      </c>
      <c r="D1356" s="3"/>
      <c r="E1356" s="2">
        <v>45683</v>
      </c>
      <c r="F1356">
        <v>34600</v>
      </c>
      <c r="G1356">
        <v>8242</v>
      </c>
      <c r="H1356">
        <v>499</v>
      </c>
      <c r="I1356">
        <v>10</v>
      </c>
      <c r="J1356">
        <v>221</v>
      </c>
      <c r="K1356">
        <v>6</v>
      </c>
      <c r="L1356" t="s">
        <v>3258</v>
      </c>
      <c r="M1356" t="s">
        <v>3225</v>
      </c>
      <c r="N1356" t="s">
        <v>1630</v>
      </c>
      <c r="O1356" s="4">
        <v>45683.7697685185</v>
      </c>
      <c r="P1356" t="s">
        <v>57</v>
      </c>
      <c r="Q1356" t="s">
        <v>97</v>
      </c>
      <c r="R1356" t="s">
        <v>4044</v>
      </c>
      <c r="T1356" t="s">
        <v>57</v>
      </c>
    </row>
    <row r="1357" ht="25.5" customHeight="1" spans="1:20">
      <c r="A1357" t="s">
        <v>2585</v>
      </c>
      <c r="B1357" t="s">
        <v>56</v>
      </c>
      <c r="C1357" t="s">
        <v>4033</v>
      </c>
      <c r="D1357" s="3"/>
      <c r="E1357" s="2">
        <v>45684</v>
      </c>
      <c r="F1357">
        <v>34600</v>
      </c>
      <c r="G1357">
        <v>8301</v>
      </c>
      <c r="H1357">
        <v>502</v>
      </c>
      <c r="I1357">
        <v>10</v>
      </c>
      <c r="J1357">
        <v>221</v>
      </c>
      <c r="K1357">
        <v>6</v>
      </c>
      <c r="L1357" t="s">
        <v>3258</v>
      </c>
      <c r="M1357" t="s">
        <v>3225</v>
      </c>
      <c r="N1357" t="s">
        <v>1630</v>
      </c>
      <c r="O1357" s="4">
        <v>45684.8427546296</v>
      </c>
      <c r="P1357" t="s">
        <v>57</v>
      </c>
      <c r="Q1357" t="s">
        <v>97</v>
      </c>
      <c r="R1357" t="s">
        <v>4045</v>
      </c>
      <c r="T1357" t="s">
        <v>57</v>
      </c>
    </row>
    <row r="1358" ht="25.5" customHeight="1" spans="1:20">
      <c r="A1358" t="s">
        <v>2585</v>
      </c>
      <c r="B1358" t="s">
        <v>56</v>
      </c>
      <c r="C1358" t="s">
        <v>4033</v>
      </c>
      <c r="D1358" s="3"/>
      <c r="E1358" s="2">
        <v>45693</v>
      </c>
      <c r="F1358">
        <v>35000</v>
      </c>
      <c r="G1358">
        <v>8932</v>
      </c>
      <c r="H1358">
        <v>528</v>
      </c>
      <c r="I1358">
        <v>10</v>
      </c>
      <c r="J1358">
        <v>232</v>
      </c>
      <c r="K1358">
        <v>8</v>
      </c>
      <c r="L1358" t="s">
        <v>3258</v>
      </c>
      <c r="M1358" t="s">
        <v>3225</v>
      </c>
      <c r="N1358" t="s">
        <v>1630</v>
      </c>
      <c r="O1358" s="4">
        <v>45693.8236805556</v>
      </c>
      <c r="P1358" t="s">
        <v>57</v>
      </c>
      <c r="Q1358" t="s">
        <v>97</v>
      </c>
      <c r="R1358" t="s">
        <v>3690</v>
      </c>
      <c r="T1358" t="s">
        <v>57</v>
      </c>
    </row>
    <row r="1359" ht="25.5" customHeight="1" spans="1:20">
      <c r="A1359" t="s">
        <v>2585</v>
      </c>
      <c r="B1359" t="s">
        <v>56</v>
      </c>
      <c r="C1359" t="s">
        <v>4033</v>
      </c>
      <c r="D1359" s="3"/>
      <c r="E1359" s="2">
        <v>45694</v>
      </c>
      <c r="F1359">
        <v>35100</v>
      </c>
      <c r="G1359">
        <v>9015</v>
      </c>
      <c r="H1359">
        <v>536</v>
      </c>
      <c r="I1359">
        <v>10</v>
      </c>
      <c r="J1359">
        <v>235</v>
      </c>
      <c r="K1359">
        <v>8</v>
      </c>
      <c r="L1359" t="s">
        <v>3258</v>
      </c>
      <c r="M1359" t="s">
        <v>3225</v>
      </c>
      <c r="N1359" t="s">
        <v>1630</v>
      </c>
      <c r="O1359" s="4">
        <v>45698.6216782407</v>
      </c>
      <c r="P1359" t="s">
        <v>57</v>
      </c>
      <c r="Q1359" t="s">
        <v>97</v>
      </c>
      <c r="R1359" t="s">
        <v>3691</v>
      </c>
      <c r="S1359" t="s">
        <v>3180</v>
      </c>
      <c r="T1359" t="s">
        <v>57</v>
      </c>
    </row>
    <row r="1360" ht="25.5" customHeight="1" spans="1:20">
      <c r="A1360" t="s">
        <v>2867</v>
      </c>
      <c r="B1360" t="s">
        <v>56</v>
      </c>
      <c r="C1360" t="s">
        <v>4046</v>
      </c>
      <c r="D1360" s="3"/>
      <c r="E1360" s="2">
        <v>45677</v>
      </c>
      <c r="F1360">
        <v>82900</v>
      </c>
      <c r="G1360">
        <v>597</v>
      </c>
      <c r="H1360">
        <v>47</v>
      </c>
      <c r="I1360">
        <v>0</v>
      </c>
      <c r="J1360">
        <v>14</v>
      </c>
      <c r="K1360">
        <v>2</v>
      </c>
      <c r="L1360" t="s">
        <v>3317</v>
      </c>
      <c r="M1360" t="s">
        <v>3808</v>
      </c>
      <c r="N1360" t="s">
        <v>1630</v>
      </c>
      <c r="O1360" s="4">
        <v>45677.4334606481</v>
      </c>
      <c r="P1360" t="s">
        <v>57</v>
      </c>
      <c r="Q1360" t="s">
        <v>1753</v>
      </c>
      <c r="R1360" t="s">
        <v>3397</v>
      </c>
      <c r="T1360" t="s">
        <v>57</v>
      </c>
    </row>
    <row r="1361" ht="25.5" customHeight="1" spans="1:20">
      <c r="A1361" t="s">
        <v>2867</v>
      </c>
      <c r="B1361" t="s">
        <v>56</v>
      </c>
      <c r="C1361" t="s">
        <v>4046</v>
      </c>
      <c r="D1361" s="3"/>
      <c r="E1361" s="2">
        <v>45678</v>
      </c>
      <c r="F1361">
        <v>83000</v>
      </c>
      <c r="G1361">
        <v>682</v>
      </c>
      <c r="H1361">
        <v>50</v>
      </c>
      <c r="I1361">
        <v>0</v>
      </c>
      <c r="J1361">
        <v>15</v>
      </c>
      <c r="K1361">
        <v>2</v>
      </c>
      <c r="L1361" t="s">
        <v>3317</v>
      </c>
      <c r="M1361" t="s">
        <v>3808</v>
      </c>
      <c r="N1361" t="s">
        <v>1630</v>
      </c>
      <c r="O1361" s="4">
        <v>45678.6382175926</v>
      </c>
      <c r="P1361" t="s">
        <v>57</v>
      </c>
      <c r="Q1361" t="s">
        <v>1753</v>
      </c>
      <c r="R1361" t="s">
        <v>3398</v>
      </c>
      <c r="T1361" t="s">
        <v>57</v>
      </c>
    </row>
    <row r="1362" ht="25.5" customHeight="1" spans="1:20">
      <c r="A1362" t="s">
        <v>2867</v>
      </c>
      <c r="B1362" t="s">
        <v>56</v>
      </c>
      <c r="C1362" t="s">
        <v>4046</v>
      </c>
      <c r="D1362" s="3"/>
      <c r="E1362" s="2">
        <v>45679</v>
      </c>
      <c r="F1362">
        <v>83000</v>
      </c>
      <c r="G1362">
        <v>722</v>
      </c>
      <c r="H1362">
        <v>50</v>
      </c>
      <c r="I1362">
        <v>0</v>
      </c>
      <c r="J1362">
        <v>15</v>
      </c>
      <c r="K1362">
        <v>2</v>
      </c>
      <c r="L1362" t="s">
        <v>3248</v>
      </c>
      <c r="M1362" t="s">
        <v>3808</v>
      </c>
      <c r="N1362" t="s">
        <v>1630</v>
      </c>
      <c r="O1362" s="4">
        <v>45679.6950578704</v>
      </c>
      <c r="P1362" t="s">
        <v>57</v>
      </c>
      <c r="Q1362" t="s">
        <v>1753</v>
      </c>
      <c r="R1362" t="s">
        <v>3398</v>
      </c>
      <c r="T1362" t="s">
        <v>57</v>
      </c>
    </row>
    <row r="1363" ht="25.5" customHeight="1" spans="1:20">
      <c r="A1363" t="s">
        <v>2867</v>
      </c>
      <c r="B1363" t="s">
        <v>56</v>
      </c>
      <c r="C1363" t="s">
        <v>4046</v>
      </c>
      <c r="D1363" s="3"/>
      <c r="E1363" s="2">
        <v>45680</v>
      </c>
      <c r="F1363">
        <v>83100</v>
      </c>
      <c r="G1363">
        <v>754</v>
      </c>
      <c r="H1363">
        <v>50</v>
      </c>
      <c r="I1363">
        <v>0</v>
      </c>
      <c r="J1363">
        <v>15</v>
      </c>
      <c r="K1363">
        <v>2</v>
      </c>
      <c r="L1363" t="s">
        <v>3248</v>
      </c>
      <c r="M1363" t="s">
        <v>3808</v>
      </c>
      <c r="N1363" t="s">
        <v>1630</v>
      </c>
      <c r="O1363" s="4">
        <v>45680.6520717593</v>
      </c>
      <c r="P1363" t="s">
        <v>57</v>
      </c>
      <c r="Q1363" t="s">
        <v>1753</v>
      </c>
      <c r="R1363" t="s">
        <v>3398</v>
      </c>
      <c r="T1363" t="s">
        <v>57</v>
      </c>
    </row>
    <row r="1364" ht="25.5" customHeight="1" spans="1:20">
      <c r="A1364" t="s">
        <v>2867</v>
      </c>
      <c r="B1364" t="s">
        <v>56</v>
      </c>
      <c r="C1364" t="s">
        <v>4046</v>
      </c>
      <c r="D1364" s="3"/>
      <c r="E1364" s="2">
        <v>45681</v>
      </c>
      <c r="F1364">
        <v>83300</v>
      </c>
      <c r="G1364">
        <v>803</v>
      </c>
      <c r="H1364">
        <v>50</v>
      </c>
      <c r="I1364">
        <v>0</v>
      </c>
      <c r="J1364">
        <v>15</v>
      </c>
      <c r="K1364">
        <v>2</v>
      </c>
      <c r="L1364" t="s">
        <v>3258</v>
      </c>
      <c r="M1364" t="s">
        <v>3808</v>
      </c>
      <c r="N1364" t="s">
        <v>1630</v>
      </c>
      <c r="O1364" s="4">
        <v>45681.6401736111</v>
      </c>
      <c r="P1364" t="s">
        <v>57</v>
      </c>
      <c r="Q1364" t="s">
        <v>1753</v>
      </c>
      <c r="R1364" t="s">
        <v>3398</v>
      </c>
      <c r="T1364" t="s">
        <v>57</v>
      </c>
    </row>
    <row r="1365" ht="25.5" customHeight="1" spans="1:20">
      <c r="A1365" t="s">
        <v>2867</v>
      </c>
      <c r="B1365" t="s">
        <v>56</v>
      </c>
      <c r="C1365" t="s">
        <v>4046</v>
      </c>
      <c r="D1365" s="3"/>
      <c r="E1365" s="2">
        <v>45683</v>
      </c>
      <c r="F1365">
        <v>83500</v>
      </c>
      <c r="G1365">
        <v>863</v>
      </c>
      <c r="H1365">
        <v>51</v>
      </c>
      <c r="I1365">
        <v>0</v>
      </c>
      <c r="J1365">
        <v>15</v>
      </c>
      <c r="K1365">
        <v>2</v>
      </c>
      <c r="L1365" t="s">
        <v>3258</v>
      </c>
      <c r="M1365" t="s">
        <v>3808</v>
      </c>
      <c r="N1365" t="s">
        <v>1630</v>
      </c>
      <c r="O1365" s="4">
        <v>45683.7700231482</v>
      </c>
      <c r="P1365" t="s">
        <v>57</v>
      </c>
      <c r="Q1365" t="s">
        <v>1753</v>
      </c>
      <c r="R1365" t="s">
        <v>3558</v>
      </c>
      <c r="T1365" t="s">
        <v>57</v>
      </c>
    </row>
    <row r="1366" ht="25.5" customHeight="1" spans="1:20">
      <c r="A1366" t="s">
        <v>2867</v>
      </c>
      <c r="B1366" t="s">
        <v>56</v>
      </c>
      <c r="C1366" t="s">
        <v>4046</v>
      </c>
      <c r="D1366" s="3"/>
      <c r="E1366" s="2">
        <v>45684</v>
      </c>
      <c r="F1366">
        <v>83600</v>
      </c>
      <c r="G1366">
        <v>895</v>
      </c>
      <c r="H1366">
        <v>51</v>
      </c>
      <c r="I1366">
        <v>0</v>
      </c>
      <c r="J1366">
        <v>15</v>
      </c>
      <c r="K1366">
        <v>2</v>
      </c>
      <c r="L1366" t="s">
        <v>3258</v>
      </c>
      <c r="M1366" t="s">
        <v>3808</v>
      </c>
      <c r="N1366" t="s">
        <v>1630</v>
      </c>
      <c r="O1366" s="4">
        <v>45684.8430555556</v>
      </c>
      <c r="P1366" t="s">
        <v>57</v>
      </c>
      <c r="Q1366" t="s">
        <v>1753</v>
      </c>
      <c r="R1366" t="s">
        <v>3558</v>
      </c>
      <c r="T1366" t="s">
        <v>57</v>
      </c>
    </row>
    <row r="1367" ht="25.5" customHeight="1" spans="1:20">
      <c r="A1367" t="s">
        <v>2867</v>
      </c>
      <c r="B1367" t="s">
        <v>56</v>
      </c>
      <c r="C1367" t="s">
        <v>4046</v>
      </c>
      <c r="D1367" s="3"/>
      <c r="E1367" s="2">
        <v>45693</v>
      </c>
      <c r="F1367">
        <v>84300</v>
      </c>
      <c r="G1367">
        <v>1055</v>
      </c>
      <c r="H1367">
        <v>53</v>
      </c>
      <c r="I1367">
        <v>0</v>
      </c>
      <c r="J1367">
        <v>16</v>
      </c>
      <c r="K1367">
        <v>2</v>
      </c>
      <c r="L1367" t="s">
        <v>3195</v>
      </c>
      <c r="M1367" t="s">
        <v>3808</v>
      </c>
      <c r="N1367" t="s">
        <v>1630</v>
      </c>
      <c r="O1367" s="4">
        <v>45693.8238773148</v>
      </c>
      <c r="P1367" t="s">
        <v>57</v>
      </c>
      <c r="Q1367" t="s">
        <v>1753</v>
      </c>
      <c r="R1367" t="s">
        <v>3797</v>
      </c>
      <c r="T1367" t="s">
        <v>57</v>
      </c>
    </row>
    <row r="1368" ht="25.5" customHeight="1" spans="1:20">
      <c r="A1368" t="s">
        <v>2867</v>
      </c>
      <c r="B1368" t="s">
        <v>56</v>
      </c>
      <c r="C1368" t="s">
        <v>4046</v>
      </c>
      <c r="D1368" s="3"/>
      <c r="E1368" s="2">
        <v>45694</v>
      </c>
      <c r="F1368">
        <v>84300</v>
      </c>
      <c r="G1368">
        <v>1062</v>
      </c>
      <c r="H1368">
        <v>53</v>
      </c>
      <c r="I1368">
        <v>0</v>
      </c>
      <c r="J1368">
        <v>16</v>
      </c>
      <c r="K1368">
        <v>2</v>
      </c>
      <c r="L1368" t="s">
        <v>3195</v>
      </c>
      <c r="M1368" t="s">
        <v>3808</v>
      </c>
      <c r="N1368" t="s">
        <v>1630</v>
      </c>
      <c r="O1368" s="4">
        <v>45698.6216782407</v>
      </c>
      <c r="P1368" t="s">
        <v>57</v>
      </c>
      <c r="Q1368" t="s">
        <v>1753</v>
      </c>
      <c r="R1368" t="s">
        <v>3797</v>
      </c>
      <c r="S1368" t="s">
        <v>3245</v>
      </c>
      <c r="T1368" t="s">
        <v>57</v>
      </c>
    </row>
    <row r="1369" ht="25.5" customHeight="1" spans="1:20">
      <c r="A1369" t="s">
        <v>2867</v>
      </c>
      <c r="B1369" t="s">
        <v>56</v>
      </c>
      <c r="C1369" t="s">
        <v>4046</v>
      </c>
      <c r="D1369" s="3"/>
      <c r="E1369" s="2">
        <v>45695</v>
      </c>
      <c r="F1369">
        <v>84300</v>
      </c>
      <c r="G1369">
        <v>1076</v>
      </c>
      <c r="H1369">
        <v>53</v>
      </c>
      <c r="I1369">
        <v>0</v>
      </c>
      <c r="J1369">
        <v>16</v>
      </c>
      <c r="K1369">
        <v>2</v>
      </c>
      <c r="L1369" t="s">
        <v>3195</v>
      </c>
      <c r="M1369" t="s">
        <v>3808</v>
      </c>
      <c r="N1369" t="s">
        <v>1630</v>
      </c>
      <c r="O1369" s="4">
        <v>45695.7168634259</v>
      </c>
      <c r="P1369" t="s">
        <v>57</v>
      </c>
      <c r="Q1369" t="s">
        <v>1753</v>
      </c>
      <c r="R1369" t="s">
        <v>3797</v>
      </c>
      <c r="T1369" t="s">
        <v>57</v>
      </c>
    </row>
    <row r="1370" ht="25.5" customHeight="1" spans="1:20">
      <c r="A1370" t="s">
        <v>2867</v>
      </c>
      <c r="B1370" t="s">
        <v>56</v>
      </c>
      <c r="C1370" t="s">
        <v>4046</v>
      </c>
      <c r="D1370" s="3"/>
      <c r="E1370" s="2">
        <v>45696</v>
      </c>
      <c r="F1370">
        <v>84400</v>
      </c>
      <c r="G1370">
        <v>1094</v>
      </c>
      <c r="H1370">
        <v>53</v>
      </c>
      <c r="I1370">
        <v>0</v>
      </c>
      <c r="J1370">
        <v>16</v>
      </c>
      <c r="K1370">
        <v>2</v>
      </c>
      <c r="L1370" t="s">
        <v>3195</v>
      </c>
      <c r="M1370" t="s">
        <v>3808</v>
      </c>
      <c r="N1370" t="s">
        <v>1630</v>
      </c>
      <c r="O1370" s="4">
        <v>45696.4347222222</v>
      </c>
      <c r="P1370" t="s">
        <v>57</v>
      </c>
      <c r="Q1370" t="s">
        <v>1753</v>
      </c>
      <c r="R1370" t="s">
        <v>3797</v>
      </c>
      <c r="T1370" t="s">
        <v>57</v>
      </c>
    </row>
    <row r="1371" ht="25.5" customHeight="1" spans="1:20">
      <c r="A1371" t="s">
        <v>1860</v>
      </c>
      <c r="B1371" t="s">
        <v>56</v>
      </c>
      <c r="C1371" t="s">
        <v>4047</v>
      </c>
      <c r="D1371" s="3" t="str">
        <f>HYPERLINK("https://www.tiktok.com/@overtips","https://www.tiktok.com/@overtips")</f>
        <v>https://www.tiktok.com/@overtips</v>
      </c>
      <c r="E1371" s="2">
        <v>45665</v>
      </c>
      <c r="F1371">
        <v>625500</v>
      </c>
      <c r="G1371">
        <v>1503</v>
      </c>
      <c r="H1371">
        <v>91</v>
      </c>
      <c r="I1371">
        <v>12</v>
      </c>
      <c r="J1371">
        <v>23</v>
      </c>
      <c r="K1371">
        <v>0</v>
      </c>
      <c r="L1371" t="s">
        <v>3248</v>
      </c>
      <c r="M1371" t="s">
        <v>4048</v>
      </c>
      <c r="N1371" t="s">
        <v>1630</v>
      </c>
      <c r="O1371" s="4">
        <v>45671.6991898148</v>
      </c>
      <c r="P1371" t="s">
        <v>57</v>
      </c>
      <c r="Q1371" t="s">
        <v>1652</v>
      </c>
      <c r="R1371" t="s">
        <v>3253</v>
      </c>
      <c r="T1371" t="s">
        <v>57</v>
      </c>
    </row>
    <row r="1372" ht="25.5" customHeight="1" spans="1:20">
      <c r="A1372" t="s">
        <v>1860</v>
      </c>
      <c r="B1372" t="s">
        <v>56</v>
      </c>
      <c r="C1372" t="s">
        <v>4047</v>
      </c>
      <c r="D1372" s="3"/>
      <c r="E1372" s="2">
        <v>45670</v>
      </c>
      <c r="F1372">
        <v>625900</v>
      </c>
      <c r="G1372">
        <v>4970</v>
      </c>
      <c r="H1372">
        <v>221</v>
      </c>
      <c r="I1372">
        <v>20</v>
      </c>
      <c r="J1372">
        <v>48</v>
      </c>
      <c r="K1372">
        <v>3</v>
      </c>
      <c r="L1372" t="s">
        <v>3195</v>
      </c>
      <c r="M1372" t="s">
        <v>4048</v>
      </c>
      <c r="N1372" t="s">
        <v>1630</v>
      </c>
      <c r="O1372" s="4">
        <v>45672.5030092593</v>
      </c>
      <c r="P1372" t="s">
        <v>57</v>
      </c>
      <c r="Q1372" t="s">
        <v>1652</v>
      </c>
      <c r="R1372" t="s">
        <v>3140</v>
      </c>
      <c r="T1372" t="s">
        <v>57</v>
      </c>
    </row>
    <row r="1373" ht="25.5" customHeight="1" spans="1:20">
      <c r="A1373" t="s">
        <v>1860</v>
      </c>
      <c r="B1373" t="s">
        <v>56</v>
      </c>
      <c r="C1373" t="s">
        <v>4047</v>
      </c>
      <c r="D1373" s="3"/>
      <c r="E1373" s="2">
        <v>45671</v>
      </c>
      <c r="F1373">
        <v>625900</v>
      </c>
      <c r="G1373">
        <v>5410</v>
      </c>
      <c r="H1373">
        <v>237</v>
      </c>
      <c r="I1373">
        <v>20</v>
      </c>
      <c r="J1373">
        <v>49</v>
      </c>
      <c r="K1373">
        <v>4</v>
      </c>
      <c r="L1373" t="s">
        <v>3195</v>
      </c>
      <c r="M1373" t="s">
        <v>4048</v>
      </c>
      <c r="N1373" t="s">
        <v>1630</v>
      </c>
      <c r="O1373" s="4">
        <v>45672.5030092593</v>
      </c>
      <c r="P1373" t="s">
        <v>57</v>
      </c>
      <c r="Q1373" t="s">
        <v>1652</v>
      </c>
      <c r="R1373" t="s">
        <v>3980</v>
      </c>
      <c r="T1373" t="s">
        <v>57</v>
      </c>
    </row>
    <row r="1374" ht="25.5" customHeight="1" spans="1:20">
      <c r="A1374" t="s">
        <v>1860</v>
      </c>
      <c r="B1374" t="s">
        <v>56</v>
      </c>
      <c r="C1374" t="s">
        <v>4047</v>
      </c>
      <c r="D1374" s="3"/>
      <c r="E1374" s="2">
        <v>45672</v>
      </c>
      <c r="F1374">
        <v>626000</v>
      </c>
      <c r="G1374">
        <v>5824</v>
      </c>
      <c r="H1374">
        <v>247</v>
      </c>
      <c r="I1374">
        <v>21</v>
      </c>
      <c r="J1374">
        <v>53</v>
      </c>
      <c r="K1374">
        <v>5</v>
      </c>
      <c r="L1374" t="s">
        <v>3195</v>
      </c>
      <c r="M1374" t="s">
        <v>4048</v>
      </c>
      <c r="N1374" t="s">
        <v>1630</v>
      </c>
      <c r="O1374" s="4">
        <v>45672.5223032407</v>
      </c>
      <c r="P1374" t="s">
        <v>57</v>
      </c>
      <c r="Q1374" t="s">
        <v>1652</v>
      </c>
      <c r="R1374" t="s">
        <v>4049</v>
      </c>
      <c r="T1374" t="s">
        <v>57</v>
      </c>
    </row>
    <row r="1375" ht="25.5" customHeight="1" spans="1:20">
      <c r="A1375" t="s">
        <v>1860</v>
      </c>
      <c r="B1375" t="s">
        <v>56</v>
      </c>
      <c r="C1375" t="s">
        <v>4047</v>
      </c>
      <c r="D1375" s="3"/>
      <c r="E1375" s="2">
        <v>45673</v>
      </c>
      <c r="F1375">
        <v>626100</v>
      </c>
      <c r="G1375">
        <v>6382</v>
      </c>
      <c r="H1375">
        <v>258</v>
      </c>
      <c r="I1375">
        <v>21</v>
      </c>
      <c r="J1375">
        <v>56</v>
      </c>
      <c r="K1375">
        <v>5</v>
      </c>
      <c r="L1375" t="s">
        <v>3208</v>
      </c>
      <c r="M1375" t="s">
        <v>4048</v>
      </c>
      <c r="N1375" t="s">
        <v>1630</v>
      </c>
      <c r="O1375" s="4">
        <v>45673.6167939815</v>
      </c>
      <c r="P1375" t="s">
        <v>57</v>
      </c>
      <c r="Q1375" t="s">
        <v>1652</v>
      </c>
      <c r="R1375" t="s">
        <v>3936</v>
      </c>
      <c r="T1375" t="s">
        <v>57</v>
      </c>
    </row>
    <row r="1376" ht="25.5" customHeight="1" spans="1:20">
      <c r="A1376" t="s">
        <v>1860</v>
      </c>
      <c r="B1376" t="s">
        <v>56</v>
      </c>
      <c r="C1376" t="s">
        <v>4047</v>
      </c>
      <c r="D1376" s="3"/>
      <c r="E1376" s="2">
        <v>45674</v>
      </c>
      <c r="F1376">
        <v>626200</v>
      </c>
      <c r="G1376">
        <v>6825</v>
      </c>
      <c r="H1376">
        <v>264</v>
      </c>
      <c r="I1376">
        <v>22</v>
      </c>
      <c r="J1376">
        <v>56</v>
      </c>
      <c r="K1376">
        <v>5</v>
      </c>
      <c r="L1376" t="s">
        <v>3208</v>
      </c>
      <c r="M1376" t="s">
        <v>4048</v>
      </c>
      <c r="N1376" t="s">
        <v>1630</v>
      </c>
      <c r="O1376" s="4">
        <v>45674.6737268519</v>
      </c>
      <c r="P1376" t="s">
        <v>57</v>
      </c>
      <c r="Q1376" t="s">
        <v>1652</v>
      </c>
      <c r="R1376" t="s">
        <v>3313</v>
      </c>
      <c r="T1376" t="s">
        <v>57</v>
      </c>
    </row>
    <row r="1377" ht="25.5" customHeight="1" spans="1:20">
      <c r="A1377" t="s">
        <v>1860</v>
      </c>
      <c r="B1377" t="s">
        <v>56</v>
      </c>
      <c r="C1377" t="s">
        <v>4047</v>
      </c>
      <c r="D1377" s="3"/>
      <c r="E1377" s="2">
        <v>45677</v>
      </c>
      <c r="F1377">
        <v>626300</v>
      </c>
      <c r="G1377">
        <v>7921</v>
      </c>
      <c r="H1377">
        <v>282</v>
      </c>
      <c r="I1377">
        <v>22</v>
      </c>
      <c r="J1377">
        <v>64</v>
      </c>
      <c r="K1377">
        <v>6</v>
      </c>
      <c r="L1377" t="s">
        <v>3208</v>
      </c>
      <c r="M1377" t="s">
        <v>4048</v>
      </c>
      <c r="N1377" t="s">
        <v>1630</v>
      </c>
      <c r="O1377" s="4">
        <v>45677.4336689815</v>
      </c>
      <c r="P1377" t="s">
        <v>57</v>
      </c>
      <c r="Q1377" t="s">
        <v>1652</v>
      </c>
      <c r="R1377" t="s">
        <v>4050</v>
      </c>
      <c r="T1377" t="s">
        <v>57</v>
      </c>
    </row>
    <row r="1378" ht="25.5" customHeight="1" spans="1:20">
      <c r="A1378" t="s">
        <v>1860</v>
      </c>
      <c r="B1378" t="s">
        <v>56</v>
      </c>
      <c r="C1378" t="s">
        <v>4047</v>
      </c>
      <c r="D1378" s="3"/>
      <c r="E1378" s="2">
        <v>45678</v>
      </c>
      <c r="F1378">
        <v>626400</v>
      </c>
      <c r="G1378">
        <v>8346</v>
      </c>
      <c r="H1378">
        <v>288</v>
      </c>
      <c r="I1378">
        <v>22</v>
      </c>
      <c r="J1378">
        <v>64</v>
      </c>
      <c r="K1378">
        <v>6</v>
      </c>
      <c r="L1378" t="s">
        <v>3208</v>
      </c>
      <c r="M1378" t="s">
        <v>4048</v>
      </c>
      <c r="N1378" t="s">
        <v>1630</v>
      </c>
      <c r="O1378" s="4">
        <v>45678.6384027778</v>
      </c>
      <c r="P1378" t="s">
        <v>57</v>
      </c>
      <c r="Q1378" t="s">
        <v>1652</v>
      </c>
      <c r="R1378" t="s">
        <v>4051</v>
      </c>
      <c r="T1378" t="s">
        <v>57</v>
      </c>
    </row>
    <row r="1379" ht="25.5" customHeight="1" spans="1:20">
      <c r="A1379" t="s">
        <v>1860</v>
      </c>
      <c r="B1379" t="s">
        <v>56</v>
      </c>
      <c r="C1379" t="s">
        <v>4047</v>
      </c>
      <c r="D1379" s="3"/>
      <c r="E1379" s="2">
        <v>45679</v>
      </c>
      <c r="F1379">
        <v>626400</v>
      </c>
      <c r="G1379">
        <v>8645</v>
      </c>
      <c r="H1379">
        <v>294</v>
      </c>
      <c r="I1379">
        <v>22</v>
      </c>
      <c r="J1379">
        <v>65</v>
      </c>
      <c r="K1379">
        <v>6</v>
      </c>
      <c r="L1379" t="s">
        <v>3208</v>
      </c>
      <c r="M1379" t="s">
        <v>4048</v>
      </c>
      <c r="N1379" t="s">
        <v>1630</v>
      </c>
      <c r="O1379" s="4">
        <v>45679.6952546296</v>
      </c>
      <c r="P1379" t="s">
        <v>57</v>
      </c>
      <c r="Q1379" t="s">
        <v>1652</v>
      </c>
      <c r="R1379" t="s">
        <v>4052</v>
      </c>
      <c r="T1379" t="s">
        <v>57</v>
      </c>
    </row>
    <row r="1380" ht="25.5" customHeight="1" spans="1:20">
      <c r="A1380" t="s">
        <v>1860</v>
      </c>
      <c r="B1380" t="s">
        <v>56</v>
      </c>
      <c r="C1380" t="s">
        <v>4047</v>
      </c>
      <c r="D1380" s="3"/>
      <c r="E1380" s="2">
        <v>45680</v>
      </c>
      <c r="F1380">
        <v>626600</v>
      </c>
      <c r="G1380">
        <v>9049</v>
      </c>
      <c r="H1380">
        <v>306</v>
      </c>
      <c r="I1380">
        <v>22</v>
      </c>
      <c r="J1380">
        <v>68</v>
      </c>
      <c r="K1380">
        <v>9</v>
      </c>
      <c r="L1380" t="s">
        <v>3208</v>
      </c>
      <c r="M1380" t="s">
        <v>4048</v>
      </c>
      <c r="N1380" t="s">
        <v>1630</v>
      </c>
      <c r="O1380" s="4">
        <v>45680.6523726852</v>
      </c>
      <c r="P1380" t="s">
        <v>57</v>
      </c>
      <c r="Q1380" t="s">
        <v>1652</v>
      </c>
      <c r="R1380" t="s">
        <v>4011</v>
      </c>
      <c r="T1380" t="s">
        <v>57</v>
      </c>
    </row>
    <row r="1381" ht="25.5" customHeight="1" spans="1:20">
      <c r="A1381" t="s">
        <v>1860</v>
      </c>
      <c r="B1381" t="s">
        <v>56</v>
      </c>
      <c r="C1381" t="s">
        <v>4047</v>
      </c>
      <c r="D1381" s="3"/>
      <c r="E1381" s="2">
        <v>45681</v>
      </c>
      <c r="F1381">
        <v>626900</v>
      </c>
      <c r="G1381">
        <v>9396</v>
      </c>
      <c r="H1381">
        <v>319</v>
      </c>
      <c r="I1381">
        <v>22</v>
      </c>
      <c r="J1381">
        <v>69</v>
      </c>
      <c r="K1381">
        <v>10</v>
      </c>
      <c r="L1381" t="s">
        <v>3208</v>
      </c>
      <c r="M1381" t="s">
        <v>4048</v>
      </c>
      <c r="N1381" t="s">
        <v>1630</v>
      </c>
      <c r="O1381" s="4">
        <v>45681.6404398148</v>
      </c>
      <c r="P1381" t="s">
        <v>57</v>
      </c>
      <c r="Q1381" t="s">
        <v>1652</v>
      </c>
      <c r="R1381" t="s">
        <v>4013</v>
      </c>
      <c r="T1381" t="s">
        <v>57</v>
      </c>
    </row>
    <row r="1382" ht="25.5" customHeight="1" spans="1:20">
      <c r="A1382" t="s">
        <v>1860</v>
      </c>
      <c r="B1382" t="s">
        <v>56</v>
      </c>
      <c r="C1382" t="s">
        <v>4047</v>
      </c>
      <c r="D1382" s="3"/>
      <c r="E1382" s="2">
        <v>45683</v>
      </c>
      <c r="F1382">
        <v>627100</v>
      </c>
      <c r="G1382">
        <v>9855</v>
      </c>
      <c r="H1382">
        <v>333</v>
      </c>
      <c r="I1382">
        <v>22</v>
      </c>
      <c r="J1382">
        <v>75</v>
      </c>
      <c r="K1382">
        <v>11</v>
      </c>
      <c r="L1382" t="s">
        <v>3208</v>
      </c>
      <c r="M1382" t="s">
        <v>4048</v>
      </c>
      <c r="N1382" t="s">
        <v>1630</v>
      </c>
      <c r="O1382" s="4">
        <v>45683.770474537</v>
      </c>
      <c r="P1382" t="s">
        <v>57</v>
      </c>
      <c r="Q1382" t="s">
        <v>1652</v>
      </c>
      <c r="R1382" t="s">
        <v>4053</v>
      </c>
      <c r="T1382" t="s">
        <v>57</v>
      </c>
    </row>
    <row r="1383" ht="25.5" customHeight="1" spans="1:20">
      <c r="A1383" t="s">
        <v>1860</v>
      </c>
      <c r="B1383" t="s">
        <v>56</v>
      </c>
      <c r="C1383" t="s">
        <v>4047</v>
      </c>
      <c r="D1383" s="3"/>
      <c r="E1383" s="2">
        <v>45684</v>
      </c>
      <c r="F1383">
        <v>627200</v>
      </c>
      <c r="G1383">
        <v>10200</v>
      </c>
      <c r="H1383">
        <v>344</v>
      </c>
      <c r="I1383">
        <v>23</v>
      </c>
      <c r="J1383">
        <v>77</v>
      </c>
      <c r="K1383">
        <v>11</v>
      </c>
      <c r="L1383" t="s">
        <v>3208</v>
      </c>
      <c r="M1383" t="s">
        <v>4048</v>
      </c>
      <c r="N1383" t="s">
        <v>1630</v>
      </c>
      <c r="O1383" s="4">
        <v>45684.8434375</v>
      </c>
      <c r="P1383" t="s">
        <v>57</v>
      </c>
      <c r="Q1383" t="s">
        <v>1652</v>
      </c>
      <c r="R1383" t="s">
        <v>4054</v>
      </c>
      <c r="T1383" t="s">
        <v>57</v>
      </c>
    </row>
    <row r="1384" ht="25.5" customHeight="1" spans="1:20">
      <c r="A1384" t="s">
        <v>1860</v>
      </c>
      <c r="B1384" t="s">
        <v>56</v>
      </c>
      <c r="C1384" t="s">
        <v>4047</v>
      </c>
      <c r="D1384" s="3"/>
      <c r="E1384" s="2">
        <v>45693</v>
      </c>
      <c r="F1384">
        <v>627300</v>
      </c>
      <c r="G1384">
        <v>11600</v>
      </c>
      <c r="H1384">
        <v>395</v>
      </c>
      <c r="I1384">
        <v>23</v>
      </c>
      <c r="J1384">
        <v>93</v>
      </c>
      <c r="K1384">
        <v>13</v>
      </c>
      <c r="L1384" t="s">
        <v>3208</v>
      </c>
      <c r="M1384" t="s">
        <v>4048</v>
      </c>
      <c r="N1384" t="s">
        <v>1630</v>
      </c>
      <c r="O1384" s="4">
        <v>45693.8240625</v>
      </c>
      <c r="P1384" t="s">
        <v>57</v>
      </c>
      <c r="Q1384" t="s">
        <v>1652</v>
      </c>
      <c r="R1384" t="s">
        <v>4055</v>
      </c>
      <c r="T1384" t="s">
        <v>57</v>
      </c>
    </row>
    <row r="1385" ht="25.5" customHeight="1" spans="1:20">
      <c r="A1385" t="s">
        <v>1860</v>
      </c>
      <c r="B1385" t="s">
        <v>56</v>
      </c>
      <c r="C1385" t="s">
        <v>4047</v>
      </c>
      <c r="D1385" s="3"/>
      <c r="E1385" s="2">
        <v>45694</v>
      </c>
      <c r="F1385">
        <v>627300</v>
      </c>
      <c r="G1385">
        <v>11700</v>
      </c>
      <c r="H1385">
        <v>401</v>
      </c>
      <c r="I1385">
        <v>23</v>
      </c>
      <c r="J1385">
        <v>93</v>
      </c>
      <c r="K1385">
        <v>13</v>
      </c>
      <c r="L1385" t="s">
        <v>3208</v>
      </c>
      <c r="M1385" t="s">
        <v>4048</v>
      </c>
      <c r="N1385" t="s">
        <v>1630</v>
      </c>
      <c r="O1385" s="4">
        <v>45698.6216782407</v>
      </c>
      <c r="P1385" t="s">
        <v>57</v>
      </c>
      <c r="Q1385" t="s">
        <v>1652</v>
      </c>
      <c r="R1385" t="s">
        <v>4056</v>
      </c>
      <c r="S1385" t="s">
        <v>3169</v>
      </c>
      <c r="T1385" t="s">
        <v>57</v>
      </c>
    </row>
    <row r="1386" ht="25.5" customHeight="1" spans="1:20">
      <c r="A1386" t="s">
        <v>3092</v>
      </c>
      <c r="B1386" t="s">
        <v>65</v>
      </c>
      <c r="C1386" t="s">
        <v>4057</v>
      </c>
      <c r="D1386" s="3" t="str">
        <f>HYPERLINK("https://www.instagram.com/_overtips_/reels/","https://www.instagram.com/_overtips_/reels/")</f>
        <v>https://www.instagram.com/_overtips_/reels/</v>
      </c>
      <c r="E1386" s="2">
        <v>45665</v>
      </c>
      <c r="F1386">
        <v>86500</v>
      </c>
      <c r="G1386">
        <v>6116</v>
      </c>
      <c r="H1386">
        <v>247</v>
      </c>
      <c r="I1386">
        <v>3</v>
      </c>
      <c r="L1386" t="s">
        <v>3138</v>
      </c>
      <c r="N1386" t="s">
        <v>1630</v>
      </c>
      <c r="O1386" s="4">
        <v>45670.7776967593</v>
      </c>
      <c r="P1386" t="s">
        <v>116</v>
      </c>
      <c r="Q1386" t="s">
        <v>1652</v>
      </c>
      <c r="R1386" t="s">
        <v>3550</v>
      </c>
      <c r="T1386" t="s">
        <v>116</v>
      </c>
    </row>
    <row r="1387" ht="25.5" customHeight="1" spans="1:20">
      <c r="A1387" t="s">
        <v>3092</v>
      </c>
      <c r="B1387" t="s">
        <v>65</v>
      </c>
      <c r="C1387" t="s">
        <v>4057</v>
      </c>
      <c r="D1387" s="3"/>
      <c r="E1387" s="2">
        <v>45671</v>
      </c>
      <c r="F1387">
        <v>86600</v>
      </c>
      <c r="G1387">
        <v>6320</v>
      </c>
      <c r="H1387">
        <v>250</v>
      </c>
      <c r="I1387">
        <v>3</v>
      </c>
      <c r="L1387" t="s">
        <v>3138</v>
      </c>
      <c r="N1387" t="s">
        <v>1630</v>
      </c>
      <c r="O1387" s="4">
        <v>45672.5030092593</v>
      </c>
      <c r="P1387" t="s">
        <v>116</v>
      </c>
      <c r="Q1387" t="s">
        <v>1652</v>
      </c>
      <c r="R1387" t="s">
        <v>3323</v>
      </c>
      <c r="T1387" t="s">
        <v>116</v>
      </c>
    </row>
    <row r="1388" ht="25.5" customHeight="1" spans="1:20">
      <c r="A1388" t="s">
        <v>3092</v>
      </c>
      <c r="B1388" t="s">
        <v>65</v>
      </c>
      <c r="C1388" t="s">
        <v>4057</v>
      </c>
      <c r="D1388" s="3"/>
      <c r="E1388" s="2">
        <v>45672</v>
      </c>
      <c r="F1388">
        <v>86600</v>
      </c>
      <c r="G1388">
        <v>6564</v>
      </c>
      <c r="H1388">
        <v>252</v>
      </c>
      <c r="I1388">
        <v>3</v>
      </c>
      <c r="L1388" t="s">
        <v>3138</v>
      </c>
      <c r="N1388" t="s">
        <v>1630</v>
      </c>
      <c r="O1388" s="4">
        <v>45672.5097685185</v>
      </c>
      <c r="P1388" t="s">
        <v>116</v>
      </c>
      <c r="Q1388" t="s">
        <v>1652</v>
      </c>
      <c r="R1388" t="s">
        <v>3324</v>
      </c>
      <c r="T1388" t="s">
        <v>116</v>
      </c>
    </row>
    <row r="1389" ht="25.5" customHeight="1" spans="1:20">
      <c r="A1389" t="s">
        <v>3092</v>
      </c>
      <c r="B1389" t="s">
        <v>65</v>
      </c>
      <c r="C1389" t="s">
        <v>4057</v>
      </c>
      <c r="D1389" s="3"/>
      <c r="E1389" s="2">
        <v>45673</v>
      </c>
      <c r="F1389">
        <v>86700</v>
      </c>
      <c r="G1389">
        <v>6710</v>
      </c>
      <c r="H1389">
        <v>254</v>
      </c>
      <c r="I1389">
        <v>3</v>
      </c>
      <c r="L1389" t="s">
        <v>3138</v>
      </c>
      <c r="N1389" t="s">
        <v>1630</v>
      </c>
      <c r="O1389" s="4">
        <v>45673.4906134259</v>
      </c>
      <c r="P1389" t="s">
        <v>116</v>
      </c>
      <c r="Q1389" t="s">
        <v>1652</v>
      </c>
      <c r="R1389" t="s">
        <v>3551</v>
      </c>
      <c r="T1389" t="s">
        <v>116</v>
      </c>
    </row>
    <row r="1390" ht="25.5" customHeight="1" spans="1:20">
      <c r="A1390" t="s">
        <v>3092</v>
      </c>
      <c r="B1390" t="s">
        <v>65</v>
      </c>
      <c r="C1390" t="s">
        <v>4057</v>
      </c>
      <c r="D1390" s="3"/>
      <c r="E1390" s="2">
        <v>45674</v>
      </c>
      <c r="F1390">
        <v>86700</v>
      </c>
      <c r="G1390">
        <v>6856</v>
      </c>
      <c r="H1390">
        <v>258</v>
      </c>
      <c r="I1390">
        <v>3</v>
      </c>
      <c r="L1390" t="s">
        <v>3138</v>
      </c>
      <c r="N1390" t="s">
        <v>1630</v>
      </c>
      <c r="O1390" s="4">
        <v>45674.6369097222</v>
      </c>
      <c r="P1390" t="s">
        <v>116</v>
      </c>
      <c r="Q1390" t="s">
        <v>1652</v>
      </c>
      <c r="R1390" t="s">
        <v>3431</v>
      </c>
      <c r="T1390" t="s">
        <v>116</v>
      </c>
    </row>
    <row r="1391" ht="25.5" customHeight="1" spans="1:20">
      <c r="A1391" t="s">
        <v>3092</v>
      </c>
      <c r="B1391" t="s">
        <v>65</v>
      </c>
      <c r="C1391" t="s">
        <v>4057</v>
      </c>
      <c r="D1391" s="3"/>
      <c r="E1391" s="2">
        <v>45677</v>
      </c>
      <c r="F1391">
        <v>86900</v>
      </c>
      <c r="G1391">
        <v>7273</v>
      </c>
      <c r="H1391">
        <v>265</v>
      </c>
      <c r="I1391">
        <v>3</v>
      </c>
      <c r="L1391" t="s">
        <v>3138</v>
      </c>
      <c r="N1391" t="s">
        <v>1630</v>
      </c>
      <c r="O1391" s="4">
        <v>45677.4064351852</v>
      </c>
      <c r="P1391" t="s">
        <v>116</v>
      </c>
      <c r="Q1391" t="s">
        <v>1652</v>
      </c>
      <c r="R1391" t="s">
        <v>4058</v>
      </c>
      <c r="T1391" t="s">
        <v>116</v>
      </c>
    </row>
    <row r="1392" ht="25.5" customHeight="1" spans="1:20">
      <c r="A1392" t="s">
        <v>3092</v>
      </c>
      <c r="B1392" t="s">
        <v>65</v>
      </c>
      <c r="C1392" t="s">
        <v>4057</v>
      </c>
      <c r="D1392" s="3"/>
      <c r="E1392" s="2">
        <v>45678</v>
      </c>
      <c r="F1392">
        <v>87000</v>
      </c>
      <c r="G1392">
        <v>7422</v>
      </c>
      <c r="H1392">
        <v>269</v>
      </c>
      <c r="I1392">
        <v>3</v>
      </c>
      <c r="L1392" t="s">
        <v>3138</v>
      </c>
      <c r="N1392" t="s">
        <v>1630</v>
      </c>
      <c r="O1392" s="4">
        <v>45678.5063078704</v>
      </c>
      <c r="P1392" t="s">
        <v>116</v>
      </c>
      <c r="Q1392" t="s">
        <v>1652</v>
      </c>
      <c r="R1392" t="s">
        <v>4059</v>
      </c>
      <c r="T1392" t="s">
        <v>116</v>
      </c>
    </row>
    <row r="1393" ht="25.5" customHeight="1" spans="1:20">
      <c r="A1393" t="s">
        <v>3092</v>
      </c>
      <c r="B1393" t="s">
        <v>65</v>
      </c>
      <c r="C1393" t="s">
        <v>4057</v>
      </c>
      <c r="D1393" s="3"/>
      <c r="E1393" s="2">
        <v>45679</v>
      </c>
      <c r="F1393">
        <v>87000</v>
      </c>
      <c r="G1393">
        <v>7465</v>
      </c>
      <c r="H1393">
        <v>270</v>
      </c>
      <c r="I1393">
        <v>3</v>
      </c>
      <c r="L1393" t="s">
        <v>3138</v>
      </c>
      <c r="N1393" t="s">
        <v>1630</v>
      </c>
      <c r="O1393" s="4">
        <v>45679.6642361111</v>
      </c>
      <c r="P1393" t="s">
        <v>116</v>
      </c>
      <c r="Q1393" t="s">
        <v>1652</v>
      </c>
      <c r="R1393" t="s">
        <v>4060</v>
      </c>
      <c r="T1393" t="s">
        <v>116</v>
      </c>
    </row>
    <row r="1394" ht="25.5" customHeight="1" spans="1:20">
      <c r="A1394" t="s">
        <v>3092</v>
      </c>
      <c r="B1394" t="s">
        <v>65</v>
      </c>
      <c r="C1394" t="s">
        <v>4057</v>
      </c>
      <c r="D1394" s="3"/>
      <c r="E1394" s="2">
        <v>45680</v>
      </c>
      <c r="F1394">
        <v>87000</v>
      </c>
      <c r="G1394">
        <v>7529</v>
      </c>
      <c r="H1394">
        <v>271</v>
      </c>
      <c r="I1394">
        <v>3</v>
      </c>
      <c r="L1394" t="s">
        <v>3138</v>
      </c>
      <c r="N1394" t="s">
        <v>1630</v>
      </c>
      <c r="O1394" s="4">
        <v>45680.5138194444</v>
      </c>
      <c r="P1394" t="s">
        <v>116</v>
      </c>
      <c r="Q1394" t="s">
        <v>1652</v>
      </c>
      <c r="R1394" t="s">
        <v>3432</v>
      </c>
      <c r="T1394" t="s">
        <v>116</v>
      </c>
    </row>
    <row r="1395" ht="25.5" customHeight="1" spans="1:20">
      <c r="A1395" t="s">
        <v>3092</v>
      </c>
      <c r="B1395" t="s">
        <v>65</v>
      </c>
      <c r="C1395" t="s">
        <v>4057</v>
      </c>
      <c r="D1395" s="3"/>
      <c r="E1395" s="2">
        <v>45681</v>
      </c>
      <c r="F1395">
        <v>87100</v>
      </c>
      <c r="G1395">
        <v>7561</v>
      </c>
      <c r="H1395">
        <v>271</v>
      </c>
      <c r="I1395">
        <v>3</v>
      </c>
      <c r="L1395" t="s">
        <v>3138</v>
      </c>
      <c r="N1395" t="s">
        <v>1630</v>
      </c>
      <c r="O1395" s="4">
        <v>45681.4978009259</v>
      </c>
      <c r="P1395" t="s">
        <v>116</v>
      </c>
      <c r="Q1395" t="s">
        <v>1652</v>
      </c>
      <c r="R1395" t="s">
        <v>3432</v>
      </c>
      <c r="T1395" t="s">
        <v>116</v>
      </c>
    </row>
    <row r="1396" ht="25.5" customHeight="1" spans="1:20">
      <c r="A1396" t="s">
        <v>3092</v>
      </c>
      <c r="B1396" t="s">
        <v>65</v>
      </c>
      <c r="C1396" t="s">
        <v>4057</v>
      </c>
      <c r="D1396" s="3"/>
      <c r="E1396" s="2">
        <v>45683</v>
      </c>
      <c r="F1396">
        <v>87300</v>
      </c>
      <c r="G1396">
        <v>7617</v>
      </c>
      <c r="H1396">
        <v>272</v>
      </c>
      <c r="I1396">
        <v>3</v>
      </c>
      <c r="L1396" t="s">
        <v>3138</v>
      </c>
      <c r="N1396" t="s">
        <v>1630</v>
      </c>
      <c r="O1396" s="4">
        <v>45683.7234375</v>
      </c>
      <c r="P1396" t="s">
        <v>116</v>
      </c>
      <c r="Q1396" t="s">
        <v>1652</v>
      </c>
      <c r="R1396" t="s">
        <v>3783</v>
      </c>
      <c r="T1396" t="s">
        <v>116</v>
      </c>
    </row>
    <row r="1397" ht="25.5" customHeight="1" spans="1:20">
      <c r="A1397" t="s">
        <v>3092</v>
      </c>
      <c r="B1397" t="s">
        <v>65</v>
      </c>
      <c r="C1397" t="s">
        <v>4057</v>
      </c>
      <c r="D1397" s="3"/>
      <c r="E1397" s="2">
        <v>45684</v>
      </c>
      <c r="F1397">
        <v>87400</v>
      </c>
      <c r="G1397">
        <v>7656</v>
      </c>
      <c r="H1397">
        <v>272</v>
      </c>
      <c r="I1397">
        <v>3</v>
      </c>
      <c r="L1397" t="s">
        <v>3138</v>
      </c>
      <c r="N1397" t="s">
        <v>1630</v>
      </c>
      <c r="O1397" s="4">
        <v>45684.7793402778</v>
      </c>
      <c r="P1397" t="s">
        <v>116</v>
      </c>
      <c r="Q1397" t="s">
        <v>1652</v>
      </c>
      <c r="R1397" t="s">
        <v>3783</v>
      </c>
      <c r="T1397" t="s">
        <v>116</v>
      </c>
    </row>
    <row r="1398" ht="25.5" customHeight="1" spans="1:20">
      <c r="A1398" t="s">
        <v>3092</v>
      </c>
      <c r="B1398" t="s">
        <v>65</v>
      </c>
      <c r="C1398" t="s">
        <v>4057</v>
      </c>
      <c r="D1398" s="3"/>
      <c r="E1398" s="2">
        <v>45693</v>
      </c>
      <c r="F1398">
        <v>87500</v>
      </c>
      <c r="G1398">
        <v>7856</v>
      </c>
      <c r="H1398">
        <v>276</v>
      </c>
      <c r="I1398">
        <v>3</v>
      </c>
      <c r="L1398" t="s">
        <v>3138</v>
      </c>
      <c r="N1398" t="s">
        <v>1630</v>
      </c>
      <c r="O1398" s="4">
        <v>45693.7784490741</v>
      </c>
      <c r="P1398" t="s">
        <v>116</v>
      </c>
      <c r="Q1398" t="s">
        <v>1652</v>
      </c>
      <c r="R1398" t="s">
        <v>4061</v>
      </c>
      <c r="T1398" t="s">
        <v>116</v>
      </c>
    </row>
    <row r="1399" ht="25.5" customHeight="1" spans="1:20">
      <c r="A1399" t="s">
        <v>3092</v>
      </c>
      <c r="B1399" t="s">
        <v>65</v>
      </c>
      <c r="C1399" t="s">
        <v>4057</v>
      </c>
      <c r="D1399" s="3"/>
      <c r="E1399" s="2">
        <v>45694</v>
      </c>
      <c r="F1399">
        <v>87800</v>
      </c>
      <c r="G1399">
        <v>7864</v>
      </c>
      <c r="H1399">
        <v>276</v>
      </c>
      <c r="I1399">
        <v>3</v>
      </c>
      <c r="L1399" t="s">
        <v>3138</v>
      </c>
      <c r="N1399" t="s">
        <v>1630</v>
      </c>
      <c r="O1399" s="4">
        <v>45698.6216782407</v>
      </c>
      <c r="P1399" t="s">
        <v>116</v>
      </c>
      <c r="Q1399" t="s">
        <v>1652</v>
      </c>
      <c r="R1399" t="s">
        <v>4061</v>
      </c>
      <c r="S1399" t="s">
        <v>3180</v>
      </c>
      <c r="T1399" t="s">
        <v>116</v>
      </c>
    </row>
    <row r="1400" ht="25.5" customHeight="1" spans="1:20">
      <c r="A1400" t="s">
        <v>3092</v>
      </c>
      <c r="B1400" t="s">
        <v>65</v>
      </c>
      <c r="C1400" t="s">
        <v>4057</v>
      </c>
      <c r="D1400" s="3"/>
      <c r="E1400" s="2">
        <v>45695</v>
      </c>
      <c r="F1400">
        <v>87800</v>
      </c>
      <c r="G1400">
        <v>7898</v>
      </c>
      <c r="H1400">
        <v>277</v>
      </c>
      <c r="I1400">
        <v>3</v>
      </c>
      <c r="L1400" t="s">
        <v>3138</v>
      </c>
      <c r="N1400" t="s">
        <v>1630</v>
      </c>
      <c r="O1400" s="4">
        <v>45695.4885300926</v>
      </c>
      <c r="P1400" t="s">
        <v>116</v>
      </c>
      <c r="Q1400" t="s">
        <v>1652</v>
      </c>
      <c r="R1400" t="s">
        <v>3554</v>
      </c>
      <c r="T1400" t="s">
        <v>116</v>
      </c>
    </row>
    <row r="1401" ht="25.5" customHeight="1" spans="1:20">
      <c r="A1401" t="s">
        <v>3093</v>
      </c>
      <c r="B1401" t="s">
        <v>269</v>
      </c>
      <c r="C1401" t="s">
        <v>4062</v>
      </c>
      <c r="D1401" s="3" t="str">
        <f>HYPERLINK("https://www.youtube.com/@_overtips_/shorts","https://www.youtube.com/@_overtips_/shorts")</f>
        <v>https://www.youtube.com/@_overtips_/shorts</v>
      </c>
      <c r="E1401" s="2">
        <v>45665</v>
      </c>
      <c r="F1401">
        <v>317000</v>
      </c>
      <c r="G1401">
        <v>1592</v>
      </c>
      <c r="H1401">
        <v>200</v>
      </c>
      <c r="I1401">
        <v>6</v>
      </c>
      <c r="L1401" t="s">
        <v>3138</v>
      </c>
      <c r="N1401" t="s">
        <v>1630</v>
      </c>
      <c r="O1401" s="4">
        <v>45670.8693634259</v>
      </c>
      <c r="P1401" t="s">
        <v>423</v>
      </c>
      <c r="Q1401" t="s">
        <v>1652</v>
      </c>
      <c r="R1401" t="s">
        <v>3222</v>
      </c>
      <c r="T1401" t="s">
        <v>423</v>
      </c>
    </row>
    <row r="1402" ht="25.5" customHeight="1" spans="1:20">
      <c r="A1402" t="s">
        <v>3093</v>
      </c>
      <c r="B1402" t="s">
        <v>269</v>
      </c>
      <c r="C1402" t="s">
        <v>4062</v>
      </c>
      <c r="D1402" s="3"/>
      <c r="E1402" s="2">
        <v>45674</v>
      </c>
      <c r="F1402">
        <v>317000</v>
      </c>
      <c r="G1402">
        <v>1900</v>
      </c>
      <c r="H1402">
        <v>241</v>
      </c>
      <c r="I1402">
        <v>6</v>
      </c>
      <c r="L1402" t="s">
        <v>3138</v>
      </c>
      <c r="N1402" t="s">
        <v>1630</v>
      </c>
      <c r="O1402" s="4">
        <v>45674.7157638889</v>
      </c>
      <c r="P1402" t="s">
        <v>423</v>
      </c>
      <c r="Q1402" t="s">
        <v>1652</v>
      </c>
      <c r="R1402" t="s">
        <v>4063</v>
      </c>
      <c r="T1402" t="s">
        <v>423</v>
      </c>
    </row>
    <row r="1403" ht="25.5" customHeight="1" spans="1:20">
      <c r="A1403" t="s">
        <v>3093</v>
      </c>
      <c r="B1403" t="s">
        <v>269</v>
      </c>
      <c r="C1403" t="s">
        <v>4062</v>
      </c>
      <c r="D1403" s="3"/>
      <c r="E1403" s="2">
        <v>45677</v>
      </c>
      <c r="F1403">
        <v>317000</v>
      </c>
      <c r="G1403">
        <v>2119</v>
      </c>
      <c r="H1403">
        <v>251</v>
      </c>
      <c r="I1403">
        <v>6</v>
      </c>
      <c r="L1403" t="s">
        <v>3138</v>
      </c>
      <c r="N1403" t="s">
        <v>1630</v>
      </c>
      <c r="O1403" s="4">
        <v>45677.417974537</v>
      </c>
      <c r="P1403" t="s">
        <v>423</v>
      </c>
      <c r="Q1403" t="s">
        <v>1652</v>
      </c>
      <c r="R1403" t="s">
        <v>3551</v>
      </c>
      <c r="T1403" t="s">
        <v>423</v>
      </c>
    </row>
    <row r="1404" ht="25.5" customHeight="1" spans="1:20">
      <c r="A1404" t="s">
        <v>3093</v>
      </c>
      <c r="B1404" t="s">
        <v>269</v>
      </c>
      <c r="C1404" t="s">
        <v>4062</v>
      </c>
      <c r="D1404" s="3"/>
      <c r="E1404" s="2">
        <v>45678</v>
      </c>
      <c r="F1404">
        <v>317000</v>
      </c>
      <c r="G1404">
        <v>2100</v>
      </c>
      <c r="H1404">
        <v>257</v>
      </c>
      <c r="I1404">
        <v>6</v>
      </c>
      <c r="L1404" t="s">
        <v>3138</v>
      </c>
      <c r="N1404" t="s">
        <v>1630</v>
      </c>
      <c r="O1404" s="4">
        <v>45678.6046180556</v>
      </c>
      <c r="P1404" t="s">
        <v>423</v>
      </c>
      <c r="Q1404" t="s">
        <v>1652</v>
      </c>
      <c r="R1404" t="s">
        <v>3325</v>
      </c>
      <c r="T1404" t="s">
        <v>423</v>
      </c>
    </row>
    <row r="1405" ht="25.5" customHeight="1" spans="1:20">
      <c r="A1405" t="s">
        <v>3093</v>
      </c>
      <c r="B1405" t="s">
        <v>269</v>
      </c>
      <c r="C1405" t="s">
        <v>4062</v>
      </c>
      <c r="D1405" s="3"/>
      <c r="E1405" s="2">
        <v>45679</v>
      </c>
      <c r="F1405">
        <v>317000</v>
      </c>
      <c r="G1405">
        <v>2200</v>
      </c>
      <c r="H1405">
        <v>260</v>
      </c>
      <c r="I1405">
        <v>6</v>
      </c>
      <c r="L1405" t="s">
        <v>3138</v>
      </c>
      <c r="N1405" t="s">
        <v>1630</v>
      </c>
      <c r="O1405" s="4">
        <v>45679.6824421296</v>
      </c>
      <c r="P1405" t="s">
        <v>423</v>
      </c>
      <c r="Q1405" t="s">
        <v>1652</v>
      </c>
      <c r="R1405" t="s">
        <v>3464</v>
      </c>
      <c r="T1405" t="s">
        <v>423</v>
      </c>
    </row>
    <row r="1406" ht="25.5" customHeight="1" spans="1:20">
      <c r="A1406" t="s">
        <v>3093</v>
      </c>
      <c r="B1406" t="s">
        <v>269</v>
      </c>
      <c r="C1406" t="s">
        <v>4062</v>
      </c>
      <c r="D1406" s="3"/>
      <c r="E1406" s="2">
        <v>45680</v>
      </c>
      <c r="F1406">
        <v>317000</v>
      </c>
      <c r="G1406">
        <v>2320</v>
      </c>
      <c r="H1406">
        <v>266</v>
      </c>
      <c r="I1406">
        <v>6</v>
      </c>
      <c r="L1406" t="s">
        <v>3138</v>
      </c>
      <c r="N1406" t="s">
        <v>1630</v>
      </c>
      <c r="O1406" s="4">
        <v>45680.6329513889</v>
      </c>
      <c r="P1406" t="s">
        <v>423</v>
      </c>
      <c r="Q1406" t="s">
        <v>1652</v>
      </c>
      <c r="R1406" t="s">
        <v>4059</v>
      </c>
      <c r="T1406" t="s">
        <v>423</v>
      </c>
    </row>
    <row r="1407" ht="25.5" customHeight="1" spans="1:20">
      <c r="A1407" t="s">
        <v>3093</v>
      </c>
      <c r="B1407" t="s">
        <v>269</v>
      </c>
      <c r="C1407" t="s">
        <v>4062</v>
      </c>
      <c r="D1407" s="3"/>
      <c r="E1407" s="2">
        <v>45681</v>
      </c>
      <c r="F1407">
        <v>317000</v>
      </c>
      <c r="G1407">
        <v>2363</v>
      </c>
      <c r="H1407">
        <v>268</v>
      </c>
      <c r="I1407">
        <v>6</v>
      </c>
      <c r="L1407" t="s">
        <v>3138</v>
      </c>
      <c r="N1407" t="s">
        <v>1630</v>
      </c>
      <c r="O1407" s="4">
        <v>45681.536099537</v>
      </c>
      <c r="P1407" t="s">
        <v>423</v>
      </c>
      <c r="Q1407" t="s">
        <v>1652</v>
      </c>
      <c r="R1407" t="s">
        <v>3432</v>
      </c>
      <c r="T1407" t="s">
        <v>423</v>
      </c>
    </row>
    <row r="1408" ht="25.5" customHeight="1" spans="1:20">
      <c r="A1408" t="s">
        <v>3093</v>
      </c>
      <c r="B1408" t="s">
        <v>269</v>
      </c>
      <c r="C1408" t="s">
        <v>4062</v>
      </c>
      <c r="D1408" s="3"/>
      <c r="E1408" s="2">
        <v>45683</v>
      </c>
      <c r="F1408">
        <v>317000</v>
      </c>
      <c r="G1408">
        <v>2499</v>
      </c>
      <c r="H1408">
        <v>282</v>
      </c>
      <c r="I1408">
        <v>6</v>
      </c>
      <c r="L1408" t="s">
        <v>3138</v>
      </c>
      <c r="N1408" t="s">
        <v>1630</v>
      </c>
      <c r="O1408" s="4">
        <v>45683.7450462963</v>
      </c>
      <c r="P1408" t="s">
        <v>423</v>
      </c>
      <c r="Q1408" t="s">
        <v>1652</v>
      </c>
      <c r="R1408" t="s">
        <v>4064</v>
      </c>
      <c r="T1408" t="s">
        <v>423</v>
      </c>
    </row>
    <row r="1409" ht="25.5" customHeight="1" spans="1:20">
      <c r="A1409" t="s">
        <v>3093</v>
      </c>
      <c r="B1409" t="s">
        <v>269</v>
      </c>
      <c r="C1409" t="s">
        <v>4062</v>
      </c>
      <c r="D1409" s="3"/>
      <c r="E1409" s="2">
        <v>45684</v>
      </c>
      <c r="F1409">
        <v>317000</v>
      </c>
      <c r="G1409">
        <v>2568</v>
      </c>
      <c r="H1409">
        <v>288</v>
      </c>
      <c r="I1409">
        <v>6</v>
      </c>
      <c r="L1409" t="s">
        <v>3138</v>
      </c>
      <c r="N1409" t="s">
        <v>1630</v>
      </c>
      <c r="O1409" s="4">
        <v>45684.7930324074</v>
      </c>
      <c r="P1409" t="s">
        <v>423</v>
      </c>
      <c r="Q1409" t="s">
        <v>1652</v>
      </c>
      <c r="R1409" t="s">
        <v>3977</v>
      </c>
      <c r="T1409" t="s">
        <v>423</v>
      </c>
    </row>
    <row r="1410" ht="25.5" customHeight="1" spans="1:20">
      <c r="A1410" t="s">
        <v>3093</v>
      </c>
      <c r="B1410" t="s">
        <v>269</v>
      </c>
      <c r="C1410" t="s">
        <v>4062</v>
      </c>
      <c r="D1410" s="3"/>
      <c r="E1410" s="2">
        <v>45693</v>
      </c>
      <c r="F1410">
        <v>319000</v>
      </c>
      <c r="G1410">
        <v>2744</v>
      </c>
      <c r="H1410">
        <v>390</v>
      </c>
      <c r="I1410">
        <v>6</v>
      </c>
      <c r="L1410" t="s">
        <v>3138</v>
      </c>
      <c r="N1410" t="s">
        <v>1630</v>
      </c>
      <c r="O1410" s="4">
        <v>45693.7920949074</v>
      </c>
      <c r="P1410" t="s">
        <v>423</v>
      </c>
      <c r="Q1410" t="s">
        <v>1652</v>
      </c>
      <c r="R1410" t="s">
        <v>4065</v>
      </c>
      <c r="T1410" t="s">
        <v>423</v>
      </c>
    </row>
    <row r="1411" ht="25.5" customHeight="1" spans="1:20">
      <c r="A1411" t="s">
        <v>3093</v>
      </c>
      <c r="B1411" t="s">
        <v>269</v>
      </c>
      <c r="C1411" t="s">
        <v>4062</v>
      </c>
      <c r="D1411" s="3"/>
      <c r="E1411" s="2">
        <v>45694</v>
      </c>
      <c r="F1411">
        <v>319000</v>
      </c>
      <c r="G1411">
        <v>3958</v>
      </c>
      <c r="H1411">
        <v>404</v>
      </c>
      <c r="I1411">
        <v>6</v>
      </c>
      <c r="L1411" t="s">
        <v>3138</v>
      </c>
      <c r="N1411" t="s">
        <v>1630</v>
      </c>
      <c r="O1411" s="4">
        <v>45698.6216782407</v>
      </c>
      <c r="P1411" t="s">
        <v>423</v>
      </c>
      <c r="Q1411" t="s">
        <v>1652</v>
      </c>
      <c r="R1411" t="s">
        <v>3379</v>
      </c>
      <c r="S1411" t="s">
        <v>3245</v>
      </c>
      <c r="T1411" t="s">
        <v>423</v>
      </c>
    </row>
    <row r="1412" ht="25.5" customHeight="1" spans="1:20">
      <c r="A1412" t="s">
        <v>3093</v>
      </c>
      <c r="B1412" t="s">
        <v>269</v>
      </c>
      <c r="C1412" t="s">
        <v>4062</v>
      </c>
      <c r="D1412" s="3"/>
      <c r="E1412" s="2">
        <v>45695</v>
      </c>
      <c r="F1412">
        <v>319000</v>
      </c>
      <c r="G1412">
        <v>4180</v>
      </c>
      <c r="H1412">
        <v>416</v>
      </c>
      <c r="I1412">
        <v>6</v>
      </c>
      <c r="L1412" t="s">
        <v>3138</v>
      </c>
      <c r="N1412" t="s">
        <v>1630</v>
      </c>
      <c r="O1412" s="4">
        <v>45695.639375</v>
      </c>
      <c r="P1412" t="s">
        <v>423</v>
      </c>
      <c r="Q1412" t="s">
        <v>1652</v>
      </c>
      <c r="R1412" t="s">
        <v>4066</v>
      </c>
      <c r="T1412" t="s">
        <v>423</v>
      </c>
    </row>
    <row r="1413" ht="25.5" customHeight="1" spans="1:20">
      <c r="A1413" t="s">
        <v>2207</v>
      </c>
      <c r="B1413" t="s">
        <v>4067</v>
      </c>
      <c r="C1413" t="s">
        <v>4068</v>
      </c>
      <c r="D1413" s="3"/>
      <c r="E1413" s="2"/>
      <c r="M1413" t="s">
        <v>4069</v>
      </c>
      <c r="N1413" t="s">
        <v>4070</v>
      </c>
      <c r="O1413" s="4">
        <v>45670.743587963</v>
      </c>
      <c r="P1413" t="s">
        <v>4071</v>
      </c>
      <c r="Q1413" t="s">
        <v>4072</v>
      </c>
      <c r="R1413" t="s">
        <v>3133</v>
      </c>
      <c r="T1413" t="s">
        <v>4071</v>
      </c>
    </row>
    <row r="1414" ht="25.5" customHeight="1" spans="1:20">
      <c r="A1414" t="s">
        <v>2207</v>
      </c>
      <c r="B1414" t="s">
        <v>4067</v>
      </c>
      <c r="C1414" t="s">
        <v>4068</v>
      </c>
      <c r="D1414" s="3"/>
      <c r="E1414" s="2"/>
      <c r="M1414" t="s">
        <v>4069</v>
      </c>
      <c r="N1414" t="s">
        <v>4070</v>
      </c>
      <c r="O1414" s="4">
        <v>45670.743587963</v>
      </c>
      <c r="P1414" t="s">
        <v>4071</v>
      </c>
      <c r="Q1414" t="s">
        <v>4072</v>
      </c>
      <c r="R1414" t="s">
        <v>3133</v>
      </c>
      <c r="T1414" t="s">
        <v>4071</v>
      </c>
    </row>
    <row r="1415" ht="25.5" customHeight="1" spans="1:20">
      <c r="A1415" t="s">
        <v>1805</v>
      </c>
      <c r="B1415" t="s">
        <v>56</v>
      </c>
      <c r="C1415" t="s">
        <v>4073</v>
      </c>
      <c r="D1415" s="3"/>
      <c r="E1415" s="2">
        <v>45674</v>
      </c>
      <c r="F1415">
        <v>822500</v>
      </c>
      <c r="G1415">
        <v>167400</v>
      </c>
      <c r="H1415">
        <v>15100</v>
      </c>
      <c r="I1415">
        <v>105</v>
      </c>
      <c r="J1415">
        <v>9017</v>
      </c>
      <c r="K1415">
        <v>1066</v>
      </c>
      <c r="L1415" t="s">
        <v>3260</v>
      </c>
      <c r="M1415" t="s">
        <v>3414</v>
      </c>
      <c r="N1415" t="s">
        <v>1630</v>
      </c>
      <c r="O1415" s="4">
        <v>45674.6739699074</v>
      </c>
      <c r="P1415" t="s">
        <v>57</v>
      </c>
      <c r="Q1415" t="s">
        <v>97</v>
      </c>
      <c r="R1415" t="s">
        <v>4074</v>
      </c>
      <c r="T1415" t="s">
        <v>57</v>
      </c>
    </row>
    <row r="1416" ht="25.5" customHeight="1" spans="1:20">
      <c r="A1416" t="s">
        <v>1805</v>
      </c>
      <c r="B1416" t="s">
        <v>56</v>
      </c>
      <c r="C1416" t="s">
        <v>4073</v>
      </c>
      <c r="D1416" s="3"/>
      <c r="E1416" s="2">
        <v>45677</v>
      </c>
      <c r="F1416">
        <v>826100</v>
      </c>
      <c r="G1416">
        <v>484100</v>
      </c>
      <c r="H1416">
        <v>45100</v>
      </c>
      <c r="I1416">
        <v>241</v>
      </c>
      <c r="J1416">
        <v>27100</v>
      </c>
      <c r="K1416">
        <v>3781</v>
      </c>
      <c r="L1416" t="s">
        <v>3260</v>
      </c>
      <c r="M1416" t="s">
        <v>3414</v>
      </c>
      <c r="N1416" t="s">
        <v>1630</v>
      </c>
      <c r="O1416" s="4">
        <v>45677.4339467593</v>
      </c>
      <c r="P1416" t="s">
        <v>57</v>
      </c>
      <c r="Q1416" t="s">
        <v>97</v>
      </c>
      <c r="R1416" t="s">
        <v>4075</v>
      </c>
      <c r="T1416" t="s">
        <v>57</v>
      </c>
    </row>
    <row r="1417" ht="25.5" customHeight="1" spans="1:20">
      <c r="A1417" t="s">
        <v>1805</v>
      </c>
      <c r="B1417" t="s">
        <v>56</v>
      </c>
      <c r="C1417" t="s">
        <v>4073</v>
      </c>
      <c r="D1417" s="3"/>
      <c r="E1417" s="2">
        <v>45678</v>
      </c>
      <c r="F1417">
        <v>827900</v>
      </c>
      <c r="G1417">
        <v>506700</v>
      </c>
      <c r="H1417">
        <v>46600</v>
      </c>
      <c r="I1417">
        <v>248</v>
      </c>
      <c r="J1417">
        <v>27900</v>
      </c>
      <c r="K1417">
        <v>3926</v>
      </c>
      <c r="L1417" t="s">
        <v>3260</v>
      </c>
      <c r="M1417" t="s">
        <v>3414</v>
      </c>
      <c r="N1417" t="s">
        <v>1630</v>
      </c>
      <c r="O1417" s="4">
        <v>45678.6387962963</v>
      </c>
      <c r="P1417" t="s">
        <v>57</v>
      </c>
      <c r="Q1417" t="s">
        <v>97</v>
      </c>
      <c r="R1417" t="s">
        <v>4076</v>
      </c>
      <c r="T1417" t="s">
        <v>57</v>
      </c>
    </row>
    <row r="1418" ht="25.5" customHeight="1" spans="1:20">
      <c r="A1418" t="s">
        <v>1805</v>
      </c>
      <c r="B1418" t="s">
        <v>56</v>
      </c>
      <c r="C1418" t="s">
        <v>4073</v>
      </c>
      <c r="D1418" s="3"/>
      <c r="E1418" s="2">
        <v>45679</v>
      </c>
      <c r="F1418">
        <v>829300</v>
      </c>
      <c r="G1418">
        <v>523600</v>
      </c>
      <c r="H1418">
        <v>47800</v>
      </c>
      <c r="I1418">
        <v>257</v>
      </c>
      <c r="J1418">
        <v>28500</v>
      </c>
      <c r="K1418">
        <v>4054</v>
      </c>
      <c r="L1418" t="s">
        <v>3260</v>
      </c>
      <c r="M1418" t="s">
        <v>3414</v>
      </c>
      <c r="N1418" t="s">
        <v>1630</v>
      </c>
      <c r="O1418" s="4">
        <v>45679.6955208333</v>
      </c>
      <c r="P1418" t="s">
        <v>57</v>
      </c>
      <c r="Q1418" t="s">
        <v>97</v>
      </c>
      <c r="R1418" t="s">
        <v>4077</v>
      </c>
      <c r="T1418" t="s">
        <v>57</v>
      </c>
    </row>
    <row r="1419" ht="25.5" customHeight="1" spans="1:20">
      <c r="A1419" t="s">
        <v>1805</v>
      </c>
      <c r="B1419" t="s">
        <v>56</v>
      </c>
      <c r="C1419" t="s">
        <v>4073</v>
      </c>
      <c r="D1419" s="3"/>
      <c r="E1419" s="2">
        <v>45680</v>
      </c>
      <c r="F1419">
        <v>830400</v>
      </c>
      <c r="G1419">
        <v>539800</v>
      </c>
      <c r="H1419">
        <v>48700</v>
      </c>
      <c r="I1419">
        <v>262</v>
      </c>
      <c r="J1419">
        <v>29100</v>
      </c>
      <c r="K1419">
        <v>4169</v>
      </c>
      <c r="L1419" t="s">
        <v>3260</v>
      </c>
      <c r="M1419" t="s">
        <v>3414</v>
      </c>
      <c r="N1419" t="s">
        <v>1630</v>
      </c>
      <c r="O1419" s="4">
        <v>45681.6407523148</v>
      </c>
      <c r="P1419" t="s">
        <v>57</v>
      </c>
      <c r="Q1419" t="s">
        <v>97</v>
      </c>
      <c r="R1419" t="s">
        <v>4078</v>
      </c>
      <c r="T1419" t="s">
        <v>57</v>
      </c>
    </row>
    <row r="1420" ht="25.5" customHeight="1" spans="1:20">
      <c r="A1420" t="s">
        <v>1805</v>
      </c>
      <c r="B1420" t="s">
        <v>56</v>
      </c>
      <c r="C1420" t="s">
        <v>4073</v>
      </c>
      <c r="D1420" s="3"/>
      <c r="E1420" s="2">
        <v>45681</v>
      </c>
      <c r="F1420">
        <v>831200</v>
      </c>
      <c r="G1420">
        <v>554400</v>
      </c>
      <c r="H1420">
        <v>49600</v>
      </c>
      <c r="I1420">
        <v>269</v>
      </c>
      <c r="J1420">
        <v>29700</v>
      </c>
      <c r="K1420">
        <v>4290</v>
      </c>
      <c r="L1420" t="s">
        <v>3260</v>
      </c>
      <c r="M1420" t="s">
        <v>3414</v>
      </c>
      <c r="N1420" t="s">
        <v>1630</v>
      </c>
      <c r="O1420" s="4">
        <v>45681.6408101852</v>
      </c>
      <c r="P1420" t="s">
        <v>57</v>
      </c>
      <c r="Q1420" t="s">
        <v>97</v>
      </c>
      <c r="R1420" t="s">
        <v>4079</v>
      </c>
      <c r="T1420" t="s">
        <v>57</v>
      </c>
    </row>
    <row r="1421" ht="25.5" customHeight="1" spans="1:20">
      <c r="A1421" t="s">
        <v>1805</v>
      </c>
      <c r="B1421" t="s">
        <v>56</v>
      </c>
      <c r="C1421" t="s">
        <v>4073</v>
      </c>
      <c r="D1421" s="3"/>
      <c r="E1421" s="2">
        <v>45683</v>
      </c>
      <c r="F1421">
        <v>832500</v>
      </c>
      <c r="G1421">
        <v>576100</v>
      </c>
      <c r="H1421">
        <v>51100</v>
      </c>
      <c r="I1421">
        <v>279</v>
      </c>
      <c r="J1421">
        <v>30600</v>
      </c>
      <c r="K1421">
        <v>4411</v>
      </c>
      <c r="L1421" t="s">
        <v>3260</v>
      </c>
      <c r="M1421" t="s">
        <v>3414</v>
      </c>
      <c r="N1421" t="s">
        <v>1630</v>
      </c>
      <c r="O1421" s="4">
        <v>45683.770775463</v>
      </c>
      <c r="P1421" t="s">
        <v>57</v>
      </c>
      <c r="Q1421" t="s">
        <v>97</v>
      </c>
      <c r="R1421" t="s">
        <v>4080</v>
      </c>
      <c r="T1421" t="s">
        <v>57</v>
      </c>
    </row>
    <row r="1422" ht="25.5" customHeight="1" spans="1:20">
      <c r="A1422" t="s">
        <v>1805</v>
      </c>
      <c r="B1422" t="s">
        <v>56</v>
      </c>
      <c r="C1422" t="s">
        <v>4073</v>
      </c>
      <c r="D1422" s="3"/>
      <c r="E1422" s="2">
        <v>45684</v>
      </c>
      <c r="F1422">
        <v>833000</v>
      </c>
      <c r="G1422">
        <v>585300</v>
      </c>
      <c r="H1422">
        <v>51700</v>
      </c>
      <c r="I1422">
        <v>280</v>
      </c>
      <c r="J1422">
        <v>30900</v>
      </c>
      <c r="K1422">
        <v>4465</v>
      </c>
      <c r="L1422" t="s">
        <v>3260</v>
      </c>
      <c r="M1422" t="s">
        <v>3414</v>
      </c>
      <c r="N1422" t="s">
        <v>1630</v>
      </c>
      <c r="O1422" s="4">
        <v>45684.849537037</v>
      </c>
      <c r="P1422" t="s">
        <v>57</v>
      </c>
      <c r="Q1422" t="s">
        <v>97</v>
      </c>
      <c r="R1422" t="s">
        <v>4081</v>
      </c>
      <c r="T1422" t="s">
        <v>57</v>
      </c>
    </row>
    <row r="1423" ht="25.5" customHeight="1" spans="1:20">
      <c r="A1423" t="s">
        <v>1805</v>
      </c>
      <c r="B1423" t="s">
        <v>56</v>
      </c>
      <c r="C1423" t="s">
        <v>4073</v>
      </c>
      <c r="D1423" s="3"/>
      <c r="E1423" s="2">
        <v>45693</v>
      </c>
      <c r="F1423">
        <v>839000</v>
      </c>
      <c r="G1423">
        <v>696800</v>
      </c>
      <c r="H1423">
        <v>59400</v>
      </c>
      <c r="I1423">
        <v>325</v>
      </c>
      <c r="J1423">
        <v>36000</v>
      </c>
      <c r="K1423">
        <v>5138</v>
      </c>
      <c r="L1423" t="s">
        <v>3230</v>
      </c>
      <c r="M1423" t="s">
        <v>3414</v>
      </c>
      <c r="N1423" t="s">
        <v>1630</v>
      </c>
      <c r="O1423" s="4">
        <v>45693.8243634259</v>
      </c>
      <c r="P1423" t="s">
        <v>57</v>
      </c>
      <c r="Q1423" t="s">
        <v>97</v>
      </c>
      <c r="R1423" t="s">
        <v>4082</v>
      </c>
      <c r="T1423" t="s">
        <v>57</v>
      </c>
    </row>
    <row r="1424" ht="25.5" customHeight="1" spans="1:20">
      <c r="A1424" t="s">
        <v>1805</v>
      </c>
      <c r="B1424" t="s">
        <v>56</v>
      </c>
      <c r="C1424" t="s">
        <v>4073</v>
      </c>
      <c r="D1424" s="3"/>
      <c r="E1424" s="2">
        <v>45694</v>
      </c>
      <c r="F1424">
        <v>839400</v>
      </c>
      <c r="G1424">
        <v>703700</v>
      </c>
      <c r="H1424">
        <v>59900</v>
      </c>
      <c r="I1424">
        <v>327</v>
      </c>
      <c r="J1424">
        <v>36300</v>
      </c>
      <c r="K1424">
        <v>5175</v>
      </c>
      <c r="L1424" t="s">
        <v>3230</v>
      </c>
      <c r="M1424" t="s">
        <v>3414</v>
      </c>
      <c r="N1424" t="s">
        <v>1630</v>
      </c>
      <c r="O1424" s="4">
        <v>45698.6216782407</v>
      </c>
      <c r="P1424" t="s">
        <v>57</v>
      </c>
      <c r="Q1424" t="s">
        <v>97</v>
      </c>
      <c r="R1424" t="s">
        <v>4083</v>
      </c>
      <c r="S1424" t="s">
        <v>3169</v>
      </c>
      <c r="T1424" t="s">
        <v>57</v>
      </c>
    </row>
    <row r="1425" ht="25.5" customHeight="1" spans="1:20">
      <c r="A1425" t="s">
        <v>1805</v>
      </c>
      <c r="B1425" t="s">
        <v>56</v>
      </c>
      <c r="C1425" t="s">
        <v>4073</v>
      </c>
      <c r="D1425" s="3"/>
      <c r="E1425" s="2">
        <v>45695</v>
      </c>
      <c r="F1425">
        <v>839900</v>
      </c>
      <c r="G1425">
        <v>713600</v>
      </c>
      <c r="H1425">
        <v>60600</v>
      </c>
      <c r="I1425">
        <v>331</v>
      </c>
      <c r="J1425">
        <v>36700</v>
      </c>
      <c r="K1425">
        <v>5243</v>
      </c>
      <c r="L1425" t="s">
        <v>3230</v>
      </c>
      <c r="M1425" t="s">
        <v>3414</v>
      </c>
      <c r="N1425" t="s">
        <v>1630</v>
      </c>
      <c r="O1425" s="4">
        <v>45695.717349537</v>
      </c>
      <c r="P1425" t="s">
        <v>57</v>
      </c>
      <c r="Q1425" t="s">
        <v>97</v>
      </c>
      <c r="R1425" t="s">
        <v>4084</v>
      </c>
      <c r="T1425" t="s">
        <v>57</v>
      </c>
    </row>
    <row r="1426" ht="25.5" customHeight="1" spans="1:20">
      <c r="A1426" t="s">
        <v>1805</v>
      </c>
      <c r="B1426" t="s">
        <v>56</v>
      </c>
      <c r="C1426" t="s">
        <v>4073</v>
      </c>
      <c r="D1426" s="3"/>
      <c r="E1426" s="2">
        <v>45696</v>
      </c>
      <c r="F1426">
        <v>840000</v>
      </c>
      <c r="G1426">
        <v>717900</v>
      </c>
      <c r="H1426">
        <v>60900</v>
      </c>
      <c r="I1426">
        <v>335</v>
      </c>
      <c r="J1426">
        <v>36900</v>
      </c>
      <c r="K1426">
        <v>5267</v>
      </c>
      <c r="L1426" t="s">
        <v>3230</v>
      </c>
      <c r="M1426" t="s">
        <v>3414</v>
      </c>
      <c r="N1426" t="s">
        <v>1630</v>
      </c>
      <c r="O1426" s="4">
        <v>45696.4349652778</v>
      </c>
      <c r="P1426" t="s">
        <v>57</v>
      </c>
      <c r="Q1426" t="s">
        <v>97</v>
      </c>
      <c r="R1426" t="s">
        <v>4085</v>
      </c>
      <c r="T1426" t="s">
        <v>57</v>
      </c>
    </row>
    <row r="1427" ht="25.5" customHeight="1" spans="1:20">
      <c r="A1427" t="s">
        <v>2803</v>
      </c>
      <c r="B1427" t="s">
        <v>1816</v>
      </c>
      <c r="C1427" t="s">
        <v>4086</v>
      </c>
      <c r="D1427" s="3"/>
      <c r="E1427" s="2">
        <v>45664</v>
      </c>
      <c r="F1427">
        <v>65300</v>
      </c>
      <c r="G1427">
        <v>35100</v>
      </c>
      <c r="H1427">
        <v>113</v>
      </c>
      <c r="I1427">
        <v>62</v>
      </c>
      <c r="J1427">
        <v>98</v>
      </c>
      <c r="K1427">
        <v>27</v>
      </c>
      <c r="L1427" t="s">
        <v>3138</v>
      </c>
      <c r="M1427" t="s">
        <v>3666</v>
      </c>
      <c r="N1427" t="s">
        <v>1630</v>
      </c>
      <c r="O1427" s="4">
        <v>45671.7872685185</v>
      </c>
      <c r="P1427" t="s">
        <v>1817</v>
      </c>
      <c r="Q1427" t="s">
        <v>1631</v>
      </c>
      <c r="R1427" t="s">
        <v>4087</v>
      </c>
      <c r="T1427" t="s">
        <v>1817</v>
      </c>
    </row>
    <row r="1428" ht="25.5" customHeight="1" spans="1:20">
      <c r="A1428" t="s">
        <v>2803</v>
      </c>
      <c r="B1428" t="s">
        <v>1816</v>
      </c>
      <c r="C1428" t="s">
        <v>4086</v>
      </c>
      <c r="D1428" s="3"/>
      <c r="E1428" s="2">
        <v>45665</v>
      </c>
      <c r="F1428">
        <v>65300</v>
      </c>
      <c r="G1428">
        <v>36800</v>
      </c>
      <c r="H1428">
        <v>118</v>
      </c>
      <c r="I1428">
        <v>63</v>
      </c>
      <c r="J1428">
        <v>102</v>
      </c>
      <c r="K1428">
        <v>26</v>
      </c>
      <c r="L1428" t="s">
        <v>3138</v>
      </c>
      <c r="M1428" t="s">
        <v>3666</v>
      </c>
      <c r="N1428" t="s">
        <v>1630</v>
      </c>
      <c r="O1428" s="4">
        <v>45672.5030092593</v>
      </c>
      <c r="P1428" t="s">
        <v>1817</v>
      </c>
      <c r="Q1428" t="s">
        <v>1631</v>
      </c>
      <c r="R1428" t="s">
        <v>3500</v>
      </c>
      <c r="T1428" t="s">
        <v>1817</v>
      </c>
    </row>
    <row r="1429" ht="25.5" customHeight="1" spans="1:20">
      <c r="A1429" t="s">
        <v>2803</v>
      </c>
      <c r="B1429" t="s">
        <v>1816</v>
      </c>
      <c r="C1429" t="s">
        <v>4086</v>
      </c>
      <c r="D1429" s="3"/>
      <c r="E1429" s="2">
        <v>45670</v>
      </c>
      <c r="F1429">
        <v>68100</v>
      </c>
      <c r="G1429">
        <v>38100</v>
      </c>
      <c r="H1429">
        <v>122</v>
      </c>
      <c r="I1429">
        <v>64</v>
      </c>
      <c r="J1429">
        <v>103</v>
      </c>
      <c r="K1429">
        <v>21</v>
      </c>
      <c r="L1429" t="s">
        <v>3138</v>
      </c>
      <c r="M1429" t="s">
        <v>3666</v>
      </c>
      <c r="N1429" t="s">
        <v>1630</v>
      </c>
      <c r="O1429" s="4">
        <v>45672.5030092593</v>
      </c>
      <c r="P1429" t="s">
        <v>1817</v>
      </c>
      <c r="Q1429" t="s">
        <v>1631</v>
      </c>
      <c r="R1429" t="s">
        <v>3980</v>
      </c>
      <c r="T1429" t="s">
        <v>1817</v>
      </c>
    </row>
    <row r="1430" ht="25.5" customHeight="1" spans="1:20">
      <c r="A1430" t="s">
        <v>2803</v>
      </c>
      <c r="B1430" t="s">
        <v>1816</v>
      </c>
      <c r="C1430" t="s">
        <v>4086</v>
      </c>
      <c r="D1430" s="3"/>
      <c r="E1430" s="2">
        <v>45671</v>
      </c>
      <c r="F1430">
        <v>68400</v>
      </c>
      <c r="G1430">
        <v>38200</v>
      </c>
      <c r="H1430">
        <v>122</v>
      </c>
      <c r="I1430">
        <v>64</v>
      </c>
      <c r="J1430">
        <v>103</v>
      </c>
      <c r="K1430">
        <v>21</v>
      </c>
      <c r="L1430" t="s">
        <v>3138</v>
      </c>
      <c r="M1430" t="s">
        <v>3666</v>
      </c>
      <c r="N1430" t="s">
        <v>1630</v>
      </c>
      <c r="O1430" s="4">
        <v>45672.5030092593</v>
      </c>
      <c r="P1430" t="s">
        <v>1817</v>
      </c>
      <c r="Q1430" t="s">
        <v>1631</v>
      </c>
      <c r="R1430" t="s">
        <v>3980</v>
      </c>
      <c r="T1430" t="s">
        <v>1817</v>
      </c>
    </row>
    <row r="1431" ht="25.5" customHeight="1" spans="1:20">
      <c r="A1431" t="s">
        <v>2803</v>
      </c>
      <c r="B1431" t="s">
        <v>1816</v>
      </c>
      <c r="C1431" t="s">
        <v>4086</v>
      </c>
      <c r="D1431" s="3"/>
      <c r="E1431" s="2">
        <v>45672</v>
      </c>
      <c r="F1431">
        <v>68400</v>
      </c>
      <c r="G1431">
        <v>38200</v>
      </c>
      <c r="H1431">
        <v>122</v>
      </c>
      <c r="I1431">
        <v>64</v>
      </c>
      <c r="J1431">
        <v>103</v>
      </c>
      <c r="K1431">
        <v>21</v>
      </c>
      <c r="L1431" t="s">
        <v>3138</v>
      </c>
      <c r="M1431" t="s">
        <v>3666</v>
      </c>
      <c r="N1431" t="s">
        <v>1630</v>
      </c>
      <c r="O1431" s="4">
        <v>45672.7148726852</v>
      </c>
      <c r="P1431" t="s">
        <v>1817</v>
      </c>
      <c r="Q1431" t="s">
        <v>1631</v>
      </c>
      <c r="R1431" t="s">
        <v>3980</v>
      </c>
      <c r="T1431" t="s">
        <v>1817</v>
      </c>
    </row>
    <row r="1432" ht="25.5" customHeight="1" spans="1:20">
      <c r="A1432" t="s">
        <v>2803</v>
      </c>
      <c r="B1432" t="s">
        <v>1816</v>
      </c>
      <c r="C1432" t="s">
        <v>4086</v>
      </c>
      <c r="D1432" s="3"/>
      <c r="E1432" s="2">
        <v>45673</v>
      </c>
      <c r="F1432">
        <v>68500</v>
      </c>
      <c r="G1432">
        <v>38200</v>
      </c>
      <c r="H1432">
        <v>122</v>
      </c>
      <c r="I1432">
        <v>64</v>
      </c>
      <c r="J1432">
        <v>103</v>
      </c>
      <c r="K1432">
        <v>21</v>
      </c>
      <c r="L1432" t="s">
        <v>3138</v>
      </c>
      <c r="M1432" t="s">
        <v>3666</v>
      </c>
      <c r="N1432" t="s">
        <v>1630</v>
      </c>
      <c r="O1432" s="4">
        <v>45673.6284837963</v>
      </c>
      <c r="P1432" t="s">
        <v>1817</v>
      </c>
      <c r="Q1432" t="s">
        <v>1631</v>
      </c>
      <c r="R1432" t="s">
        <v>3980</v>
      </c>
      <c r="T1432" t="s">
        <v>1817</v>
      </c>
    </row>
    <row r="1433" ht="25.5" customHeight="1" spans="1:20">
      <c r="A1433" t="s">
        <v>2803</v>
      </c>
      <c r="B1433" t="s">
        <v>1816</v>
      </c>
      <c r="C1433" t="s">
        <v>4086</v>
      </c>
      <c r="D1433" s="3"/>
      <c r="E1433" s="2">
        <v>45674</v>
      </c>
      <c r="F1433">
        <v>68500</v>
      </c>
      <c r="G1433">
        <v>38200</v>
      </c>
      <c r="H1433">
        <v>122</v>
      </c>
      <c r="I1433">
        <v>64</v>
      </c>
      <c r="J1433">
        <v>104</v>
      </c>
      <c r="K1433">
        <v>21</v>
      </c>
      <c r="L1433" t="s">
        <v>3138</v>
      </c>
      <c r="M1433" t="s">
        <v>3666</v>
      </c>
      <c r="N1433" t="s">
        <v>1630</v>
      </c>
      <c r="O1433" s="4">
        <v>45674.6831481481</v>
      </c>
      <c r="P1433" t="s">
        <v>1817</v>
      </c>
      <c r="Q1433" t="s">
        <v>1631</v>
      </c>
      <c r="R1433" t="s">
        <v>4088</v>
      </c>
      <c r="T1433" t="s">
        <v>1817</v>
      </c>
    </row>
    <row r="1434" ht="25.5" customHeight="1" spans="1:20">
      <c r="A1434" t="s">
        <v>2803</v>
      </c>
      <c r="B1434" t="s">
        <v>1816</v>
      </c>
      <c r="C1434" t="s">
        <v>4086</v>
      </c>
      <c r="D1434" s="3"/>
      <c r="E1434" s="2">
        <v>45677</v>
      </c>
      <c r="F1434">
        <v>68600</v>
      </c>
      <c r="G1434">
        <v>38300</v>
      </c>
      <c r="H1434">
        <v>123</v>
      </c>
      <c r="I1434">
        <v>64</v>
      </c>
      <c r="J1434">
        <v>104</v>
      </c>
      <c r="K1434">
        <v>21</v>
      </c>
      <c r="L1434" t="s">
        <v>3138</v>
      </c>
      <c r="M1434" t="s">
        <v>3666</v>
      </c>
      <c r="N1434" t="s">
        <v>1630</v>
      </c>
      <c r="O1434" s="4">
        <v>45677.4421759259</v>
      </c>
      <c r="P1434" t="s">
        <v>1817</v>
      </c>
      <c r="Q1434" t="s">
        <v>1631</v>
      </c>
      <c r="R1434" t="s">
        <v>3501</v>
      </c>
      <c r="T1434" t="s">
        <v>1817</v>
      </c>
    </row>
    <row r="1435" ht="25.5" customHeight="1" spans="1:20">
      <c r="A1435" t="s">
        <v>2803</v>
      </c>
      <c r="B1435" t="s">
        <v>1816</v>
      </c>
      <c r="C1435" t="s">
        <v>4086</v>
      </c>
      <c r="D1435" s="3"/>
      <c r="E1435" s="2">
        <v>45678</v>
      </c>
      <c r="F1435">
        <v>68600</v>
      </c>
      <c r="G1435">
        <v>38300</v>
      </c>
      <c r="H1435">
        <v>122</v>
      </c>
      <c r="I1435">
        <v>64</v>
      </c>
      <c r="J1435">
        <v>104</v>
      </c>
      <c r="K1435">
        <v>20</v>
      </c>
      <c r="L1435" t="s">
        <v>3138</v>
      </c>
      <c r="M1435" t="s">
        <v>3666</v>
      </c>
      <c r="N1435" t="s">
        <v>1630</v>
      </c>
      <c r="O1435" s="4">
        <v>45678.6680787037</v>
      </c>
      <c r="P1435" t="s">
        <v>1817</v>
      </c>
      <c r="Q1435" t="s">
        <v>1631</v>
      </c>
      <c r="R1435" t="s">
        <v>3980</v>
      </c>
      <c r="T1435" t="s">
        <v>1817</v>
      </c>
    </row>
    <row r="1436" ht="25.5" customHeight="1" spans="1:20">
      <c r="A1436" t="s">
        <v>2803</v>
      </c>
      <c r="B1436" t="s">
        <v>1816</v>
      </c>
      <c r="C1436" t="s">
        <v>4086</v>
      </c>
      <c r="D1436" s="3"/>
      <c r="E1436" s="2">
        <v>45679</v>
      </c>
      <c r="F1436">
        <v>68700</v>
      </c>
      <c r="G1436">
        <v>38300</v>
      </c>
      <c r="H1436">
        <v>122</v>
      </c>
      <c r="I1436">
        <v>64</v>
      </c>
      <c r="J1436">
        <v>104</v>
      </c>
      <c r="K1436">
        <v>20</v>
      </c>
      <c r="L1436" t="s">
        <v>3138</v>
      </c>
      <c r="M1436" t="s">
        <v>3666</v>
      </c>
      <c r="N1436" t="s">
        <v>1630</v>
      </c>
      <c r="O1436" s="4">
        <v>45679.6529282407</v>
      </c>
      <c r="P1436" t="s">
        <v>1817</v>
      </c>
      <c r="Q1436" t="s">
        <v>1631</v>
      </c>
      <c r="R1436" t="s">
        <v>3980</v>
      </c>
      <c r="T1436" t="s">
        <v>1817</v>
      </c>
    </row>
    <row r="1437" ht="25.5" customHeight="1" spans="1:20">
      <c r="A1437" t="s">
        <v>2803</v>
      </c>
      <c r="B1437" t="s">
        <v>1816</v>
      </c>
      <c r="C1437" t="s">
        <v>4086</v>
      </c>
      <c r="D1437" s="3"/>
      <c r="E1437" s="2">
        <v>45680</v>
      </c>
      <c r="F1437">
        <v>68700</v>
      </c>
      <c r="G1437">
        <v>38300</v>
      </c>
      <c r="H1437">
        <v>122</v>
      </c>
      <c r="I1437">
        <v>64</v>
      </c>
      <c r="J1437">
        <v>104</v>
      </c>
      <c r="K1437">
        <v>20</v>
      </c>
      <c r="L1437" t="s">
        <v>3138</v>
      </c>
      <c r="M1437" t="s">
        <v>3666</v>
      </c>
      <c r="N1437" t="s">
        <v>1630</v>
      </c>
      <c r="O1437" s="4">
        <v>45680.668287037</v>
      </c>
      <c r="P1437" t="s">
        <v>1817</v>
      </c>
      <c r="Q1437" t="s">
        <v>1631</v>
      </c>
      <c r="R1437" t="s">
        <v>3980</v>
      </c>
      <c r="T1437" t="s">
        <v>1817</v>
      </c>
    </row>
    <row r="1438" ht="25.5" customHeight="1" spans="1:20">
      <c r="A1438" t="s">
        <v>2803</v>
      </c>
      <c r="B1438" t="s">
        <v>1816</v>
      </c>
      <c r="C1438" t="s">
        <v>4086</v>
      </c>
      <c r="D1438" s="3"/>
      <c r="E1438" s="2">
        <v>45681</v>
      </c>
      <c r="F1438">
        <v>68800</v>
      </c>
      <c r="G1438">
        <v>38300</v>
      </c>
      <c r="H1438">
        <v>122</v>
      </c>
      <c r="I1438">
        <v>64</v>
      </c>
      <c r="J1438">
        <v>104</v>
      </c>
      <c r="K1438">
        <v>20</v>
      </c>
      <c r="L1438" t="s">
        <v>3138</v>
      </c>
      <c r="M1438" t="s">
        <v>3666</v>
      </c>
      <c r="N1438" t="s">
        <v>1630</v>
      </c>
      <c r="O1438" s="4">
        <v>45681.652974537</v>
      </c>
      <c r="P1438" t="s">
        <v>1817</v>
      </c>
      <c r="Q1438" t="s">
        <v>1631</v>
      </c>
      <c r="R1438" t="s">
        <v>3980</v>
      </c>
      <c r="T1438" t="s">
        <v>1817</v>
      </c>
    </row>
    <row r="1439" ht="25.5" customHeight="1" spans="1:20">
      <c r="A1439" t="s">
        <v>2803</v>
      </c>
      <c r="B1439" t="s">
        <v>1816</v>
      </c>
      <c r="C1439" t="s">
        <v>4086</v>
      </c>
      <c r="D1439" s="3"/>
      <c r="E1439" s="2">
        <v>45683</v>
      </c>
      <c r="F1439">
        <v>68800</v>
      </c>
      <c r="G1439">
        <v>38300</v>
      </c>
      <c r="H1439">
        <v>122</v>
      </c>
      <c r="I1439">
        <v>64</v>
      </c>
      <c r="J1439">
        <v>104</v>
      </c>
      <c r="K1439">
        <v>20</v>
      </c>
      <c r="L1439" t="s">
        <v>3138</v>
      </c>
      <c r="M1439" t="s">
        <v>3666</v>
      </c>
      <c r="N1439" t="s">
        <v>1630</v>
      </c>
      <c r="O1439" s="4">
        <v>45683.7957638889</v>
      </c>
      <c r="P1439" t="s">
        <v>1817</v>
      </c>
      <c r="Q1439" t="s">
        <v>1631</v>
      </c>
      <c r="R1439" t="s">
        <v>3980</v>
      </c>
      <c r="T1439" t="s">
        <v>1817</v>
      </c>
    </row>
    <row r="1440" ht="25.5" customHeight="1" spans="1:20">
      <c r="A1440" t="s">
        <v>2803</v>
      </c>
      <c r="B1440" t="s">
        <v>1816</v>
      </c>
      <c r="C1440" t="s">
        <v>4086</v>
      </c>
      <c r="D1440" s="3"/>
      <c r="E1440" s="2">
        <v>45684</v>
      </c>
      <c r="F1440">
        <v>68800</v>
      </c>
      <c r="G1440">
        <v>38300</v>
      </c>
      <c r="H1440">
        <v>122</v>
      </c>
      <c r="I1440">
        <v>64</v>
      </c>
      <c r="J1440">
        <v>104</v>
      </c>
      <c r="K1440">
        <v>20</v>
      </c>
      <c r="L1440" t="s">
        <v>3138</v>
      </c>
      <c r="M1440" t="s">
        <v>3666</v>
      </c>
      <c r="N1440" t="s">
        <v>1630</v>
      </c>
      <c r="O1440" s="4">
        <v>45684.7536342593</v>
      </c>
      <c r="P1440" t="s">
        <v>1817</v>
      </c>
      <c r="Q1440" t="s">
        <v>1631</v>
      </c>
      <c r="R1440" t="s">
        <v>3980</v>
      </c>
      <c r="T1440" t="s">
        <v>1817</v>
      </c>
    </row>
    <row r="1441" ht="25.5" customHeight="1" spans="1:20">
      <c r="A1441" t="s">
        <v>2803</v>
      </c>
      <c r="B1441" t="s">
        <v>1816</v>
      </c>
      <c r="C1441" t="s">
        <v>4086</v>
      </c>
      <c r="D1441" s="3"/>
      <c r="E1441" s="2">
        <v>45693</v>
      </c>
      <c r="F1441">
        <v>70100</v>
      </c>
      <c r="G1441">
        <v>38400</v>
      </c>
      <c r="H1441">
        <v>122</v>
      </c>
      <c r="I1441">
        <v>64</v>
      </c>
      <c r="J1441">
        <v>103</v>
      </c>
      <c r="K1441">
        <v>20</v>
      </c>
      <c r="L1441" t="s">
        <v>3138</v>
      </c>
      <c r="M1441" t="s">
        <v>3666</v>
      </c>
      <c r="N1441" t="s">
        <v>1630</v>
      </c>
      <c r="O1441" s="4">
        <v>45693.8373611111</v>
      </c>
      <c r="P1441" t="s">
        <v>1817</v>
      </c>
      <c r="Q1441" t="s">
        <v>1631</v>
      </c>
      <c r="R1441" t="s">
        <v>3500</v>
      </c>
      <c r="T1441" t="s">
        <v>1817</v>
      </c>
    </row>
    <row r="1442" ht="25.5" customHeight="1" spans="1:20">
      <c r="A1442" t="s">
        <v>2803</v>
      </c>
      <c r="B1442" t="s">
        <v>1816</v>
      </c>
      <c r="C1442" t="s">
        <v>4086</v>
      </c>
      <c r="D1442" s="3"/>
      <c r="E1442" s="2">
        <v>45694</v>
      </c>
      <c r="F1442">
        <v>70100</v>
      </c>
      <c r="G1442">
        <v>38400</v>
      </c>
      <c r="H1442">
        <v>122</v>
      </c>
      <c r="I1442">
        <v>64</v>
      </c>
      <c r="J1442">
        <v>103</v>
      </c>
      <c r="K1442">
        <v>20</v>
      </c>
      <c r="L1442" t="s">
        <v>3138</v>
      </c>
      <c r="M1442" t="s">
        <v>3666</v>
      </c>
      <c r="N1442" t="s">
        <v>1630</v>
      </c>
      <c r="O1442" s="4">
        <v>45698.6220138889</v>
      </c>
      <c r="P1442" t="s">
        <v>1817</v>
      </c>
      <c r="Q1442" t="s">
        <v>1631</v>
      </c>
      <c r="R1442" t="s">
        <v>3500</v>
      </c>
      <c r="S1442" t="s">
        <v>3245</v>
      </c>
      <c r="T1442" t="s">
        <v>1817</v>
      </c>
    </row>
    <row r="1443" ht="25.5" customHeight="1" spans="1:20">
      <c r="A1443" t="s">
        <v>2803</v>
      </c>
      <c r="B1443" t="s">
        <v>1816</v>
      </c>
      <c r="C1443" t="s">
        <v>4086</v>
      </c>
      <c r="D1443" s="3"/>
      <c r="E1443" s="2">
        <v>45695</v>
      </c>
      <c r="M1443" t="s">
        <v>3666</v>
      </c>
      <c r="N1443" t="s">
        <v>1630</v>
      </c>
      <c r="O1443" s="4">
        <v>45694.5196412037</v>
      </c>
      <c r="P1443" t="s">
        <v>1817</v>
      </c>
      <c r="Q1443" t="s">
        <v>1631</v>
      </c>
      <c r="R1443" t="s">
        <v>3133</v>
      </c>
      <c r="T1443" t="s">
        <v>1817</v>
      </c>
    </row>
    <row r="1444" ht="25.5" customHeight="1" spans="1:20">
      <c r="A1444" t="s">
        <v>1921</v>
      </c>
      <c r="B1444" t="s">
        <v>3274</v>
      </c>
      <c r="C1444" t="s">
        <v>4089</v>
      </c>
      <c r="D1444" s="3"/>
      <c r="E1444" s="2"/>
      <c r="M1444" t="s">
        <v>4090</v>
      </c>
      <c r="N1444" t="s">
        <v>3277</v>
      </c>
      <c r="O1444" s="4">
        <v>45670.743587963</v>
      </c>
      <c r="P1444" t="s">
        <v>3278</v>
      </c>
      <c r="Q1444" t="s">
        <v>3279</v>
      </c>
      <c r="R1444" t="s">
        <v>3133</v>
      </c>
      <c r="T1444" t="s">
        <v>3278</v>
      </c>
    </row>
    <row r="1445" ht="25.5" customHeight="1" spans="1:20">
      <c r="A1445" t="s">
        <v>1921</v>
      </c>
      <c r="B1445" t="s">
        <v>3274</v>
      </c>
      <c r="C1445" t="s">
        <v>4089</v>
      </c>
      <c r="D1445" s="3"/>
      <c r="E1445" s="2"/>
      <c r="M1445" t="s">
        <v>4090</v>
      </c>
      <c r="N1445" t="s">
        <v>3277</v>
      </c>
      <c r="O1445" s="4">
        <v>45670.743587963</v>
      </c>
      <c r="P1445" t="s">
        <v>3278</v>
      </c>
      <c r="Q1445" t="s">
        <v>3279</v>
      </c>
      <c r="R1445" t="s">
        <v>3133</v>
      </c>
      <c r="T1445" t="s">
        <v>3278</v>
      </c>
    </row>
    <row r="1446" ht="25.5" customHeight="1" spans="1:20">
      <c r="A1446" t="s">
        <v>2537</v>
      </c>
      <c r="B1446" t="s">
        <v>3564</v>
      </c>
      <c r="C1446" t="s">
        <v>4091</v>
      </c>
      <c r="D1446" s="3"/>
      <c r="E1446" s="2"/>
      <c r="M1446" t="s">
        <v>4092</v>
      </c>
      <c r="N1446" t="s">
        <v>3277</v>
      </c>
      <c r="O1446" s="4">
        <v>45670.743587963</v>
      </c>
      <c r="P1446" t="s">
        <v>3567</v>
      </c>
      <c r="Q1446" t="s">
        <v>3627</v>
      </c>
      <c r="R1446" t="s">
        <v>3133</v>
      </c>
      <c r="T1446" t="s">
        <v>3567</v>
      </c>
    </row>
    <row r="1447" ht="25.5" customHeight="1" spans="1:20">
      <c r="A1447" t="s">
        <v>2537</v>
      </c>
      <c r="B1447" t="s">
        <v>3564</v>
      </c>
      <c r="C1447" t="s">
        <v>4091</v>
      </c>
      <c r="D1447" s="3"/>
      <c r="E1447" s="2"/>
      <c r="M1447" t="s">
        <v>4092</v>
      </c>
      <c r="N1447" t="s">
        <v>3277</v>
      </c>
      <c r="O1447" s="4">
        <v>45670.743587963</v>
      </c>
      <c r="P1447" t="s">
        <v>3567</v>
      </c>
      <c r="Q1447" t="s">
        <v>3627</v>
      </c>
      <c r="R1447" t="s">
        <v>3133</v>
      </c>
      <c r="T1447" t="s">
        <v>3567</v>
      </c>
    </row>
    <row r="1448" ht="25.5" customHeight="1" spans="1:20">
      <c r="A1448" t="s">
        <v>3102</v>
      </c>
      <c r="B1448" t="s">
        <v>65</v>
      </c>
      <c r="C1448" t="s">
        <v>4093</v>
      </c>
      <c r="D1448" s="3" t="str">
        <f>HYPERLINK("https://www.instagram.com/soyenriquebarron/reels/","https://www.instagram.com/soyenriquebarron/reels/")</f>
        <v>https://www.instagram.com/soyenriquebarron/reels/</v>
      </c>
      <c r="E1448" s="2">
        <v>45668</v>
      </c>
      <c r="F1448">
        <v>20200</v>
      </c>
      <c r="G1448">
        <v>450</v>
      </c>
      <c r="H1448">
        <v>7</v>
      </c>
      <c r="I1448">
        <v>0</v>
      </c>
      <c r="L1448" t="s">
        <v>3138</v>
      </c>
      <c r="N1448" t="s">
        <v>1630</v>
      </c>
      <c r="O1448" s="4">
        <v>45670.7783912037</v>
      </c>
      <c r="P1448" t="s">
        <v>116</v>
      </c>
      <c r="Q1448" t="s">
        <v>1631</v>
      </c>
      <c r="R1448" t="s">
        <v>4094</v>
      </c>
      <c r="T1448" t="s">
        <v>116</v>
      </c>
    </row>
    <row r="1449" ht="25.5" customHeight="1" spans="1:20">
      <c r="A1449" t="s">
        <v>3102</v>
      </c>
      <c r="B1449" t="s">
        <v>65</v>
      </c>
      <c r="C1449" t="s">
        <v>4093</v>
      </c>
      <c r="D1449" s="3"/>
      <c r="E1449" s="2">
        <v>45670</v>
      </c>
      <c r="F1449">
        <v>20200</v>
      </c>
      <c r="G1449">
        <v>465</v>
      </c>
      <c r="H1449">
        <v>7</v>
      </c>
      <c r="I1449">
        <v>0</v>
      </c>
      <c r="L1449" t="s">
        <v>3138</v>
      </c>
      <c r="N1449" t="s">
        <v>1630</v>
      </c>
      <c r="O1449" s="4">
        <v>45672.5030092593</v>
      </c>
      <c r="P1449" t="s">
        <v>116</v>
      </c>
      <c r="Q1449" t="s">
        <v>1631</v>
      </c>
      <c r="R1449" t="s">
        <v>4094</v>
      </c>
      <c r="T1449" t="s">
        <v>116</v>
      </c>
    </row>
    <row r="1450" ht="25.5" customHeight="1" spans="1:20">
      <c r="A1450" t="s">
        <v>3102</v>
      </c>
      <c r="B1450" t="s">
        <v>65</v>
      </c>
      <c r="C1450" t="s">
        <v>4093</v>
      </c>
      <c r="D1450" s="3"/>
      <c r="E1450" s="2">
        <v>45671</v>
      </c>
      <c r="F1450">
        <v>20200</v>
      </c>
      <c r="G1450">
        <v>470</v>
      </c>
      <c r="H1450">
        <v>7</v>
      </c>
      <c r="I1450">
        <v>0</v>
      </c>
      <c r="L1450" t="s">
        <v>3138</v>
      </c>
      <c r="N1450" t="s">
        <v>1630</v>
      </c>
      <c r="O1450" s="4">
        <v>45672.5030092593</v>
      </c>
      <c r="P1450" t="s">
        <v>116</v>
      </c>
      <c r="Q1450" t="s">
        <v>1631</v>
      </c>
      <c r="R1450" t="s">
        <v>4094</v>
      </c>
      <c r="T1450" t="s">
        <v>116</v>
      </c>
    </row>
    <row r="1451" ht="25.5" customHeight="1" spans="1:20">
      <c r="A1451" t="s">
        <v>3102</v>
      </c>
      <c r="B1451" t="s">
        <v>65</v>
      </c>
      <c r="C1451" t="s">
        <v>4093</v>
      </c>
      <c r="D1451" s="3"/>
      <c r="E1451" s="2">
        <v>45672</v>
      </c>
      <c r="F1451">
        <v>20200</v>
      </c>
      <c r="G1451">
        <v>479</v>
      </c>
      <c r="H1451">
        <v>8</v>
      </c>
      <c r="I1451">
        <v>0</v>
      </c>
      <c r="L1451" t="s">
        <v>3138</v>
      </c>
      <c r="N1451" t="s">
        <v>1630</v>
      </c>
      <c r="O1451" s="4">
        <v>45672.5100694444</v>
      </c>
      <c r="P1451" t="s">
        <v>116</v>
      </c>
      <c r="Q1451" t="s">
        <v>1631</v>
      </c>
      <c r="R1451" t="s">
        <v>4095</v>
      </c>
      <c r="T1451" t="s">
        <v>116</v>
      </c>
    </row>
    <row r="1452" ht="25.5" customHeight="1" spans="1:20">
      <c r="A1452" t="s">
        <v>3102</v>
      </c>
      <c r="B1452" t="s">
        <v>65</v>
      </c>
      <c r="C1452" t="s">
        <v>4093</v>
      </c>
      <c r="D1452" s="3"/>
      <c r="E1452" s="2">
        <v>45673</v>
      </c>
      <c r="F1452">
        <v>20200</v>
      </c>
      <c r="G1452">
        <v>484</v>
      </c>
      <c r="H1452">
        <v>8</v>
      </c>
      <c r="I1452">
        <v>0</v>
      </c>
      <c r="L1452" t="s">
        <v>3138</v>
      </c>
      <c r="N1452" t="s">
        <v>1630</v>
      </c>
      <c r="O1452" s="4">
        <v>45673.4907407407</v>
      </c>
      <c r="P1452" t="s">
        <v>116</v>
      </c>
      <c r="Q1452" t="s">
        <v>1631</v>
      </c>
      <c r="R1452" t="s">
        <v>4095</v>
      </c>
      <c r="T1452" t="s">
        <v>116</v>
      </c>
    </row>
    <row r="1453" ht="25.5" customHeight="1" spans="1:20">
      <c r="A1453" t="s">
        <v>3102</v>
      </c>
      <c r="B1453" t="s">
        <v>65</v>
      </c>
      <c r="C1453" t="s">
        <v>4093</v>
      </c>
      <c r="D1453" s="3"/>
      <c r="E1453" s="2">
        <v>45674</v>
      </c>
      <c r="F1453">
        <v>20200</v>
      </c>
      <c r="G1453">
        <v>492</v>
      </c>
      <c r="H1453">
        <v>8</v>
      </c>
      <c r="I1453">
        <v>0</v>
      </c>
      <c r="L1453" t="s">
        <v>3138</v>
      </c>
      <c r="N1453" t="s">
        <v>1630</v>
      </c>
      <c r="O1453" s="4">
        <v>45674.6371412037</v>
      </c>
      <c r="P1453" t="s">
        <v>116</v>
      </c>
      <c r="Q1453" t="s">
        <v>1631</v>
      </c>
      <c r="R1453" t="s">
        <v>4095</v>
      </c>
      <c r="T1453" t="s">
        <v>116</v>
      </c>
    </row>
    <row r="1454" ht="25.5" customHeight="1" spans="1:20">
      <c r="A1454" t="s">
        <v>3102</v>
      </c>
      <c r="B1454" t="s">
        <v>65</v>
      </c>
      <c r="C1454" t="s">
        <v>4093</v>
      </c>
      <c r="D1454" s="3"/>
      <c r="E1454" s="2">
        <v>45677</v>
      </c>
      <c r="F1454">
        <v>20200</v>
      </c>
      <c r="G1454">
        <v>505</v>
      </c>
      <c r="H1454">
        <v>8</v>
      </c>
      <c r="I1454">
        <v>0</v>
      </c>
      <c r="L1454" t="s">
        <v>3138</v>
      </c>
      <c r="N1454" t="s">
        <v>1630</v>
      </c>
      <c r="O1454" s="4">
        <v>45677.4066319444</v>
      </c>
      <c r="P1454" t="s">
        <v>116</v>
      </c>
      <c r="Q1454" t="s">
        <v>1631</v>
      </c>
      <c r="R1454" t="s">
        <v>4095</v>
      </c>
      <c r="T1454" t="s">
        <v>116</v>
      </c>
    </row>
    <row r="1455" ht="25.5" customHeight="1" spans="1:20">
      <c r="A1455" t="s">
        <v>3102</v>
      </c>
      <c r="B1455" t="s">
        <v>65</v>
      </c>
      <c r="C1455" t="s">
        <v>4093</v>
      </c>
      <c r="D1455" s="3"/>
      <c r="E1455" s="2">
        <v>45678</v>
      </c>
      <c r="F1455">
        <v>20200</v>
      </c>
      <c r="G1455">
        <v>505</v>
      </c>
      <c r="H1455">
        <v>8</v>
      </c>
      <c r="I1455">
        <v>0</v>
      </c>
      <c r="L1455" t="s">
        <v>3138</v>
      </c>
      <c r="N1455" t="s">
        <v>1630</v>
      </c>
      <c r="O1455" s="4">
        <v>45678.5064583333</v>
      </c>
      <c r="P1455" t="s">
        <v>116</v>
      </c>
      <c r="Q1455" t="s">
        <v>1631</v>
      </c>
      <c r="R1455" t="s">
        <v>4095</v>
      </c>
      <c r="T1455" t="s">
        <v>116</v>
      </c>
    </row>
    <row r="1456" ht="25.5" customHeight="1" spans="1:20">
      <c r="A1456" t="s">
        <v>3102</v>
      </c>
      <c r="B1456" t="s">
        <v>65</v>
      </c>
      <c r="C1456" t="s">
        <v>4093</v>
      </c>
      <c r="D1456" s="3"/>
      <c r="E1456" s="2">
        <v>45679</v>
      </c>
      <c r="F1456">
        <v>20200</v>
      </c>
      <c r="G1456">
        <v>507</v>
      </c>
      <c r="H1456">
        <v>8</v>
      </c>
      <c r="I1456">
        <v>0</v>
      </c>
      <c r="L1456" t="s">
        <v>3138</v>
      </c>
      <c r="N1456" t="s">
        <v>1630</v>
      </c>
      <c r="O1456" s="4">
        <v>45679.6644328704</v>
      </c>
      <c r="P1456" t="s">
        <v>116</v>
      </c>
      <c r="Q1456" t="s">
        <v>1631</v>
      </c>
      <c r="R1456" t="s">
        <v>4095</v>
      </c>
      <c r="T1456" t="s">
        <v>116</v>
      </c>
    </row>
    <row r="1457" ht="25.5" customHeight="1" spans="1:20">
      <c r="A1457" t="s">
        <v>3102</v>
      </c>
      <c r="B1457" t="s">
        <v>65</v>
      </c>
      <c r="C1457" t="s">
        <v>4093</v>
      </c>
      <c r="D1457" s="3"/>
      <c r="E1457" s="2">
        <v>45680</v>
      </c>
      <c r="F1457">
        <v>20200</v>
      </c>
      <c r="G1457">
        <v>507</v>
      </c>
      <c r="H1457">
        <v>8</v>
      </c>
      <c r="I1457">
        <v>0</v>
      </c>
      <c r="L1457" t="s">
        <v>3138</v>
      </c>
      <c r="N1457" t="s">
        <v>1630</v>
      </c>
      <c r="O1457" s="4">
        <v>45680.5139351852</v>
      </c>
      <c r="P1457" t="s">
        <v>116</v>
      </c>
      <c r="Q1457" t="s">
        <v>1631</v>
      </c>
      <c r="R1457" t="s">
        <v>4095</v>
      </c>
      <c r="T1457" t="s">
        <v>116</v>
      </c>
    </row>
    <row r="1458" ht="25.5" customHeight="1" spans="1:20">
      <c r="A1458" t="s">
        <v>3102</v>
      </c>
      <c r="B1458" t="s">
        <v>65</v>
      </c>
      <c r="C1458" t="s">
        <v>4093</v>
      </c>
      <c r="D1458" s="3"/>
      <c r="E1458" s="2">
        <v>45681</v>
      </c>
      <c r="F1458">
        <v>20200</v>
      </c>
      <c r="G1458">
        <v>508</v>
      </c>
      <c r="H1458">
        <v>8</v>
      </c>
      <c r="I1458">
        <v>0</v>
      </c>
      <c r="L1458" t="s">
        <v>3138</v>
      </c>
      <c r="N1458" t="s">
        <v>1630</v>
      </c>
      <c r="O1458" s="4">
        <v>45681.497962963</v>
      </c>
      <c r="P1458" t="s">
        <v>116</v>
      </c>
      <c r="Q1458" t="s">
        <v>1631</v>
      </c>
      <c r="R1458" t="s">
        <v>4095</v>
      </c>
      <c r="T1458" t="s">
        <v>116</v>
      </c>
    </row>
    <row r="1459" ht="25.5" customHeight="1" spans="1:20">
      <c r="A1459" t="s">
        <v>3102</v>
      </c>
      <c r="B1459" t="s">
        <v>65</v>
      </c>
      <c r="C1459" t="s">
        <v>4093</v>
      </c>
      <c r="D1459" s="3"/>
      <c r="E1459" s="2">
        <v>45683</v>
      </c>
      <c r="F1459">
        <v>20200</v>
      </c>
      <c r="G1459">
        <v>512</v>
      </c>
      <c r="H1459">
        <v>8</v>
      </c>
      <c r="I1459">
        <v>0</v>
      </c>
      <c r="L1459" t="s">
        <v>3138</v>
      </c>
      <c r="N1459" t="s">
        <v>1630</v>
      </c>
      <c r="O1459" s="4">
        <v>45683.7238773148</v>
      </c>
      <c r="P1459" t="s">
        <v>116</v>
      </c>
      <c r="Q1459" t="s">
        <v>1631</v>
      </c>
      <c r="R1459" t="s">
        <v>4095</v>
      </c>
      <c r="T1459" t="s">
        <v>116</v>
      </c>
    </row>
    <row r="1460" ht="25.5" customHeight="1" spans="1:20">
      <c r="A1460" t="s">
        <v>3102</v>
      </c>
      <c r="B1460" t="s">
        <v>65</v>
      </c>
      <c r="C1460" t="s">
        <v>4093</v>
      </c>
      <c r="D1460" s="3"/>
      <c r="E1460" s="2">
        <v>45684</v>
      </c>
      <c r="F1460">
        <v>20200</v>
      </c>
      <c r="G1460">
        <v>513</v>
      </c>
      <c r="H1460">
        <v>8</v>
      </c>
      <c r="I1460">
        <v>0</v>
      </c>
      <c r="L1460" t="s">
        <v>3138</v>
      </c>
      <c r="N1460" t="s">
        <v>1630</v>
      </c>
      <c r="O1460" s="4">
        <v>45684.7799652778</v>
      </c>
      <c r="P1460" t="s">
        <v>116</v>
      </c>
      <c r="Q1460" t="s">
        <v>1631</v>
      </c>
      <c r="R1460" t="s">
        <v>4095</v>
      </c>
      <c r="T1460" t="s">
        <v>116</v>
      </c>
    </row>
    <row r="1461" ht="25.5" customHeight="1" spans="1:20">
      <c r="A1461" t="s">
        <v>3102</v>
      </c>
      <c r="B1461" t="s">
        <v>65</v>
      </c>
      <c r="C1461" t="s">
        <v>4093</v>
      </c>
      <c r="D1461" s="3"/>
      <c r="E1461" s="2">
        <v>45693</v>
      </c>
      <c r="F1461">
        <v>20100</v>
      </c>
      <c r="G1461">
        <v>519</v>
      </c>
      <c r="H1461">
        <v>8</v>
      </c>
      <c r="I1461">
        <v>0</v>
      </c>
      <c r="L1461" t="s">
        <v>3138</v>
      </c>
      <c r="N1461" t="s">
        <v>1630</v>
      </c>
      <c r="O1461" s="4">
        <v>45694.4192824074</v>
      </c>
      <c r="P1461" t="s">
        <v>116</v>
      </c>
      <c r="Q1461" t="s">
        <v>1631</v>
      </c>
      <c r="R1461" t="s">
        <v>4095</v>
      </c>
      <c r="T1461" t="s">
        <v>116</v>
      </c>
    </row>
    <row r="1462" ht="25.5" customHeight="1" spans="1:20">
      <c r="A1462" t="s">
        <v>3102</v>
      </c>
      <c r="B1462" t="s">
        <v>65</v>
      </c>
      <c r="C1462" t="s">
        <v>4093</v>
      </c>
      <c r="D1462" s="3"/>
      <c r="E1462" s="2">
        <v>45694</v>
      </c>
      <c r="F1462">
        <v>20100</v>
      </c>
      <c r="G1462">
        <v>520</v>
      </c>
      <c r="H1462">
        <v>8</v>
      </c>
      <c r="I1462">
        <v>0</v>
      </c>
      <c r="L1462" t="s">
        <v>3138</v>
      </c>
      <c r="N1462" t="s">
        <v>1630</v>
      </c>
      <c r="O1462" s="4">
        <v>45698.6216782407</v>
      </c>
      <c r="P1462" t="s">
        <v>116</v>
      </c>
      <c r="Q1462" t="s">
        <v>1631</v>
      </c>
      <c r="R1462" t="s">
        <v>4095</v>
      </c>
      <c r="S1462" t="s">
        <v>3180</v>
      </c>
      <c r="T1462" t="s">
        <v>116</v>
      </c>
    </row>
    <row r="1463" ht="25.5" customHeight="1" spans="1:20">
      <c r="A1463" t="s">
        <v>3102</v>
      </c>
      <c r="B1463" t="s">
        <v>65</v>
      </c>
      <c r="C1463" t="s">
        <v>4093</v>
      </c>
      <c r="D1463" s="3"/>
      <c r="E1463" s="2">
        <v>45695</v>
      </c>
      <c r="F1463">
        <v>20100</v>
      </c>
      <c r="G1463">
        <v>520</v>
      </c>
      <c r="H1463">
        <v>8</v>
      </c>
      <c r="I1463">
        <v>0</v>
      </c>
      <c r="L1463" t="s">
        <v>3138</v>
      </c>
      <c r="N1463" t="s">
        <v>1630</v>
      </c>
      <c r="O1463" s="4">
        <v>45695.4886111111</v>
      </c>
      <c r="P1463" t="s">
        <v>116</v>
      </c>
      <c r="Q1463" t="s">
        <v>1631</v>
      </c>
      <c r="R1463" t="s">
        <v>4095</v>
      </c>
      <c r="T1463" t="s">
        <v>116</v>
      </c>
    </row>
    <row r="1464" ht="25.5" customHeight="1" spans="1:20">
      <c r="A1464" t="s">
        <v>3103</v>
      </c>
      <c r="B1464" t="s">
        <v>269</v>
      </c>
      <c r="C1464" t="s">
        <v>4096</v>
      </c>
      <c r="D1464" s="3" t="str">
        <f>HYPERLINK("https://www.youtube.com/@Pixeel/shorts","https://www.youtube.com/@Pixeel/shorts")</f>
        <v>https://www.youtube.com/@Pixeel/shorts</v>
      </c>
      <c r="E1464" s="2">
        <v>45668</v>
      </c>
      <c r="F1464">
        <v>681000</v>
      </c>
      <c r="G1464">
        <v>546</v>
      </c>
      <c r="H1464">
        <v>28</v>
      </c>
      <c r="I1464">
        <v>0</v>
      </c>
      <c r="L1464" t="s">
        <v>3138</v>
      </c>
      <c r="N1464" t="s">
        <v>1630</v>
      </c>
      <c r="O1464" s="4">
        <v>45670.8698842593</v>
      </c>
      <c r="P1464" t="s">
        <v>423</v>
      </c>
      <c r="Q1464" t="s">
        <v>1631</v>
      </c>
      <c r="R1464" t="s">
        <v>4097</v>
      </c>
      <c r="T1464" t="s">
        <v>423</v>
      </c>
    </row>
    <row r="1465" ht="25.5" customHeight="1" spans="1:20">
      <c r="A1465" t="s">
        <v>3103</v>
      </c>
      <c r="B1465" t="s">
        <v>269</v>
      </c>
      <c r="C1465" t="s">
        <v>4096</v>
      </c>
      <c r="D1465" s="3"/>
      <c r="E1465" s="2">
        <v>45674</v>
      </c>
      <c r="F1465">
        <v>681000</v>
      </c>
      <c r="G1465">
        <v>562</v>
      </c>
      <c r="H1465">
        <v>32</v>
      </c>
      <c r="I1465">
        <v>0</v>
      </c>
      <c r="L1465" t="s">
        <v>3138</v>
      </c>
      <c r="N1465" t="s">
        <v>1630</v>
      </c>
      <c r="O1465" s="4">
        <v>45674.7163194444</v>
      </c>
      <c r="P1465" t="s">
        <v>423</v>
      </c>
      <c r="Q1465" t="s">
        <v>1631</v>
      </c>
      <c r="R1465" t="s">
        <v>3844</v>
      </c>
      <c r="T1465" t="s">
        <v>423</v>
      </c>
    </row>
    <row r="1466" ht="25.5" customHeight="1" spans="1:20">
      <c r="A1466" t="s">
        <v>3103</v>
      </c>
      <c r="B1466" t="s">
        <v>269</v>
      </c>
      <c r="C1466" t="s">
        <v>4096</v>
      </c>
      <c r="D1466" s="3"/>
      <c r="E1466" s="2">
        <v>45677</v>
      </c>
      <c r="F1466">
        <v>681000</v>
      </c>
      <c r="G1466">
        <v>579</v>
      </c>
      <c r="H1466">
        <v>33</v>
      </c>
      <c r="I1466">
        <v>0</v>
      </c>
      <c r="L1466" t="s">
        <v>3138</v>
      </c>
      <c r="N1466" t="s">
        <v>1630</v>
      </c>
      <c r="O1466" s="4">
        <v>45677.4181597222</v>
      </c>
      <c r="P1466" t="s">
        <v>423</v>
      </c>
      <c r="Q1466" t="s">
        <v>1631</v>
      </c>
      <c r="R1466" t="s">
        <v>3789</v>
      </c>
      <c r="T1466" t="s">
        <v>423</v>
      </c>
    </row>
    <row r="1467" ht="25.5" customHeight="1" spans="1:20">
      <c r="A1467" t="s">
        <v>3103</v>
      </c>
      <c r="B1467" t="s">
        <v>269</v>
      </c>
      <c r="C1467" t="s">
        <v>4096</v>
      </c>
      <c r="D1467" s="3"/>
      <c r="E1467" s="2">
        <v>45678</v>
      </c>
      <c r="F1467">
        <v>681000</v>
      </c>
      <c r="G1467">
        <v>585</v>
      </c>
      <c r="H1467">
        <v>34</v>
      </c>
      <c r="I1467">
        <v>0</v>
      </c>
      <c r="L1467" t="s">
        <v>3138</v>
      </c>
      <c r="N1467" t="s">
        <v>1630</v>
      </c>
      <c r="O1467" s="4">
        <v>45678.6050231481</v>
      </c>
      <c r="P1467" t="s">
        <v>423</v>
      </c>
      <c r="Q1467" t="s">
        <v>1631</v>
      </c>
      <c r="R1467" t="s">
        <v>3939</v>
      </c>
      <c r="T1467" t="s">
        <v>423</v>
      </c>
    </row>
    <row r="1468" ht="25.5" customHeight="1" spans="1:20">
      <c r="A1468" t="s">
        <v>3103</v>
      </c>
      <c r="B1468" t="s">
        <v>269</v>
      </c>
      <c r="C1468" t="s">
        <v>4096</v>
      </c>
      <c r="D1468" s="3"/>
      <c r="E1468" s="2">
        <v>45679</v>
      </c>
      <c r="F1468">
        <v>681000</v>
      </c>
      <c r="G1468">
        <v>587</v>
      </c>
      <c r="H1468">
        <v>34</v>
      </c>
      <c r="I1468">
        <v>0</v>
      </c>
      <c r="L1468" t="s">
        <v>3138</v>
      </c>
      <c r="N1468" t="s">
        <v>1630</v>
      </c>
      <c r="O1468" s="4">
        <v>45679.6835532407</v>
      </c>
      <c r="P1468" t="s">
        <v>423</v>
      </c>
      <c r="Q1468" t="s">
        <v>1631</v>
      </c>
      <c r="R1468" t="s">
        <v>3939</v>
      </c>
      <c r="T1468" t="s">
        <v>423</v>
      </c>
    </row>
    <row r="1469" ht="25.5" customHeight="1" spans="1:20">
      <c r="A1469" t="s">
        <v>3103</v>
      </c>
      <c r="B1469" t="s">
        <v>269</v>
      </c>
      <c r="C1469" t="s">
        <v>4096</v>
      </c>
      <c r="D1469" s="3"/>
      <c r="E1469" s="2">
        <v>45680</v>
      </c>
      <c r="F1469">
        <v>681000</v>
      </c>
      <c r="G1469">
        <v>588</v>
      </c>
      <c r="H1469">
        <v>34</v>
      </c>
      <c r="I1469">
        <v>0</v>
      </c>
      <c r="L1469" t="s">
        <v>3138</v>
      </c>
      <c r="N1469" t="s">
        <v>1630</v>
      </c>
      <c r="O1469" s="4">
        <v>45680.6331712963</v>
      </c>
      <c r="P1469" t="s">
        <v>423</v>
      </c>
      <c r="Q1469" t="s">
        <v>1631</v>
      </c>
      <c r="R1469" t="s">
        <v>3939</v>
      </c>
      <c r="T1469" t="s">
        <v>423</v>
      </c>
    </row>
    <row r="1470" ht="25.5" customHeight="1" spans="1:20">
      <c r="A1470" t="s">
        <v>3103</v>
      </c>
      <c r="B1470" t="s">
        <v>269</v>
      </c>
      <c r="C1470" t="s">
        <v>4096</v>
      </c>
      <c r="D1470" s="3"/>
      <c r="E1470" s="2">
        <v>45681</v>
      </c>
      <c r="F1470">
        <v>681000</v>
      </c>
      <c r="G1470">
        <v>593</v>
      </c>
      <c r="H1470">
        <v>34</v>
      </c>
      <c r="I1470">
        <v>0</v>
      </c>
      <c r="L1470" t="s">
        <v>3138</v>
      </c>
      <c r="N1470" t="s">
        <v>1630</v>
      </c>
      <c r="O1470" s="4">
        <v>45681.5363657407</v>
      </c>
      <c r="P1470" t="s">
        <v>423</v>
      </c>
      <c r="Q1470" t="s">
        <v>1631</v>
      </c>
      <c r="R1470" t="s">
        <v>3939</v>
      </c>
      <c r="T1470" t="s">
        <v>423</v>
      </c>
    </row>
    <row r="1471" ht="25.5" customHeight="1" spans="1:20">
      <c r="A1471" t="s">
        <v>3103</v>
      </c>
      <c r="B1471" t="s">
        <v>269</v>
      </c>
      <c r="C1471" t="s">
        <v>4096</v>
      </c>
      <c r="D1471" s="3"/>
      <c r="E1471" s="2">
        <v>45683</v>
      </c>
      <c r="F1471">
        <v>681000</v>
      </c>
      <c r="G1471">
        <v>604</v>
      </c>
      <c r="H1471">
        <v>35</v>
      </c>
      <c r="I1471">
        <v>0</v>
      </c>
      <c r="L1471" t="s">
        <v>3138</v>
      </c>
      <c r="N1471" t="s">
        <v>1630</v>
      </c>
      <c r="O1471" s="4">
        <v>45683.7453472222</v>
      </c>
      <c r="P1471" t="s">
        <v>423</v>
      </c>
      <c r="Q1471" t="s">
        <v>1631</v>
      </c>
      <c r="R1471" t="s">
        <v>3940</v>
      </c>
      <c r="T1471" t="s">
        <v>423</v>
      </c>
    </row>
    <row r="1472" ht="25.5" customHeight="1" spans="1:20">
      <c r="A1472" t="s">
        <v>3103</v>
      </c>
      <c r="B1472" t="s">
        <v>269</v>
      </c>
      <c r="C1472" t="s">
        <v>4096</v>
      </c>
      <c r="D1472" s="3"/>
      <c r="E1472" s="2">
        <v>45684</v>
      </c>
      <c r="F1472">
        <v>681000</v>
      </c>
      <c r="G1472">
        <v>609</v>
      </c>
      <c r="H1472">
        <v>35</v>
      </c>
      <c r="I1472">
        <v>0</v>
      </c>
      <c r="L1472" t="s">
        <v>3138</v>
      </c>
      <c r="N1472" t="s">
        <v>1630</v>
      </c>
      <c r="O1472" s="4">
        <v>45684.7934837963</v>
      </c>
      <c r="P1472" t="s">
        <v>423</v>
      </c>
      <c r="Q1472" t="s">
        <v>1631</v>
      </c>
      <c r="R1472" t="s">
        <v>3940</v>
      </c>
      <c r="T1472" t="s">
        <v>423</v>
      </c>
    </row>
    <row r="1473" ht="25.5" customHeight="1" spans="1:20">
      <c r="A1473" t="s">
        <v>3103</v>
      </c>
      <c r="B1473" t="s">
        <v>269</v>
      </c>
      <c r="C1473" t="s">
        <v>4096</v>
      </c>
      <c r="D1473" s="3"/>
      <c r="E1473" s="2">
        <v>45693</v>
      </c>
      <c r="F1473">
        <v>681000</v>
      </c>
      <c r="G1473">
        <v>633</v>
      </c>
      <c r="H1473">
        <v>37</v>
      </c>
      <c r="I1473">
        <v>0</v>
      </c>
      <c r="L1473" t="s">
        <v>3138</v>
      </c>
      <c r="N1473" t="s">
        <v>1630</v>
      </c>
      <c r="O1473" s="4">
        <v>45693.7922569444</v>
      </c>
      <c r="P1473" t="s">
        <v>423</v>
      </c>
      <c r="Q1473" t="s">
        <v>1631</v>
      </c>
      <c r="R1473" t="s">
        <v>3505</v>
      </c>
      <c r="T1473" t="s">
        <v>423</v>
      </c>
    </row>
    <row r="1474" ht="25.5" customHeight="1" spans="1:20">
      <c r="A1474" t="s">
        <v>3103</v>
      </c>
      <c r="B1474" t="s">
        <v>269</v>
      </c>
      <c r="C1474" t="s">
        <v>4096</v>
      </c>
      <c r="D1474" s="3"/>
      <c r="E1474" s="2">
        <v>45694</v>
      </c>
      <c r="F1474">
        <v>680000</v>
      </c>
      <c r="G1474">
        <v>635</v>
      </c>
      <c r="H1474">
        <v>37</v>
      </c>
      <c r="I1474">
        <v>0</v>
      </c>
      <c r="L1474" t="s">
        <v>3138</v>
      </c>
      <c r="N1474" t="s">
        <v>1630</v>
      </c>
      <c r="O1474" s="4">
        <v>45698.6216782407</v>
      </c>
      <c r="P1474" t="s">
        <v>423</v>
      </c>
      <c r="Q1474" t="s">
        <v>1631</v>
      </c>
      <c r="R1474" t="s">
        <v>3505</v>
      </c>
      <c r="S1474" t="s">
        <v>3169</v>
      </c>
      <c r="T1474" t="s">
        <v>423</v>
      </c>
    </row>
    <row r="1475" ht="25.5" customHeight="1" spans="1:20">
      <c r="A1475" t="s">
        <v>3103</v>
      </c>
      <c r="B1475" t="s">
        <v>269</v>
      </c>
      <c r="C1475" t="s">
        <v>4096</v>
      </c>
      <c r="D1475" s="3"/>
      <c r="E1475" s="2">
        <v>45695</v>
      </c>
      <c r="F1475">
        <v>680000</v>
      </c>
      <c r="G1475">
        <v>680</v>
      </c>
      <c r="H1475">
        <v>37</v>
      </c>
      <c r="I1475">
        <v>0</v>
      </c>
      <c r="L1475" t="s">
        <v>3138</v>
      </c>
      <c r="N1475" t="s">
        <v>1630</v>
      </c>
      <c r="O1475" s="4">
        <v>45695.6397337963</v>
      </c>
      <c r="P1475" t="s">
        <v>423</v>
      </c>
      <c r="Q1475" t="s">
        <v>1631</v>
      </c>
      <c r="R1475" t="s">
        <v>3505</v>
      </c>
      <c r="T1475" t="s">
        <v>423</v>
      </c>
    </row>
    <row r="1476" ht="25.5" customHeight="1" spans="1:20">
      <c r="A1476" t="s">
        <v>2689</v>
      </c>
      <c r="B1476" t="s">
        <v>56</v>
      </c>
      <c r="C1476" t="s">
        <v>4098</v>
      </c>
      <c r="D1476" s="3" t="str">
        <f>HYPERLINK("https://www.tiktok.com/@soyenriquebarron","https://www.tiktok.com/@soyenriquebarron")</f>
        <v>https://www.tiktok.com/@soyenriquebarron</v>
      </c>
      <c r="E1476" s="2">
        <v>45667</v>
      </c>
      <c r="F1476">
        <v>58900</v>
      </c>
      <c r="G1476">
        <v>1816</v>
      </c>
      <c r="H1476">
        <v>123</v>
      </c>
      <c r="I1476">
        <v>3</v>
      </c>
      <c r="J1476">
        <v>17</v>
      </c>
      <c r="K1476">
        <v>17</v>
      </c>
      <c r="L1476" t="s">
        <v>3317</v>
      </c>
      <c r="M1476" t="s">
        <v>3249</v>
      </c>
      <c r="N1476" t="s">
        <v>1630</v>
      </c>
      <c r="O1476" s="4">
        <v>45670.8650115741</v>
      </c>
      <c r="P1476" t="s">
        <v>57</v>
      </c>
      <c r="Q1476" t="s">
        <v>1631</v>
      </c>
      <c r="R1476" t="s">
        <v>3931</v>
      </c>
      <c r="T1476" t="s">
        <v>57</v>
      </c>
    </row>
    <row r="1477" ht="25.5" customHeight="1" spans="1:20">
      <c r="A1477" t="s">
        <v>2689</v>
      </c>
      <c r="B1477" t="s">
        <v>56</v>
      </c>
      <c r="C1477" t="s">
        <v>4098</v>
      </c>
      <c r="D1477" s="3"/>
      <c r="E1477" s="2">
        <v>45671</v>
      </c>
      <c r="F1477">
        <v>58900</v>
      </c>
      <c r="G1477">
        <v>1844</v>
      </c>
      <c r="H1477">
        <v>125</v>
      </c>
      <c r="I1477">
        <v>3</v>
      </c>
      <c r="J1477">
        <v>17</v>
      </c>
      <c r="K1477">
        <v>17</v>
      </c>
      <c r="L1477" t="s">
        <v>3317</v>
      </c>
      <c r="M1477" t="s">
        <v>3249</v>
      </c>
      <c r="N1477" t="s">
        <v>1630</v>
      </c>
      <c r="O1477" s="4">
        <v>45672.5030092593</v>
      </c>
      <c r="P1477" t="s">
        <v>57</v>
      </c>
      <c r="Q1477" t="s">
        <v>1631</v>
      </c>
      <c r="R1477" t="s">
        <v>3926</v>
      </c>
      <c r="T1477" t="s">
        <v>57</v>
      </c>
    </row>
    <row r="1478" ht="25.5" customHeight="1" spans="1:20">
      <c r="A1478" t="s">
        <v>2689</v>
      </c>
      <c r="B1478" t="s">
        <v>56</v>
      </c>
      <c r="C1478" t="s">
        <v>4098</v>
      </c>
      <c r="D1478" s="3"/>
      <c r="E1478" s="2">
        <v>45672</v>
      </c>
      <c r="F1478">
        <v>58900</v>
      </c>
      <c r="G1478">
        <v>1866</v>
      </c>
      <c r="H1478">
        <v>125</v>
      </c>
      <c r="I1478">
        <v>3</v>
      </c>
      <c r="J1478">
        <v>17</v>
      </c>
      <c r="K1478">
        <v>17</v>
      </c>
      <c r="L1478" t="s">
        <v>3317</v>
      </c>
      <c r="M1478" t="s">
        <v>3249</v>
      </c>
      <c r="N1478" t="s">
        <v>1630</v>
      </c>
      <c r="O1478" s="4">
        <v>45672.5224768519</v>
      </c>
      <c r="P1478" t="s">
        <v>57</v>
      </c>
      <c r="Q1478" t="s">
        <v>1631</v>
      </c>
      <c r="R1478" t="s">
        <v>3926</v>
      </c>
      <c r="T1478" t="s">
        <v>57</v>
      </c>
    </row>
    <row r="1479" ht="25.5" customHeight="1" spans="1:20">
      <c r="A1479" t="s">
        <v>2689</v>
      </c>
      <c r="B1479" t="s">
        <v>56</v>
      </c>
      <c r="C1479" t="s">
        <v>4098</v>
      </c>
      <c r="D1479" s="3"/>
      <c r="E1479" s="2">
        <v>45673</v>
      </c>
      <c r="F1479">
        <v>58900</v>
      </c>
      <c r="G1479">
        <v>1901</v>
      </c>
      <c r="H1479">
        <v>126</v>
      </c>
      <c r="I1479">
        <v>3</v>
      </c>
      <c r="J1479">
        <v>19</v>
      </c>
      <c r="K1479">
        <v>17</v>
      </c>
      <c r="L1479" t="s">
        <v>3317</v>
      </c>
      <c r="M1479" t="s">
        <v>3249</v>
      </c>
      <c r="N1479" t="s">
        <v>1630</v>
      </c>
      <c r="O1479" s="4">
        <v>45673.6169675926</v>
      </c>
      <c r="P1479" t="s">
        <v>57</v>
      </c>
      <c r="Q1479" t="s">
        <v>1631</v>
      </c>
      <c r="R1479" t="s">
        <v>3372</v>
      </c>
      <c r="T1479" t="s">
        <v>57</v>
      </c>
    </row>
    <row r="1480" ht="25.5" customHeight="1" spans="1:20">
      <c r="A1480" t="s">
        <v>2689</v>
      </c>
      <c r="B1480" t="s">
        <v>56</v>
      </c>
      <c r="C1480" t="s">
        <v>4098</v>
      </c>
      <c r="D1480" s="3"/>
      <c r="E1480" s="2">
        <v>45674</v>
      </c>
      <c r="F1480">
        <v>58900</v>
      </c>
      <c r="G1480">
        <v>1923</v>
      </c>
      <c r="H1480">
        <v>127</v>
      </c>
      <c r="I1480">
        <v>3</v>
      </c>
      <c r="J1480">
        <v>19</v>
      </c>
      <c r="K1480">
        <v>17</v>
      </c>
      <c r="L1480" t="s">
        <v>3317</v>
      </c>
      <c r="M1480" t="s">
        <v>3249</v>
      </c>
      <c r="N1480" t="s">
        <v>1630</v>
      </c>
      <c r="O1480" s="4">
        <v>45674.6741203704</v>
      </c>
      <c r="P1480" t="s">
        <v>57</v>
      </c>
      <c r="Q1480" t="s">
        <v>1631</v>
      </c>
      <c r="R1480" t="s">
        <v>3456</v>
      </c>
      <c r="T1480" t="s">
        <v>57</v>
      </c>
    </row>
    <row r="1481" ht="25.5" customHeight="1" spans="1:20">
      <c r="A1481" t="s">
        <v>2689</v>
      </c>
      <c r="B1481" t="s">
        <v>56</v>
      </c>
      <c r="C1481" t="s">
        <v>4098</v>
      </c>
      <c r="D1481" s="3"/>
      <c r="E1481" s="2">
        <v>45677</v>
      </c>
      <c r="F1481">
        <v>58900</v>
      </c>
      <c r="G1481">
        <v>1995</v>
      </c>
      <c r="H1481">
        <v>127</v>
      </c>
      <c r="I1481">
        <v>3</v>
      </c>
      <c r="J1481">
        <v>19</v>
      </c>
      <c r="K1481">
        <v>17</v>
      </c>
      <c r="L1481" t="s">
        <v>3248</v>
      </c>
      <c r="M1481" t="s">
        <v>3249</v>
      </c>
      <c r="N1481" t="s">
        <v>1630</v>
      </c>
      <c r="O1481" s="4">
        <v>45677.4341319444</v>
      </c>
      <c r="P1481" t="s">
        <v>57</v>
      </c>
      <c r="Q1481" t="s">
        <v>1631</v>
      </c>
      <c r="R1481" t="s">
        <v>3456</v>
      </c>
      <c r="T1481" t="s">
        <v>57</v>
      </c>
    </row>
    <row r="1482" ht="25.5" customHeight="1" spans="1:20">
      <c r="A1482" t="s">
        <v>2689</v>
      </c>
      <c r="B1482" t="s">
        <v>56</v>
      </c>
      <c r="C1482" t="s">
        <v>4098</v>
      </c>
      <c r="D1482" s="3"/>
      <c r="E1482" s="2">
        <v>45678</v>
      </c>
      <c r="F1482">
        <v>58900</v>
      </c>
      <c r="G1482">
        <v>2020</v>
      </c>
      <c r="H1482">
        <v>127</v>
      </c>
      <c r="I1482">
        <v>3</v>
      </c>
      <c r="J1482">
        <v>19</v>
      </c>
      <c r="K1482">
        <v>17</v>
      </c>
      <c r="L1482" t="s">
        <v>3248</v>
      </c>
      <c r="M1482" t="s">
        <v>3249</v>
      </c>
      <c r="N1482" t="s">
        <v>1630</v>
      </c>
      <c r="O1482" s="4">
        <v>45678.6390972222</v>
      </c>
      <c r="P1482" t="s">
        <v>57</v>
      </c>
      <c r="Q1482" t="s">
        <v>1631</v>
      </c>
      <c r="R1482" t="s">
        <v>3456</v>
      </c>
      <c r="T1482" t="s">
        <v>57</v>
      </c>
    </row>
    <row r="1483" ht="25.5" customHeight="1" spans="1:20">
      <c r="A1483" t="s">
        <v>2689</v>
      </c>
      <c r="B1483" t="s">
        <v>56</v>
      </c>
      <c r="C1483" t="s">
        <v>4098</v>
      </c>
      <c r="D1483" s="3"/>
      <c r="E1483" s="2">
        <v>45679</v>
      </c>
      <c r="F1483">
        <v>58900</v>
      </c>
      <c r="G1483">
        <v>2047</v>
      </c>
      <c r="H1483">
        <v>127</v>
      </c>
      <c r="I1483">
        <v>3</v>
      </c>
      <c r="J1483">
        <v>20</v>
      </c>
      <c r="K1483">
        <v>17</v>
      </c>
      <c r="L1483" t="s">
        <v>3248</v>
      </c>
      <c r="M1483" t="s">
        <v>3249</v>
      </c>
      <c r="N1483" t="s">
        <v>1630</v>
      </c>
      <c r="O1483" s="4">
        <v>45679.6957060185</v>
      </c>
      <c r="P1483" t="s">
        <v>57</v>
      </c>
      <c r="Q1483" t="s">
        <v>1631</v>
      </c>
      <c r="R1483" t="s">
        <v>3932</v>
      </c>
      <c r="T1483" t="s">
        <v>57</v>
      </c>
    </row>
    <row r="1484" ht="25.5" customHeight="1" spans="1:20">
      <c r="A1484" t="s">
        <v>2689</v>
      </c>
      <c r="B1484" t="s">
        <v>56</v>
      </c>
      <c r="C1484" t="s">
        <v>4098</v>
      </c>
      <c r="D1484" s="3"/>
      <c r="E1484" s="2">
        <v>45680</v>
      </c>
      <c r="F1484">
        <v>58900</v>
      </c>
      <c r="G1484">
        <v>2063</v>
      </c>
      <c r="H1484">
        <v>127</v>
      </c>
      <c r="I1484">
        <v>3</v>
      </c>
      <c r="J1484">
        <v>20</v>
      </c>
      <c r="K1484">
        <v>17</v>
      </c>
      <c r="L1484" t="s">
        <v>3248</v>
      </c>
      <c r="M1484" t="s">
        <v>3249</v>
      </c>
      <c r="N1484" t="s">
        <v>1630</v>
      </c>
      <c r="O1484" s="4">
        <v>45680.6531481482</v>
      </c>
      <c r="P1484" t="s">
        <v>57</v>
      </c>
      <c r="Q1484" t="s">
        <v>1631</v>
      </c>
      <c r="R1484" t="s">
        <v>3932</v>
      </c>
      <c r="T1484" t="s">
        <v>57</v>
      </c>
    </row>
    <row r="1485" ht="25.5" customHeight="1" spans="1:20">
      <c r="A1485" t="s">
        <v>2689</v>
      </c>
      <c r="B1485" t="s">
        <v>56</v>
      </c>
      <c r="C1485" t="s">
        <v>4098</v>
      </c>
      <c r="D1485" s="3"/>
      <c r="E1485" s="2">
        <v>45681</v>
      </c>
      <c r="F1485">
        <v>58900</v>
      </c>
      <c r="G1485">
        <v>2078</v>
      </c>
      <c r="H1485">
        <v>128</v>
      </c>
      <c r="I1485">
        <v>3</v>
      </c>
      <c r="J1485">
        <v>20</v>
      </c>
      <c r="K1485">
        <v>17</v>
      </c>
      <c r="L1485" t="s">
        <v>3248</v>
      </c>
      <c r="M1485" t="s">
        <v>3249</v>
      </c>
      <c r="N1485" t="s">
        <v>1630</v>
      </c>
      <c r="O1485" s="4">
        <v>45681.6409722222</v>
      </c>
      <c r="P1485" t="s">
        <v>57</v>
      </c>
      <c r="Q1485" t="s">
        <v>1631</v>
      </c>
      <c r="R1485" t="s">
        <v>3329</v>
      </c>
      <c r="T1485" t="s">
        <v>57</v>
      </c>
    </row>
    <row r="1486" ht="25.5" customHeight="1" spans="1:20">
      <c r="A1486" t="s">
        <v>2689</v>
      </c>
      <c r="B1486" t="s">
        <v>56</v>
      </c>
      <c r="C1486" t="s">
        <v>4098</v>
      </c>
      <c r="D1486" s="3"/>
      <c r="E1486" s="2">
        <v>45683</v>
      </c>
      <c r="F1486">
        <v>58900</v>
      </c>
      <c r="G1486">
        <v>2112</v>
      </c>
      <c r="H1486">
        <v>128</v>
      </c>
      <c r="I1486">
        <v>3</v>
      </c>
      <c r="J1486">
        <v>20</v>
      </c>
      <c r="K1486">
        <v>17</v>
      </c>
      <c r="L1486" t="s">
        <v>3248</v>
      </c>
      <c r="M1486" t="s">
        <v>3249</v>
      </c>
      <c r="N1486" t="s">
        <v>1630</v>
      </c>
      <c r="O1486" s="4">
        <v>45683.7711111111</v>
      </c>
      <c r="P1486" t="s">
        <v>57</v>
      </c>
      <c r="Q1486" t="s">
        <v>1631</v>
      </c>
      <c r="R1486" t="s">
        <v>3329</v>
      </c>
      <c r="T1486" t="s">
        <v>57</v>
      </c>
    </row>
    <row r="1487" ht="25.5" customHeight="1" spans="1:20">
      <c r="A1487" t="s">
        <v>2689</v>
      </c>
      <c r="B1487" t="s">
        <v>56</v>
      </c>
      <c r="C1487" t="s">
        <v>4098</v>
      </c>
      <c r="D1487" s="3"/>
      <c r="E1487" s="2">
        <v>45684</v>
      </c>
      <c r="F1487">
        <v>58900</v>
      </c>
      <c r="G1487">
        <v>2137</v>
      </c>
      <c r="H1487">
        <v>128</v>
      </c>
      <c r="I1487">
        <v>3</v>
      </c>
      <c r="J1487">
        <v>20</v>
      </c>
      <c r="K1487">
        <v>17</v>
      </c>
      <c r="L1487" t="s">
        <v>3248</v>
      </c>
      <c r="M1487" t="s">
        <v>3249</v>
      </c>
      <c r="N1487" t="s">
        <v>1630</v>
      </c>
      <c r="O1487" s="4">
        <v>45684.8497800926</v>
      </c>
      <c r="P1487" t="s">
        <v>57</v>
      </c>
      <c r="Q1487" t="s">
        <v>1631</v>
      </c>
      <c r="R1487" t="s">
        <v>3329</v>
      </c>
      <c r="T1487" t="s">
        <v>57</v>
      </c>
    </row>
    <row r="1488" ht="25.5" customHeight="1" spans="1:20">
      <c r="A1488" t="s">
        <v>2689</v>
      </c>
      <c r="B1488" t="s">
        <v>56</v>
      </c>
      <c r="C1488" t="s">
        <v>4098</v>
      </c>
      <c r="D1488" s="3"/>
      <c r="E1488" s="2">
        <v>45693</v>
      </c>
      <c r="F1488">
        <v>58900</v>
      </c>
      <c r="G1488">
        <v>2300</v>
      </c>
      <c r="H1488">
        <v>129</v>
      </c>
      <c r="I1488">
        <v>3</v>
      </c>
      <c r="J1488">
        <v>21</v>
      </c>
      <c r="K1488">
        <v>18</v>
      </c>
      <c r="L1488" t="s">
        <v>3248</v>
      </c>
      <c r="M1488" t="s">
        <v>3249</v>
      </c>
      <c r="N1488" t="s">
        <v>1630</v>
      </c>
      <c r="O1488" s="4">
        <v>45693.8245486111</v>
      </c>
      <c r="P1488" t="s">
        <v>57</v>
      </c>
      <c r="Q1488" t="s">
        <v>1631</v>
      </c>
      <c r="R1488" t="s">
        <v>3183</v>
      </c>
      <c r="T1488" t="s">
        <v>57</v>
      </c>
    </row>
    <row r="1489" ht="25.5" customHeight="1" spans="1:20">
      <c r="A1489" t="s">
        <v>2689</v>
      </c>
      <c r="B1489" t="s">
        <v>56</v>
      </c>
      <c r="C1489" t="s">
        <v>4098</v>
      </c>
      <c r="D1489" s="3"/>
      <c r="E1489" s="2">
        <v>45694</v>
      </c>
      <c r="F1489">
        <v>58900</v>
      </c>
      <c r="G1489">
        <v>2322</v>
      </c>
      <c r="H1489">
        <v>129</v>
      </c>
      <c r="I1489">
        <v>3</v>
      </c>
      <c r="J1489">
        <v>21</v>
      </c>
      <c r="K1489">
        <v>18</v>
      </c>
      <c r="L1489" t="s">
        <v>3258</v>
      </c>
      <c r="M1489" t="s">
        <v>3249</v>
      </c>
      <c r="N1489" t="s">
        <v>1630</v>
      </c>
      <c r="O1489" s="4">
        <v>45698.6216782407</v>
      </c>
      <c r="P1489" t="s">
        <v>57</v>
      </c>
      <c r="Q1489" t="s">
        <v>1631</v>
      </c>
      <c r="R1489" t="s">
        <v>3183</v>
      </c>
      <c r="S1489" t="s">
        <v>3245</v>
      </c>
      <c r="T1489" t="s">
        <v>57</v>
      </c>
    </row>
    <row r="1490" ht="25.5" customHeight="1" spans="1:20">
      <c r="A1490" t="s">
        <v>2749</v>
      </c>
      <c r="B1490" t="s">
        <v>56</v>
      </c>
      <c r="C1490" t="s">
        <v>4099</v>
      </c>
      <c r="D1490" s="3"/>
      <c r="E1490" s="2">
        <v>45671</v>
      </c>
      <c r="F1490">
        <v>8115</v>
      </c>
      <c r="G1490">
        <v>332</v>
      </c>
      <c r="H1490">
        <v>54</v>
      </c>
      <c r="I1490">
        <v>32</v>
      </c>
      <c r="J1490">
        <v>2</v>
      </c>
      <c r="K1490">
        <v>1</v>
      </c>
      <c r="L1490" t="s">
        <v>3572</v>
      </c>
      <c r="M1490" t="s">
        <v>4100</v>
      </c>
      <c r="N1490" t="s">
        <v>1630</v>
      </c>
      <c r="O1490" s="4">
        <v>45671.6995601852</v>
      </c>
      <c r="P1490" t="s">
        <v>57</v>
      </c>
      <c r="Q1490" t="s">
        <v>1913</v>
      </c>
      <c r="R1490" t="s">
        <v>4101</v>
      </c>
      <c r="T1490" t="s">
        <v>57</v>
      </c>
    </row>
    <row r="1491" ht="25.5" customHeight="1" spans="1:20">
      <c r="A1491" t="s">
        <v>2749</v>
      </c>
      <c r="B1491" t="s">
        <v>56</v>
      </c>
      <c r="C1491" t="s">
        <v>4099</v>
      </c>
      <c r="D1491" s="3"/>
      <c r="E1491" s="2">
        <v>45672</v>
      </c>
      <c r="F1491">
        <v>8155</v>
      </c>
      <c r="G1491">
        <v>878</v>
      </c>
      <c r="H1491">
        <v>93</v>
      </c>
      <c r="I1491">
        <v>34</v>
      </c>
      <c r="J1491">
        <v>7</v>
      </c>
      <c r="K1491">
        <v>1</v>
      </c>
      <c r="L1491" t="s">
        <v>3220</v>
      </c>
      <c r="M1491" t="s">
        <v>4100</v>
      </c>
      <c r="N1491" t="s">
        <v>1630</v>
      </c>
      <c r="O1491" s="4">
        <v>45672.522962963</v>
      </c>
      <c r="P1491" t="s">
        <v>57</v>
      </c>
      <c r="Q1491" t="s">
        <v>1913</v>
      </c>
      <c r="R1491" t="s">
        <v>3369</v>
      </c>
      <c r="T1491" t="s">
        <v>57</v>
      </c>
    </row>
    <row r="1492" ht="25.5" customHeight="1" spans="1:20">
      <c r="A1492" t="s">
        <v>2749</v>
      </c>
      <c r="B1492" t="s">
        <v>56</v>
      </c>
      <c r="C1492" t="s">
        <v>4099</v>
      </c>
      <c r="D1492" s="3"/>
      <c r="E1492" s="2">
        <v>45673</v>
      </c>
      <c r="F1492">
        <v>8200</v>
      </c>
      <c r="G1492">
        <v>1151</v>
      </c>
      <c r="H1492">
        <v>104</v>
      </c>
      <c r="I1492">
        <v>34</v>
      </c>
      <c r="J1492">
        <v>8</v>
      </c>
      <c r="K1492">
        <v>1</v>
      </c>
      <c r="L1492" t="s">
        <v>3612</v>
      </c>
      <c r="M1492" t="s">
        <v>4100</v>
      </c>
      <c r="N1492" t="s">
        <v>1630</v>
      </c>
      <c r="O1492" s="4">
        <v>45673.6172106481</v>
      </c>
      <c r="P1492" t="s">
        <v>57</v>
      </c>
      <c r="Q1492" t="s">
        <v>1913</v>
      </c>
      <c r="R1492" t="s">
        <v>3182</v>
      </c>
      <c r="T1492" t="s">
        <v>57</v>
      </c>
    </row>
    <row r="1493" ht="25.5" customHeight="1" spans="1:20">
      <c r="A1493" t="s">
        <v>2749</v>
      </c>
      <c r="B1493" t="s">
        <v>56</v>
      </c>
      <c r="C1493" t="s">
        <v>4099</v>
      </c>
      <c r="D1493" s="3"/>
      <c r="E1493" s="2">
        <v>45674</v>
      </c>
      <c r="F1493">
        <v>8227</v>
      </c>
      <c r="G1493">
        <v>1298</v>
      </c>
      <c r="H1493">
        <v>108</v>
      </c>
      <c r="I1493">
        <v>34</v>
      </c>
      <c r="J1493">
        <v>8</v>
      </c>
      <c r="K1493">
        <v>1</v>
      </c>
      <c r="L1493" t="s">
        <v>3298</v>
      </c>
      <c r="M1493" t="s">
        <v>4100</v>
      </c>
      <c r="N1493" t="s">
        <v>1630</v>
      </c>
      <c r="O1493" s="4">
        <v>45674.6742939815</v>
      </c>
      <c r="P1493" t="s">
        <v>57</v>
      </c>
      <c r="Q1493" t="s">
        <v>1913</v>
      </c>
      <c r="R1493" t="s">
        <v>3930</v>
      </c>
      <c r="T1493" t="s">
        <v>57</v>
      </c>
    </row>
    <row r="1494" ht="25.5" customHeight="1" spans="1:20">
      <c r="A1494" t="s">
        <v>2749</v>
      </c>
      <c r="B1494" t="s">
        <v>56</v>
      </c>
      <c r="C1494" t="s">
        <v>4099</v>
      </c>
      <c r="D1494" s="3"/>
      <c r="E1494" s="2">
        <v>45677</v>
      </c>
      <c r="F1494">
        <v>8277</v>
      </c>
      <c r="G1494">
        <v>1491</v>
      </c>
      <c r="H1494">
        <v>110</v>
      </c>
      <c r="I1494">
        <v>34</v>
      </c>
      <c r="J1494">
        <v>8</v>
      </c>
      <c r="K1494">
        <v>1</v>
      </c>
      <c r="L1494" t="s">
        <v>3260</v>
      </c>
      <c r="M1494" t="s">
        <v>4100</v>
      </c>
      <c r="N1494" t="s">
        <v>1630</v>
      </c>
      <c r="O1494" s="4">
        <v>45677.4342939815</v>
      </c>
      <c r="P1494" t="s">
        <v>57</v>
      </c>
      <c r="Q1494" t="s">
        <v>1913</v>
      </c>
      <c r="R1494" t="s">
        <v>3524</v>
      </c>
      <c r="T1494" t="s">
        <v>57</v>
      </c>
    </row>
    <row r="1495" ht="25.5" customHeight="1" spans="1:20">
      <c r="A1495" t="s">
        <v>2749</v>
      </c>
      <c r="B1495" t="s">
        <v>56</v>
      </c>
      <c r="C1495" t="s">
        <v>4099</v>
      </c>
      <c r="D1495" s="3"/>
      <c r="E1495" s="2">
        <v>45678</v>
      </c>
      <c r="F1495">
        <v>8303</v>
      </c>
      <c r="G1495">
        <v>1544</v>
      </c>
      <c r="H1495">
        <v>110</v>
      </c>
      <c r="I1495">
        <v>34</v>
      </c>
      <c r="J1495">
        <v>8</v>
      </c>
      <c r="K1495">
        <v>1</v>
      </c>
      <c r="L1495" t="s">
        <v>3230</v>
      </c>
      <c r="M1495" t="s">
        <v>4100</v>
      </c>
      <c r="N1495" t="s">
        <v>1630</v>
      </c>
      <c r="O1495" s="4">
        <v>45678.6393634259</v>
      </c>
      <c r="P1495" t="s">
        <v>57</v>
      </c>
      <c r="Q1495" t="s">
        <v>1913</v>
      </c>
      <c r="R1495" t="s">
        <v>3524</v>
      </c>
      <c r="T1495" t="s">
        <v>57</v>
      </c>
    </row>
    <row r="1496" ht="25.5" customHeight="1" spans="1:20">
      <c r="A1496" t="s">
        <v>2749</v>
      </c>
      <c r="B1496" t="s">
        <v>56</v>
      </c>
      <c r="C1496" t="s">
        <v>4099</v>
      </c>
      <c r="D1496" s="3"/>
      <c r="E1496" s="2">
        <v>45679</v>
      </c>
      <c r="F1496">
        <v>8324</v>
      </c>
      <c r="G1496">
        <v>1575</v>
      </c>
      <c r="H1496">
        <v>112</v>
      </c>
      <c r="I1496">
        <v>34</v>
      </c>
      <c r="J1496">
        <v>9</v>
      </c>
      <c r="K1496">
        <v>1</v>
      </c>
      <c r="L1496" t="s">
        <v>3230</v>
      </c>
      <c r="M1496" t="s">
        <v>4100</v>
      </c>
      <c r="N1496" t="s">
        <v>1630</v>
      </c>
      <c r="O1496" s="4">
        <v>45679.6958912037</v>
      </c>
      <c r="P1496" t="s">
        <v>57</v>
      </c>
      <c r="Q1496" t="s">
        <v>1913</v>
      </c>
      <c r="R1496" t="s">
        <v>3316</v>
      </c>
      <c r="T1496" t="s">
        <v>57</v>
      </c>
    </row>
    <row r="1497" ht="25.5" customHeight="1" spans="1:20">
      <c r="A1497" t="s">
        <v>2749</v>
      </c>
      <c r="B1497" t="s">
        <v>56</v>
      </c>
      <c r="C1497" t="s">
        <v>4099</v>
      </c>
      <c r="D1497" s="3"/>
      <c r="E1497" s="2">
        <v>45680</v>
      </c>
      <c r="F1497">
        <v>8355</v>
      </c>
      <c r="G1497">
        <v>1599</v>
      </c>
      <c r="H1497">
        <v>112</v>
      </c>
      <c r="I1497">
        <v>34</v>
      </c>
      <c r="J1497">
        <v>9</v>
      </c>
      <c r="K1497">
        <v>1</v>
      </c>
      <c r="L1497" t="s">
        <v>3230</v>
      </c>
      <c r="M1497" t="s">
        <v>4100</v>
      </c>
      <c r="N1497" t="s">
        <v>1630</v>
      </c>
      <c r="O1497" s="4">
        <v>45680.6536111111</v>
      </c>
      <c r="P1497" t="s">
        <v>57</v>
      </c>
      <c r="Q1497" t="s">
        <v>1913</v>
      </c>
      <c r="R1497" t="s">
        <v>3316</v>
      </c>
      <c r="T1497" t="s">
        <v>57</v>
      </c>
    </row>
    <row r="1498" ht="25.5" customHeight="1" spans="1:20">
      <c r="A1498" t="s">
        <v>2749</v>
      </c>
      <c r="B1498" t="s">
        <v>56</v>
      </c>
      <c r="C1498" t="s">
        <v>4099</v>
      </c>
      <c r="D1498" s="3"/>
      <c r="E1498" s="2">
        <v>45681</v>
      </c>
      <c r="F1498">
        <v>8400</v>
      </c>
      <c r="G1498">
        <v>1611</v>
      </c>
      <c r="H1498">
        <v>113</v>
      </c>
      <c r="I1498">
        <v>34</v>
      </c>
      <c r="J1498">
        <v>9</v>
      </c>
      <c r="K1498">
        <v>1</v>
      </c>
      <c r="L1498" t="s">
        <v>3230</v>
      </c>
      <c r="M1498" t="s">
        <v>4100</v>
      </c>
      <c r="N1498" t="s">
        <v>1630</v>
      </c>
      <c r="O1498" s="4">
        <v>45681.6412037037</v>
      </c>
      <c r="P1498" t="s">
        <v>57</v>
      </c>
      <c r="Q1498" t="s">
        <v>1913</v>
      </c>
      <c r="R1498" t="s">
        <v>4024</v>
      </c>
      <c r="T1498" t="s">
        <v>57</v>
      </c>
    </row>
    <row r="1499" ht="25.5" customHeight="1" spans="1:20">
      <c r="A1499" t="s">
        <v>2749</v>
      </c>
      <c r="B1499" t="s">
        <v>56</v>
      </c>
      <c r="C1499" t="s">
        <v>4099</v>
      </c>
      <c r="D1499" s="3"/>
      <c r="E1499" s="2">
        <v>45683</v>
      </c>
      <c r="F1499">
        <v>8447</v>
      </c>
      <c r="G1499">
        <v>1652</v>
      </c>
      <c r="H1499">
        <v>116</v>
      </c>
      <c r="I1499">
        <v>34</v>
      </c>
      <c r="J1499">
        <v>9</v>
      </c>
      <c r="K1499">
        <v>1</v>
      </c>
      <c r="L1499" t="s">
        <v>3230</v>
      </c>
      <c r="M1499" t="s">
        <v>4100</v>
      </c>
      <c r="N1499" t="s">
        <v>1630</v>
      </c>
      <c r="O1499" s="4">
        <v>45683.7715393519</v>
      </c>
      <c r="P1499" t="s">
        <v>57</v>
      </c>
      <c r="Q1499" t="s">
        <v>1913</v>
      </c>
      <c r="R1499" t="s">
        <v>3931</v>
      </c>
      <c r="T1499" t="s">
        <v>57</v>
      </c>
    </row>
    <row r="1500" ht="25.5" customHeight="1" spans="1:20">
      <c r="A1500" t="s">
        <v>2749</v>
      </c>
      <c r="B1500" t="s">
        <v>56</v>
      </c>
      <c r="C1500" t="s">
        <v>4099</v>
      </c>
      <c r="D1500" s="3"/>
      <c r="E1500" s="2">
        <v>45684</v>
      </c>
      <c r="F1500">
        <v>8480</v>
      </c>
      <c r="G1500">
        <v>1661</v>
      </c>
      <c r="H1500">
        <v>116</v>
      </c>
      <c r="I1500">
        <v>34</v>
      </c>
      <c r="J1500">
        <v>9</v>
      </c>
      <c r="K1500">
        <v>1</v>
      </c>
      <c r="L1500" t="s">
        <v>3230</v>
      </c>
      <c r="M1500" t="s">
        <v>4100</v>
      </c>
      <c r="N1500" t="s">
        <v>1630</v>
      </c>
      <c r="O1500" s="4">
        <v>45684.8499768519</v>
      </c>
      <c r="P1500" t="s">
        <v>57</v>
      </c>
      <c r="Q1500" t="s">
        <v>1913</v>
      </c>
      <c r="R1500" t="s">
        <v>3931</v>
      </c>
      <c r="T1500" t="s">
        <v>57</v>
      </c>
    </row>
    <row r="1501" ht="25.5" customHeight="1" spans="1:20">
      <c r="A1501" t="s">
        <v>2749</v>
      </c>
      <c r="B1501" t="s">
        <v>56</v>
      </c>
      <c r="C1501" t="s">
        <v>4099</v>
      </c>
      <c r="D1501" s="3"/>
      <c r="E1501" s="2">
        <v>45693</v>
      </c>
      <c r="F1501">
        <v>9414</v>
      </c>
      <c r="G1501">
        <v>1787</v>
      </c>
      <c r="H1501">
        <v>121</v>
      </c>
      <c r="I1501">
        <v>34</v>
      </c>
      <c r="J1501">
        <v>10</v>
      </c>
      <c r="K1501">
        <v>1</v>
      </c>
      <c r="L1501" t="s">
        <v>3230</v>
      </c>
      <c r="M1501" t="s">
        <v>4100</v>
      </c>
      <c r="N1501" t="s">
        <v>1630</v>
      </c>
      <c r="O1501" s="4">
        <v>45693.8247800926</v>
      </c>
      <c r="P1501" t="s">
        <v>57</v>
      </c>
      <c r="Q1501" t="s">
        <v>1913</v>
      </c>
      <c r="R1501" t="s">
        <v>3456</v>
      </c>
      <c r="T1501" t="s">
        <v>57</v>
      </c>
    </row>
    <row r="1502" ht="25.5" customHeight="1" spans="1:20">
      <c r="A1502" t="s">
        <v>2749</v>
      </c>
      <c r="B1502" t="s">
        <v>56</v>
      </c>
      <c r="C1502" t="s">
        <v>4099</v>
      </c>
      <c r="D1502" s="3"/>
      <c r="E1502" s="2">
        <v>45694</v>
      </c>
      <c r="F1502">
        <v>9431</v>
      </c>
      <c r="G1502">
        <v>1791</v>
      </c>
      <c r="H1502">
        <v>121</v>
      </c>
      <c r="I1502">
        <v>34</v>
      </c>
      <c r="J1502">
        <v>10</v>
      </c>
      <c r="K1502">
        <v>1</v>
      </c>
      <c r="L1502" t="s">
        <v>3230</v>
      </c>
      <c r="M1502" t="s">
        <v>4100</v>
      </c>
      <c r="N1502" t="s">
        <v>1630</v>
      </c>
      <c r="O1502" s="4">
        <v>45698.6216782407</v>
      </c>
      <c r="P1502" t="s">
        <v>57</v>
      </c>
      <c r="Q1502" t="s">
        <v>1913</v>
      </c>
      <c r="R1502" t="s">
        <v>3456</v>
      </c>
      <c r="S1502" t="s">
        <v>3301</v>
      </c>
      <c r="T1502" t="s">
        <v>57</v>
      </c>
    </row>
    <row r="1503" ht="25.5" customHeight="1" spans="1:20">
      <c r="A1503" t="s">
        <v>2749</v>
      </c>
      <c r="B1503" t="s">
        <v>56</v>
      </c>
      <c r="C1503" t="s">
        <v>4099</v>
      </c>
      <c r="D1503" s="3"/>
      <c r="E1503" s="2">
        <v>45695</v>
      </c>
      <c r="F1503">
        <v>9456</v>
      </c>
      <c r="G1503">
        <v>1803</v>
      </c>
      <c r="H1503">
        <v>122</v>
      </c>
      <c r="I1503">
        <v>34</v>
      </c>
      <c r="J1503">
        <v>10</v>
      </c>
      <c r="K1503">
        <v>1</v>
      </c>
      <c r="L1503" t="s">
        <v>3230</v>
      </c>
      <c r="M1503" t="s">
        <v>4100</v>
      </c>
      <c r="N1503" t="s">
        <v>1630</v>
      </c>
      <c r="O1503" s="4">
        <v>45695.7178587963</v>
      </c>
      <c r="P1503" t="s">
        <v>57</v>
      </c>
      <c r="Q1503" t="s">
        <v>1913</v>
      </c>
      <c r="R1503" t="s">
        <v>3932</v>
      </c>
      <c r="T1503" t="s">
        <v>57</v>
      </c>
    </row>
    <row r="1504" ht="25.5" customHeight="1" spans="1:20">
      <c r="A1504" t="s">
        <v>80</v>
      </c>
      <c r="B1504" t="s">
        <v>65</v>
      </c>
      <c r="D1504" s="3"/>
      <c r="E1504" s="2">
        <v>45685</v>
      </c>
      <c r="F1504">
        <v>1658000</v>
      </c>
      <c r="G1504">
        <v>12565</v>
      </c>
      <c r="H1504">
        <v>79</v>
      </c>
      <c r="I1504">
        <v>11</v>
      </c>
      <c r="J1504">
        <v>60</v>
      </c>
      <c r="K1504">
        <v>27</v>
      </c>
      <c r="L1504" t="s">
        <v>3138</v>
      </c>
      <c r="M1504" t="s">
        <v>4102</v>
      </c>
      <c r="N1504" t="s">
        <v>1630</v>
      </c>
      <c r="O1504" s="4">
        <v>45694.7197106481</v>
      </c>
      <c r="P1504" t="s">
        <v>66</v>
      </c>
      <c r="Q1504" t="s">
        <v>1631</v>
      </c>
      <c r="R1504" t="s">
        <v>4103</v>
      </c>
      <c r="T1504" t="s">
        <v>66</v>
      </c>
    </row>
    <row r="1505" ht="25.5" customHeight="1" spans="1:20">
      <c r="A1505" t="s">
        <v>2507</v>
      </c>
      <c r="B1505" t="s">
        <v>56</v>
      </c>
      <c r="C1505" t="s">
        <v>4104</v>
      </c>
      <c r="D1505" s="3" t="str">
        <f>HYPERLINK("https://www.tiktok.com/@prada5x","https://www.tiktok.com/@prada5x")</f>
        <v>https://www.tiktok.com/@prada5x</v>
      </c>
      <c r="E1505" s="2">
        <v>45668</v>
      </c>
      <c r="F1505">
        <v>29600</v>
      </c>
      <c r="G1505">
        <v>1443</v>
      </c>
      <c r="H1505">
        <v>35</v>
      </c>
      <c r="I1505">
        <v>9</v>
      </c>
      <c r="J1505">
        <v>12</v>
      </c>
      <c r="K1505">
        <v>2</v>
      </c>
      <c r="L1505" t="s">
        <v>3284</v>
      </c>
      <c r="M1505" t="s">
        <v>3378</v>
      </c>
      <c r="N1505" t="s">
        <v>1630</v>
      </c>
      <c r="O1505" s="4">
        <v>45671.6996759259</v>
      </c>
      <c r="P1505" t="s">
        <v>57</v>
      </c>
      <c r="Q1505" t="s">
        <v>2510</v>
      </c>
      <c r="R1505" t="s">
        <v>3299</v>
      </c>
      <c r="T1505" t="s">
        <v>57</v>
      </c>
    </row>
    <row r="1506" ht="25.5" customHeight="1" spans="1:20">
      <c r="A1506" t="s">
        <v>2507</v>
      </c>
      <c r="B1506" t="s">
        <v>56</v>
      </c>
      <c r="C1506" t="s">
        <v>4104</v>
      </c>
      <c r="D1506" s="3"/>
      <c r="E1506" s="2">
        <v>45671</v>
      </c>
      <c r="F1506">
        <v>29700</v>
      </c>
      <c r="G1506">
        <v>1591</v>
      </c>
      <c r="H1506">
        <v>40</v>
      </c>
      <c r="I1506">
        <v>9</v>
      </c>
      <c r="J1506">
        <v>14</v>
      </c>
      <c r="K1506">
        <v>4</v>
      </c>
      <c r="L1506" t="s">
        <v>3284</v>
      </c>
      <c r="M1506" t="s">
        <v>3378</v>
      </c>
      <c r="N1506" t="s">
        <v>1630</v>
      </c>
      <c r="O1506" s="4">
        <v>45672.5030092593</v>
      </c>
      <c r="P1506" t="s">
        <v>57</v>
      </c>
      <c r="Q1506" t="s">
        <v>2510</v>
      </c>
      <c r="R1506" t="s">
        <v>3398</v>
      </c>
      <c r="T1506" t="s">
        <v>57</v>
      </c>
    </row>
    <row r="1507" ht="25.5" customHeight="1" spans="1:20">
      <c r="A1507" t="s">
        <v>2507</v>
      </c>
      <c r="B1507" t="s">
        <v>56</v>
      </c>
      <c r="C1507" t="s">
        <v>4104</v>
      </c>
      <c r="D1507" s="3"/>
      <c r="E1507" s="2">
        <v>45672</v>
      </c>
      <c r="F1507">
        <v>29800</v>
      </c>
      <c r="G1507">
        <v>1737</v>
      </c>
      <c r="H1507">
        <v>44</v>
      </c>
      <c r="I1507">
        <v>9</v>
      </c>
      <c r="J1507">
        <v>16</v>
      </c>
      <c r="K1507">
        <v>4</v>
      </c>
      <c r="L1507" t="s">
        <v>3284</v>
      </c>
      <c r="M1507" t="s">
        <v>3378</v>
      </c>
      <c r="N1507" t="s">
        <v>1630</v>
      </c>
      <c r="O1507" s="4">
        <v>45672.523125</v>
      </c>
      <c r="P1507" t="s">
        <v>57</v>
      </c>
      <c r="Q1507" t="s">
        <v>2510</v>
      </c>
      <c r="R1507" t="s">
        <v>3767</v>
      </c>
      <c r="T1507" t="s">
        <v>57</v>
      </c>
    </row>
    <row r="1508" ht="25.5" customHeight="1" spans="1:20">
      <c r="A1508" t="s">
        <v>2507</v>
      </c>
      <c r="B1508" t="s">
        <v>56</v>
      </c>
      <c r="C1508" t="s">
        <v>4104</v>
      </c>
      <c r="D1508" s="3"/>
      <c r="E1508" s="2">
        <v>45673</v>
      </c>
      <c r="F1508">
        <v>30700</v>
      </c>
      <c r="G1508">
        <v>2184</v>
      </c>
      <c r="H1508">
        <v>47</v>
      </c>
      <c r="I1508">
        <v>10</v>
      </c>
      <c r="J1508">
        <v>16</v>
      </c>
      <c r="K1508">
        <v>4</v>
      </c>
      <c r="L1508" t="s">
        <v>3284</v>
      </c>
      <c r="M1508" t="s">
        <v>3378</v>
      </c>
      <c r="N1508" t="s">
        <v>1630</v>
      </c>
      <c r="O1508" s="4">
        <v>45673.6174074074</v>
      </c>
      <c r="P1508" t="s">
        <v>57</v>
      </c>
      <c r="Q1508" t="s">
        <v>2510</v>
      </c>
      <c r="R1508" t="s">
        <v>3768</v>
      </c>
      <c r="T1508" t="s">
        <v>57</v>
      </c>
    </row>
    <row r="1509" ht="25.5" customHeight="1" spans="1:20">
      <c r="A1509" t="s">
        <v>2507</v>
      </c>
      <c r="B1509" t="s">
        <v>56</v>
      </c>
      <c r="C1509" t="s">
        <v>4104</v>
      </c>
      <c r="D1509" s="3"/>
      <c r="E1509" s="2">
        <v>45674</v>
      </c>
      <c r="F1509">
        <v>31100</v>
      </c>
      <c r="G1509">
        <v>2390</v>
      </c>
      <c r="H1509">
        <v>48</v>
      </c>
      <c r="I1509">
        <v>10</v>
      </c>
      <c r="J1509">
        <v>17</v>
      </c>
      <c r="K1509">
        <v>4</v>
      </c>
      <c r="L1509" t="s">
        <v>3284</v>
      </c>
      <c r="M1509" t="s">
        <v>3378</v>
      </c>
      <c r="N1509" t="s">
        <v>1630</v>
      </c>
      <c r="O1509" s="4">
        <v>45674.6745833333</v>
      </c>
      <c r="P1509" t="s">
        <v>57</v>
      </c>
      <c r="Q1509" t="s">
        <v>2510</v>
      </c>
      <c r="R1509" t="s">
        <v>3954</v>
      </c>
      <c r="T1509" t="s">
        <v>57</v>
      </c>
    </row>
    <row r="1510" ht="25.5" customHeight="1" spans="1:20">
      <c r="A1510" t="s">
        <v>2507</v>
      </c>
      <c r="B1510" t="s">
        <v>56</v>
      </c>
      <c r="C1510" t="s">
        <v>4104</v>
      </c>
      <c r="D1510" s="3"/>
      <c r="E1510" s="2">
        <v>45677</v>
      </c>
      <c r="F1510">
        <v>31500</v>
      </c>
      <c r="G1510">
        <v>2794</v>
      </c>
      <c r="H1510">
        <v>54</v>
      </c>
      <c r="I1510">
        <v>10</v>
      </c>
      <c r="J1510">
        <v>19</v>
      </c>
      <c r="K1510">
        <v>4</v>
      </c>
      <c r="L1510" t="s">
        <v>3281</v>
      </c>
      <c r="M1510" t="s">
        <v>3378</v>
      </c>
      <c r="N1510" t="s">
        <v>1630</v>
      </c>
      <c r="O1510" s="4">
        <v>45677.4344675926</v>
      </c>
      <c r="P1510" t="s">
        <v>57</v>
      </c>
      <c r="Q1510" t="s">
        <v>2510</v>
      </c>
      <c r="R1510" t="s">
        <v>3328</v>
      </c>
      <c r="T1510" t="s">
        <v>57</v>
      </c>
    </row>
    <row r="1511" ht="25.5" customHeight="1" spans="1:20">
      <c r="A1511" t="s">
        <v>2507</v>
      </c>
      <c r="B1511" t="s">
        <v>56</v>
      </c>
      <c r="C1511" t="s">
        <v>4104</v>
      </c>
      <c r="D1511" s="3"/>
      <c r="E1511" s="2">
        <v>45678</v>
      </c>
      <c r="F1511">
        <v>31600</v>
      </c>
      <c r="G1511">
        <v>2956</v>
      </c>
      <c r="H1511">
        <v>55</v>
      </c>
      <c r="I1511">
        <v>10</v>
      </c>
      <c r="J1511">
        <v>20</v>
      </c>
      <c r="K1511">
        <v>4</v>
      </c>
      <c r="L1511" t="s">
        <v>3281</v>
      </c>
      <c r="M1511" t="s">
        <v>3378</v>
      </c>
      <c r="N1511" t="s">
        <v>1630</v>
      </c>
      <c r="O1511" s="4">
        <v>45678.639525463</v>
      </c>
      <c r="P1511" t="s">
        <v>57</v>
      </c>
      <c r="Q1511" t="s">
        <v>2510</v>
      </c>
      <c r="R1511" t="s">
        <v>4101</v>
      </c>
      <c r="T1511" t="s">
        <v>57</v>
      </c>
    </row>
    <row r="1512" ht="25.5" customHeight="1" spans="1:20">
      <c r="A1512" t="s">
        <v>2507</v>
      </c>
      <c r="B1512" t="s">
        <v>56</v>
      </c>
      <c r="C1512" t="s">
        <v>4104</v>
      </c>
      <c r="D1512" s="3"/>
      <c r="E1512" s="2">
        <v>45679</v>
      </c>
      <c r="F1512">
        <v>31700</v>
      </c>
      <c r="G1512">
        <v>3052</v>
      </c>
      <c r="H1512">
        <v>54</v>
      </c>
      <c r="I1512">
        <v>10</v>
      </c>
      <c r="J1512">
        <v>21</v>
      </c>
      <c r="K1512">
        <v>4</v>
      </c>
      <c r="L1512" t="s">
        <v>3281</v>
      </c>
      <c r="M1512" t="s">
        <v>3378</v>
      </c>
      <c r="N1512" t="s">
        <v>1630</v>
      </c>
      <c r="O1512" s="4">
        <v>45679.6960532407</v>
      </c>
      <c r="P1512" t="s">
        <v>57</v>
      </c>
      <c r="Q1512" t="s">
        <v>2510</v>
      </c>
      <c r="R1512" t="s">
        <v>4101</v>
      </c>
      <c r="T1512" t="s">
        <v>57</v>
      </c>
    </row>
    <row r="1513" ht="25.5" customHeight="1" spans="1:20">
      <c r="A1513" t="s">
        <v>2507</v>
      </c>
      <c r="B1513" t="s">
        <v>56</v>
      </c>
      <c r="C1513" t="s">
        <v>4104</v>
      </c>
      <c r="D1513" s="3"/>
      <c r="E1513" s="2">
        <v>45680</v>
      </c>
      <c r="F1513">
        <v>31700</v>
      </c>
      <c r="G1513">
        <v>3138</v>
      </c>
      <c r="H1513">
        <v>54</v>
      </c>
      <c r="I1513">
        <v>10</v>
      </c>
      <c r="J1513">
        <v>21</v>
      </c>
      <c r="K1513">
        <v>4</v>
      </c>
      <c r="L1513" t="s">
        <v>3281</v>
      </c>
      <c r="M1513" t="s">
        <v>3378</v>
      </c>
      <c r="N1513" t="s">
        <v>1630</v>
      </c>
      <c r="O1513" s="4">
        <v>45680.6550462963</v>
      </c>
      <c r="P1513" t="s">
        <v>57</v>
      </c>
      <c r="Q1513" t="s">
        <v>2510</v>
      </c>
      <c r="R1513" t="s">
        <v>4101</v>
      </c>
      <c r="T1513" t="s">
        <v>57</v>
      </c>
    </row>
    <row r="1514" ht="25.5" customHeight="1" spans="1:20">
      <c r="A1514" t="s">
        <v>2507</v>
      </c>
      <c r="B1514" t="s">
        <v>56</v>
      </c>
      <c r="C1514" t="s">
        <v>4104</v>
      </c>
      <c r="D1514" s="3"/>
      <c r="E1514" s="2">
        <v>45681</v>
      </c>
      <c r="F1514">
        <v>31900</v>
      </c>
      <c r="G1514">
        <v>3264</v>
      </c>
      <c r="H1514">
        <v>54</v>
      </c>
      <c r="I1514">
        <v>10</v>
      </c>
      <c r="J1514">
        <v>21</v>
      </c>
      <c r="K1514">
        <v>4</v>
      </c>
      <c r="L1514" t="s">
        <v>3281</v>
      </c>
      <c r="M1514" t="s">
        <v>3378</v>
      </c>
      <c r="N1514" t="s">
        <v>1630</v>
      </c>
      <c r="O1514" s="4">
        <v>45681.6413657407</v>
      </c>
      <c r="P1514" t="s">
        <v>57</v>
      </c>
      <c r="Q1514" t="s">
        <v>2510</v>
      </c>
      <c r="R1514" t="s">
        <v>4101</v>
      </c>
      <c r="T1514" t="s">
        <v>57</v>
      </c>
    </row>
    <row r="1515" ht="25.5" customHeight="1" spans="1:20">
      <c r="A1515" t="s">
        <v>2507</v>
      </c>
      <c r="B1515" t="s">
        <v>56</v>
      </c>
      <c r="C1515" t="s">
        <v>4104</v>
      </c>
      <c r="D1515" s="3"/>
      <c r="E1515" s="2">
        <v>45683</v>
      </c>
      <c r="F1515">
        <v>32100</v>
      </c>
      <c r="G1515">
        <v>3456</v>
      </c>
      <c r="H1515">
        <v>55</v>
      </c>
      <c r="I1515">
        <v>10</v>
      </c>
      <c r="J1515">
        <v>21</v>
      </c>
      <c r="K1515">
        <v>4</v>
      </c>
      <c r="L1515" t="s">
        <v>3281</v>
      </c>
      <c r="M1515" t="s">
        <v>3378</v>
      </c>
      <c r="N1515" t="s">
        <v>1630</v>
      </c>
      <c r="O1515" s="4">
        <v>45683.7718171296</v>
      </c>
      <c r="P1515" t="s">
        <v>57</v>
      </c>
      <c r="Q1515" t="s">
        <v>2510</v>
      </c>
      <c r="R1515" t="s">
        <v>3549</v>
      </c>
      <c r="T1515" t="s">
        <v>57</v>
      </c>
    </row>
    <row r="1516" ht="25.5" customHeight="1" spans="1:20">
      <c r="A1516" t="s">
        <v>2507</v>
      </c>
      <c r="B1516" t="s">
        <v>56</v>
      </c>
      <c r="C1516" t="s">
        <v>4104</v>
      </c>
      <c r="D1516" s="3"/>
      <c r="E1516" s="2">
        <v>45684</v>
      </c>
      <c r="F1516">
        <v>32200</v>
      </c>
      <c r="G1516">
        <v>3520</v>
      </c>
      <c r="H1516">
        <v>56</v>
      </c>
      <c r="I1516">
        <v>10</v>
      </c>
      <c r="J1516">
        <v>21</v>
      </c>
      <c r="K1516">
        <v>4</v>
      </c>
      <c r="L1516" t="s">
        <v>3281</v>
      </c>
      <c r="M1516" t="s">
        <v>3378</v>
      </c>
      <c r="N1516" t="s">
        <v>1630</v>
      </c>
      <c r="O1516" s="4">
        <v>45684.8501967593</v>
      </c>
      <c r="P1516" t="s">
        <v>57</v>
      </c>
      <c r="Q1516" t="s">
        <v>2510</v>
      </c>
      <c r="R1516" t="s">
        <v>3772</v>
      </c>
      <c r="T1516" t="s">
        <v>57</v>
      </c>
    </row>
    <row r="1517" ht="25.5" customHeight="1" spans="1:20">
      <c r="A1517" t="s">
        <v>2507</v>
      </c>
      <c r="B1517" t="s">
        <v>56</v>
      </c>
      <c r="C1517" t="s">
        <v>4104</v>
      </c>
      <c r="D1517" s="3"/>
      <c r="E1517" s="2">
        <v>45693</v>
      </c>
      <c r="F1517">
        <v>32600</v>
      </c>
      <c r="G1517">
        <v>4151</v>
      </c>
      <c r="H1517">
        <v>62</v>
      </c>
      <c r="I1517">
        <v>10</v>
      </c>
      <c r="J1517">
        <v>22</v>
      </c>
      <c r="K1517">
        <v>4</v>
      </c>
      <c r="L1517" t="s">
        <v>3281</v>
      </c>
      <c r="M1517" t="s">
        <v>3378</v>
      </c>
      <c r="N1517" t="s">
        <v>1630</v>
      </c>
      <c r="O1517" s="4">
        <v>45693.8254976852</v>
      </c>
      <c r="P1517" t="s">
        <v>57</v>
      </c>
      <c r="Q1517" t="s">
        <v>2510</v>
      </c>
      <c r="R1517" t="s">
        <v>4029</v>
      </c>
      <c r="T1517" t="s">
        <v>57</v>
      </c>
    </row>
    <row r="1518" ht="25.5" customHeight="1" spans="1:20">
      <c r="A1518" t="s">
        <v>2507</v>
      </c>
      <c r="B1518" t="s">
        <v>56</v>
      </c>
      <c r="C1518" t="s">
        <v>4104</v>
      </c>
      <c r="D1518" s="3"/>
      <c r="E1518" s="2">
        <v>45694</v>
      </c>
      <c r="F1518">
        <v>32600</v>
      </c>
      <c r="G1518">
        <v>4181</v>
      </c>
      <c r="H1518">
        <v>62</v>
      </c>
      <c r="I1518">
        <v>10</v>
      </c>
      <c r="J1518">
        <v>22</v>
      </c>
      <c r="K1518">
        <v>4</v>
      </c>
      <c r="L1518" t="s">
        <v>3281</v>
      </c>
      <c r="M1518" t="s">
        <v>3378</v>
      </c>
      <c r="N1518" t="s">
        <v>1630</v>
      </c>
      <c r="O1518" s="4">
        <v>45698.6216782407</v>
      </c>
      <c r="P1518" t="s">
        <v>57</v>
      </c>
      <c r="Q1518" t="s">
        <v>2510</v>
      </c>
      <c r="R1518" t="s">
        <v>4029</v>
      </c>
      <c r="S1518" t="s">
        <v>3180</v>
      </c>
      <c r="T1518" t="s">
        <v>57</v>
      </c>
    </row>
    <row r="1519" ht="25.5" customHeight="1" spans="1:20">
      <c r="A1519" t="s">
        <v>2666</v>
      </c>
      <c r="B1519" t="s">
        <v>65</v>
      </c>
      <c r="C1519" t="s">
        <v>4105</v>
      </c>
      <c r="D1519" s="3" t="str">
        <f>HYPERLINK("https://www.instagram.com/python4dev/","https://www.instagram.com/python4dev/")</f>
        <v>https://www.instagram.com/python4dev/</v>
      </c>
      <c r="E1519" s="2">
        <v>45664</v>
      </c>
      <c r="F1519">
        <v>355000</v>
      </c>
      <c r="H1519">
        <v>0</v>
      </c>
      <c r="I1519">
        <v>0</v>
      </c>
      <c r="L1519" t="s">
        <v>3138</v>
      </c>
      <c r="M1519" t="s">
        <v>4106</v>
      </c>
      <c r="N1519" t="s">
        <v>1630</v>
      </c>
      <c r="O1519" s="4">
        <v>45694.7072800926</v>
      </c>
      <c r="P1519" t="s">
        <v>66</v>
      </c>
      <c r="Q1519" t="s">
        <v>97</v>
      </c>
      <c r="R1519" t="s">
        <v>3133</v>
      </c>
      <c r="T1519" t="s">
        <v>66</v>
      </c>
    </row>
    <row r="1520" ht="25.5" customHeight="1" spans="1:20">
      <c r="A1520" t="s">
        <v>2666</v>
      </c>
      <c r="B1520" t="s">
        <v>65</v>
      </c>
      <c r="C1520" t="s">
        <v>4105</v>
      </c>
      <c r="D1520" s="3"/>
      <c r="E1520" s="2">
        <v>45670</v>
      </c>
      <c r="F1520">
        <v>357000</v>
      </c>
      <c r="H1520">
        <v>0</v>
      </c>
      <c r="I1520">
        <v>0</v>
      </c>
      <c r="L1520" t="s">
        <v>3138</v>
      </c>
      <c r="M1520" t="s">
        <v>4106</v>
      </c>
      <c r="N1520" t="s">
        <v>1630</v>
      </c>
      <c r="O1520" s="4">
        <v>45694.7072800926</v>
      </c>
      <c r="P1520" t="s">
        <v>66</v>
      </c>
      <c r="Q1520" t="s">
        <v>97</v>
      </c>
      <c r="R1520" t="s">
        <v>3133</v>
      </c>
      <c r="T1520" t="s">
        <v>66</v>
      </c>
    </row>
    <row r="1521" ht="25.5" customHeight="1" spans="1:20">
      <c r="A1521" t="s">
        <v>2666</v>
      </c>
      <c r="B1521" t="s">
        <v>65</v>
      </c>
      <c r="C1521" t="s">
        <v>4105</v>
      </c>
      <c r="D1521" s="3"/>
      <c r="E1521" s="2">
        <v>45671</v>
      </c>
      <c r="F1521">
        <v>357000</v>
      </c>
      <c r="H1521">
        <v>0</v>
      </c>
      <c r="I1521">
        <v>0</v>
      </c>
      <c r="L1521" t="s">
        <v>3138</v>
      </c>
      <c r="M1521" t="s">
        <v>4106</v>
      </c>
      <c r="N1521" t="s">
        <v>1630</v>
      </c>
      <c r="O1521" s="4">
        <v>45694.7072800926</v>
      </c>
      <c r="P1521" t="s">
        <v>66</v>
      </c>
      <c r="Q1521" t="s">
        <v>97</v>
      </c>
      <c r="R1521" t="s">
        <v>3133</v>
      </c>
      <c r="T1521" t="s">
        <v>66</v>
      </c>
    </row>
    <row r="1522" ht="25.5" customHeight="1" spans="1:20">
      <c r="A1522" t="s">
        <v>2666</v>
      </c>
      <c r="B1522" t="s">
        <v>65</v>
      </c>
      <c r="C1522" t="s">
        <v>4105</v>
      </c>
      <c r="D1522" s="3"/>
      <c r="E1522" s="2">
        <v>45672</v>
      </c>
      <c r="F1522">
        <v>357000</v>
      </c>
      <c r="G1522">
        <v>37593</v>
      </c>
      <c r="H1522">
        <v>0</v>
      </c>
      <c r="I1522">
        <v>0</v>
      </c>
      <c r="J1522">
        <v>0</v>
      </c>
      <c r="K1522">
        <v>0</v>
      </c>
      <c r="L1522" t="s">
        <v>3138</v>
      </c>
      <c r="M1522" t="s">
        <v>4106</v>
      </c>
      <c r="N1522" t="s">
        <v>1630</v>
      </c>
      <c r="O1522" s="4">
        <v>45695.6504166667</v>
      </c>
      <c r="P1522" t="s">
        <v>66</v>
      </c>
      <c r="Q1522" t="s">
        <v>97</v>
      </c>
      <c r="R1522" t="s">
        <v>3133</v>
      </c>
      <c r="T1522" t="s">
        <v>66</v>
      </c>
    </row>
    <row r="1523" ht="25.5" customHeight="1" spans="1:20">
      <c r="A1523" t="s">
        <v>2666</v>
      </c>
      <c r="B1523" t="s">
        <v>65</v>
      </c>
      <c r="C1523" t="s">
        <v>4105</v>
      </c>
      <c r="D1523" s="3"/>
      <c r="E1523" s="2">
        <v>45673</v>
      </c>
      <c r="F1523">
        <v>358000</v>
      </c>
      <c r="G1523">
        <v>37593</v>
      </c>
      <c r="H1523">
        <v>336</v>
      </c>
      <c r="I1523">
        <v>1</v>
      </c>
      <c r="J1523">
        <v>369</v>
      </c>
      <c r="K1523">
        <v>221</v>
      </c>
      <c r="L1523" t="s">
        <v>3138</v>
      </c>
      <c r="M1523" t="s">
        <v>4106</v>
      </c>
      <c r="N1523" t="s">
        <v>1630</v>
      </c>
      <c r="O1523" s="4">
        <v>45695.6505324074</v>
      </c>
      <c r="P1523" t="s">
        <v>66</v>
      </c>
      <c r="Q1523" t="s">
        <v>97</v>
      </c>
      <c r="R1523" t="s">
        <v>3678</v>
      </c>
      <c r="T1523" t="s">
        <v>66</v>
      </c>
    </row>
    <row r="1524" ht="25.5" customHeight="1" spans="1:20">
      <c r="A1524" t="s">
        <v>2666</v>
      </c>
      <c r="B1524" t="s">
        <v>65</v>
      </c>
      <c r="C1524" t="s">
        <v>4105</v>
      </c>
      <c r="D1524" s="3"/>
      <c r="E1524" s="2">
        <v>45674</v>
      </c>
      <c r="F1524">
        <v>358000</v>
      </c>
      <c r="G1524">
        <v>37593</v>
      </c>
      <c r="H1524">
        <v>339</v>
      </c>
      <c r="I1524">
        <v>1</v>
      </c>
      <c r="J1524">
        <v>369</v>
      </c>
      <c r="K1524">
        <v>221</v>
      </c>
      <c r="L1524" t="s">
        <v>3138</v>
      </c>
      <c r="M1524" t="s">
        <v>4106</v>
      </c>
      <c r="N1524" t="s">
        <v>1630</v>
      </c>
      <c r="O1524" s="4">
        <v>45695.6505555556</v>
      </c>
      <c r="P1524" t="s">
        <v>66</v>
      </c>
      <c r="Q1524" t="s">
        <v>97</v>
      </c>
      <c r="R1524" t="s">
        <v>4107</v>
      </c>
      <c r="T1524" t="s">
        <v>66</v>
      </c>
    </row>
    <row r="1525" ht="25.5" customHeight="1" spans="1:20">
      <c r="A1525" t="s">
        <v>2666</v>
      </c>
      <c r="B1525" t="s">
        <v>65</v>
      </c>
      <c r="C1525" t="s">
        <v>4105</v>
      </c>
      <c r="D1525" s="3"/>
      <c r="E1525" s="2">
        <v>45677</v>
      </c>
      <c r="F1525">
        <v>359000</v>
      </c>
      <c r="G1525">
        <v>37593</v>
      </c>
      <c r="H1525">
        <v>348</v>
      </c>
      <c r="I1525">
        <v>1</v>
      </c>
      <c r="J1525">
        <v>369</v>
      </c>
      <c r="K1525">
        <v>221</v>
      </c>
      <c r="L1525" t="s">
        <v>3138</v>
      </c>
      <c r="M1525" t="s">
        <v>4106</v>
      </c>
      <c r="N1525" t="s">
        <v>1630</v>
      </c>
      <c r="O1525" s="4">
        <v>45695.6505671296</v>
      </c>
      <c r="P1525" t="s">
        <v>66</v>
      </c>
      <c r="Q1525" t="s">
        <v>97</v>
      </c>
      <c r="R1525" t="s">
        <v>3680</v>
      </c>
      <c r="T1525" t="s">
        <v>66</v>
      </c>
    </row>
    <row r="1526" ht="25.5" customHeight="1" spans="1:20">
      <c r="A1526" t="s">
        <v>2666</v>
      </c>
      <c r="B1526" t="s">
        <v>65</v>
      </c>
      <c r="C1526" t="s">
        <v>4105</v>
      </c>
      <c r="D1526" s="3"/>
      <c r="E1526" s="2">
        <v>45678</v>
      </c>
      <c r="F1526">
        <v>359000</v>
      </c>
      <c r="G1526">
        <v>37593</v>
      </c>
      <c r="H1526">
        <v>348</v>
      </c>
      <c r="I1526">
        <v>1</v>
      </c>
      <c r="J1526">
        <v>369</v>
      </c>
      <c r="K1526">
        <v>221</v>
      </c>
      <c r="L1526" t="s">
        <v>3138</v>
      </c>
      <c r="M1526" t="s">
        <v>4106</v>
      </c>
      <c r="N1526" t="s">
        <v>1630</v>
      </c>
      <c r="O1526" s="4">
        <v>45695.6505902778</v>
      </c>
      <c r="P1526" t="s">
        <v>66</v>
      </c>
      <c r="Q1526" t="s">
        <v>97</v>
      </c>
      <c r="R1526" t="s">
        <v>3680</v>
      </c>
      <c r="T1526" t="s">
        <v>66</v>
      </c>
    </row>
    <row r="1527" ht="25.5" customHeight="1" spans="1:20">
      <c r="A1527" t="s">
        <v>2666</v>
      </c>
      <c r="B1527" t="s">
        <v>65</v>
      </c>
      <c r="C1527" t="s">
        <v>4105</v>
      </c>
      <c r="D1527" s="3"/>
      <c r="E1527" s="2">
        <v>45679</v>
      </c>
      <c r="F1527">
        <v>359000</v>
      </c>
      <c r="G1527">
        <v>37593</v>
      </c>
      <c r="H1527">
        <v>349</v>
      </c>
      <c r="I1527">
        <v>1</v>
      </c>
      <c r="J1527">
        <v>369</v>
      </c>
      <c r="K1527">
        <v>221</v>
      </c>
      <c r="L1527" t="s">
        <v>3138</v>
      </c>
      <c r="M1527" t="s">
        <v>4106</v>
      </c>
      <c r="N1527" t="s">
        <v>1630</v>
      </c>
      <c r="O1527" s="4">
        <v>45695.6505902778</v>
      </c>
      <c r="P1527" t="s">
        <v>66</v>
      </c>
      <c r="Q1527" t="s">
        <v>97</v>
      </c>
      <c r="R1527" t="s">
        <v>4108</v>
      </c>
      <c r="T1527" t="s">
        <v>66</v>
      </c>
    </row>
    <row r="1528" ht="25.5" customHeight="1" spans="1:20">
      <c r="A1528" t="s">
        <v>2666</v>
      </c>
      <c r="B1528" t="s">
        <v>65</v>
      </c>
      <c r="C1528" t="s">
        <v>4105</v>
      </c>
      <c r="D1528" s="3"/>
      <c r="E1528" s="2">
        <v>45680</v>
      </c>
      <c r="F1528">
        <v>359000</v>
      </c>
      <c r="G1528">
        <v>37593</v>
      </c>
      <c r="H1528">
        <v>350</v>
      </c>
      <c r="I1528">
        <v>1</v>
      </c>
      <c r="J1528">
        <v>369</v>
      </c>
      <c r="K1528">
        <v>221</v>
      </c>
      <c r="L1528" t="s">
        <v>3138</v>
      </c>
      <c r="M1528" t="s">
        <v>4106</v>
      </c>
      <c r="N1528" t="s">
        <v>1630</v>
      </c>
      <c r="O1528" s="4">
        <v>45695.6506018518</v>
      </c>
      <c r="P1528" t="s">
        <v>66</v>
      </c>
      <c r="Q1528" t="s">
        <v>97</v>
      </c>
      <c r="R1528" t="s">
        <v>4109</v>
      </c>
      <c r="T1528" t="s">
        <v>66</v>
      </c>
    </row>
    <row r="1529" ht="25.5" customHeight="1" spans="1:20">
      <c r="A1529" t="s">
        <v>2666</v>
      </c>
      <c r="B1529" t="s">
        <v>65</v>
      </c>
      <c r="C1529" t="s">
        <v>4105</v>
      </c>
      <c r="D1529" s="3"/>
      <c r="E1529" s="2">
        <v>45681</v>
      </c>
      <c r="F1529">
        <v>360000</v>
      </c>
      <c r="G1529">
        <v>37593</v>
      </c>
      <c r="H1529">
        <v>351</v>
      </c>
      <c r="I1529">
        <v>1</v>
      </c>
      <c r="J1529">
        <v>369</v>
      </c>
      <c r="K1529">
        <v>221</v>
      </c>
      <c r="L1529" t="s">
        <v>3138</v>
      </c>
      <c r="M1529" t="s">
        <v>4106</v>
      </c>
      <c r="N1529" t="s">
        <v>1630</v>
      </c>
      <c r="O1529" s="4">
        <v>45695.6506018518</v>
      </c>
      <c r="P1529" t="s">
        <v>66</v>
      </c>
      <c r="Q1529" t="s">
        <v>97</v>
      </c>
      <c r="R1529" t="s">
        <v>4110</v>
      </c>
      <c r="T1529" t="s">
        <v>66</v>
      </c>
    </row>
    <row r="1530" ht="25.5" customHeight="1" spans="1:20">
      <c r="A1530" t="s">
        <v>2666</v>
      </c>
      <c r="B1530" t="s">
        <v>65</v>
      </c>
      <c r="C1530" t="s">
        <v>4105</v>
      </c>
      <c r="D1530" s="3"/>
      <c r="E1530" s="2">
        <v>45683</v>
      </c>
      <c r="F1530">
        <v>361000</v>
      </c>
      <c r="G1530">
        <v>37593</v>
      </c>
      <c r="H1530">
        <v>354</v>
      </c>
      <c r="I1530">
        <v>1</v>
      </c>
      <c r="J1530">
        <v>369</v>
      </c>
      <c r="K1530">
        <v>221</v>
      </c>
      <c r="L1530" t="s">
        <v>3138</v>
      </c>
      <c r="M1530" t="s">
        <v>4106</v>
      </c>
      <c r="N1530" t="s">
        <v>1630</v>
      </c>
      <c r="O1530" s="4">
        <v>45695.650625</v>
      </c>
      <c r="P1530" t="s">
        <v>66</v>
      </c>
      <c r="Q1530" t="s">
        <v>97</v>
      </c>
      <c r="R1530" t="s">
        <v>4111</v>
      </c>
      <c r="T1530" t="s">
        <v>66</v>
      </c>
    </row>
    <row r="1531" ht="25.5" customHeight="1" spans="1:20">
      <c r="A1531" t="s">
        <v>2666</v>
      </c>
      <c r="B1531" t="s">
        <v>65</v>
      </c>
      <c r="C1531" t="s">
        <v>4105</v>
      </c>
      <c r="D1531" s="3"/>
      <c r="E1531" s="2">
        <v>45684</v>
      </c>
      <c r="F1531">
        <v>362000</v>
      </c>
      <c r="G1531">
        <v>37593</v>
      </c>
      <c r="H1531">
        <v>354</v>
      </c>
      <c r="I1531">
        <v>1</v>
      </c>
      <c r="J1531">
        <v>369</v>
      </c>
      <c r="K1531">
        <v>221</v>
      </c>
      <c r="L1531" t="s">
        <v>3138</v>
      </c>
      <c r="M1531" t="s">
        <v>4106</v>
      </c>
      <c r="N1531" t="s">
        <v>1630</v>
      </c>
      <c r="O1531" s="4">
        <v>45695.650625</v>
      </c>
      <c r="P1531" t="s">
        <v>66</v>
      </c>
      <c r="Q1531" t="s">
        <v>97</v>
      </c>
      <c r="R1531" t="s">
        <v>4111</v>
      </c>
      <c r="T1531" t="s">
        <v>66</v>
      </c>
    </row>
    <row r="1532" ht="25.5" customHeight="1" spans="1:20">
      <c r="A1532" t="s">
        <v>2666</v>
      </c>
      <c r="B1532" t="s">
        <v>65</v>
      </c>
      <c r="C1532" t="s">
        <v>4105</v>
      </c>
      <c r="D1532" s="3"/>
      <c r="E1532" s="2">
        <v>45693</v>
      </c>
      <c r="F1532">
        <v>367000</v>
      </c>
      <c r="G1532">
        <v>37593</v>
      </c>
      <c r="H1532">
        <v>358</v>
      </c>
      <c r="I1532">
        <v>1</v>
      </c>
      <c r="J1532">
        <v>369</v>
      </c>
      <c r="K1532">
        <v>221</v>
      </c>
      <c r="L1532" t="s">
        <v>3138</v>
      </c>
      <c r="M1532" t="s">
        <v>4106</v>
      </c>
      <c r="N1532" t="s">
        <v>1630</v>
      </c>
      <c r="O1532" s="4">
        <v>45695.650625</v>
      </c>
      <c r="P1532" t="s">
        <v>66</v>
      </c>
      <c r="Q1532" t="s">
        <v>97</v>
      </c>
      <c r="R1532" t="s">
        <v>3348</v>
      </c>
      <c r="T1532" t="s">
        <v>66</v>
      </c>
    </row>
    <row r="1533" ht="25.5" customHeight="1" spans="1:20">
      <c r="A1533" t="s">
        <v>2666</v>
      </c>
      <c r="B1533" t="s">
        <v>65</v>
      </c>
      <c r="C1533" t="s">
        <v>4105</v>
      </c>
      <c r="D1533" s="3"/>
      <c r="E1533" s="2">
        <v>45694</v>
      </c>
      <c r="F1533">
        <v>367000</v>
      </c>
      <c r="G1533">
        <v>37593</v>
      </c>
      <c r="H1533">
        <v>359</v>
      </c>
      <c r="I1533">
        <v>1</v>
      </c>
      <c r="J1533">
        <v>369</v>
      </c>
      <c r="K1533">
        <v>221</v>
      </c>
      <c r="L1533" t="s">
        <v>3138</v>
      </c>
      <c r="M1533" t="s">
        <v>4106</v>
      </c>
      <c r="N1533" t="s">
        <v>1630</v>
      </c>
      <c r="O1533" s="4">
        <v>45698.6216782407</v>
      </c>
      <c r="P1533" t="s">
        <v>66</v>
      </c>
      <c r="Q1533" t="s">
        <v>97</v>
      </c>
      <c r="R1533" t="s">
        <v>3349</v>
      </c>
      <c r="S1533" t="s">
        <v>3245</v>
      </c>
      <c r="T1533" t="s">
        <v>66</v>
      </c>
    </row>
    <row r="1534" ht="25.5" customHeight="1" spans="1:20">
      <c r="A1534" t="s">
        <v>2666</v>
      </c>
      <c r="B1534" t="s">
        <v>65</v>
      </c>
      <c r="C1534" t="s">
        <v>4105</v>
      </c>
      <c r="D1534" s="3"/>
      <c r="E1534" s="2">
        <v>45695</v>
      </c>
      <c r="F1534">
        <v>368000</v>
      </c>
      <c r="G1534">
        <v>37593</v>
      </c>
      <c r="H1534">
        <v>360</v>
      </c>
      <c r="I1534">
        <v>1</v>
      </c>
      <c r="J1534">
        <v>369</v>
      </c>
      <c r="K1534">
        <v>221</v>
      </c>
      <c r="L1534" t="s">
        <v>3138</v>
      </c>
      <c r="M1534" t="s">
        <v>4106</v>
      </c>
      <c r="N1534" t="s">
        <v>1630</v>
      </c>
      <c r="O1534" s="4">
        <v>45695.650625</v>
      </c>
      <c r="P1534" t="s">
        <v>66</v>
      </c>
      <c r="Q1534" t="s">
        <v>97</v>
      </c>
      <c r="R1534" t="s">
        <v>4112</v>
      </c>
      <c r="T1534" t="s">
        <v>66</v>
      </c>
    </row>
    <row r="1535" ht="25.5" customHeight="1" spans="1:20">
      <c r="A1535" t="s">
        <v>2937</v>
      </c>
      <c r="B1535" t="s">
        <v>56</v>
      </c>
      <c r="C1535" t="s">
        <v>4113</v>
      </c>
      <c r="D1535" s="3"/>
      <c r="E1535" s="2">
        <v>45673</v>
      </c>
      <c r="F1535">
        <v>682100</v>
      </c>
      <c r="G1535">
        <v>4839</v>
      </c>
      <c r="H1535">
        <v>562</v>
      </c>
      <c r="I1535">
        <v>15</v>
      </c>
      <c r="J1535">
        <v>60</v>
      </c>
      <c r="K1535">
        <v>7</v>
      </c>
      <c r="L1535" t="s">
        <v>3612</v>
      </c>
      <c r="M1535" t="s">
        <v>3270</v>
      </c>
      <c r="N1535" t="s">
        <v>1630</v>
      </c>
      <c r="O1535" s="4">
        <v>45673.7308101852</v>
      </c>
      <c r="P1535" t="s">
        <v>57</v>
      </c>
      <c r="Q1535" t="s">
        <v>1753</v>
      </c>
      <c r="R1535" t="s">
        <v>4114</v>
      </c>
      <c r="T1535" t="s">
        <v>57</v>
      </c>
    </row>
    <row r="1536" ht="25.5" customHeight="1" spans="1:20">
      <c r="A1536" t="s">
        <v>2937</v>
      </c>
      <c r="B1536" t="s">
        <v>56</v>
      </c>
      <c r="C1536" t="s">
        <v>4113</v>
      </c>
      <c r="D1536" s="3"/>
      <c r="E1536" s="2">
        <v>45674</v>
      </c>
      <c r="F1536">
        <v>682100</v>
      </c>
      <c r="G1536">
        <v>6618</v>
      </c>
      <c r="H1536">
        <v>758</v>
      </c>
      <c r="I1536">
        <v>22</v>
      </c>
      <c r="J1536">
        <v>91</v>
      </c>
      <c r="K1536">
        <v>8</v>
      </c>
      <c r="L1536" t="s">
        <v>3612</v>
      </c>
      <c r="M1536" t="s">
        <v>3270</v>
      </c>
      <c r="N1536" t="s">
        <v>1630</v>
      </c>
      <c r="O1536" s="4">
        <v>45674.6747916667</v>
      </c>
      <c r="P1536" t="s">
        <v>57</v>
      </c>
      <c r="Q1536" t="s">
        <v>1753</v>
      </c>
      <c r="R1536" t="s">
        <v>3696</v>
      </c>
      <c r="T1536" t="s">
        <v>57</v>
      </c>
    </row>
    <row r="1537" ht="25.5" customHeight="1" spans="1:20">
      <c r="A1537" t="s">
        <v>2937</v>
      </c>
      <c r="B1537" t="s">
        <v>56</v>
      </c>
      <c r="C1537" t="s">
        <v>4113</v>
      </c>
      <c r="D1537" s="3"/>
      <c r="E1537" s="2">
        <v>45677</v>
      </c>
      <c r="F1537">
        <v>682300</v>
      </c>
      <c r="G1537">
        <v>8737</v>
      </c>
      <c r="H1537">
        <v>912</v>
      </c>
      <c r="I1537">
        <v>22</v>
      </c>
      <c r="J1537">
        <v>119</v>
      </c>
      <c r="K1537">
        <v>9</v>
      </c>
      <c r="L1537" t="s">
        <v>3298</v>
      </c>
      <c r="M1537" t="s">
        <v>3270</v>
      </c>
      <c r="N1537" t="s">
        <v>1630</v>
      </c>
      <c r="O1537" s="4">
        <v>45677.4346759259</v>
      </c>
      <c r="P1537" t="s">
        <v>57</v>
      </c>
      <c r="Q1537" t="s">
        <v>1753</v>
      </c>
      <c r="R1537" t="s">
        <v>3812</v>
      </c>
      <c r="T1537" t="s">
        <v>57</v>
      </c>
    </row>
    <row r="1538" ht="25.5" customHeight="1" spans="1:20">
      <c r="A1538" t="s">
        <v>2937</v>
      </c>
      <c r="B1538" t="s">
        <v>56</v>
      </c>
      <c r="C1538" t="s">
        <v>4113</v>
      </c>
      <c r="D1538" s="3"/>
      <c r="E1538" s="2">
        <v>45678</v>
      </c>
      <c r="F1538">
        <v>682200</v>
      </c>
      <c r="G1538">
        <v>9145</v>
      </c>
      <c r="H1538">
        <v>933</v>
      </c>
      <c r="I1538">
        <v>22</v>
      </c>
      <c r="J1538">
        <v>119</v>
      </c>
      <c r="K1538">
        <v>9</v>
      </c>
      <c r="L1538" t="s">
        <v>3298</v>
      </c>
      <c r="M1538" t="s">
        <v>3270</v>
      </c>
      <c r="N1538" t="s">
        <v>1630</v>
      </c>
      <c r="O1538" s="4">
        <v>45678.6398958333</v>
      </c>
      <c r="P1538" t="s">
        <v>57</v>
      </c>
      <c r="Q1538" t="s">
        <v>1753</v>
      </c>
      <c r="R1538" t="s">
        <v>4115</v>
      </c>
      <c r="T1538" t="s">
        <v>57</v>
      </c>
    </row>
    <row r="1539" ht="25.5" customHeight="1" spans="1:20">
      <c r="A1539" t="s">
        <v>2937</v>
      </c>
      <c r="B1539" t="s">
        <v>56</v>
      </c>
      <c r="C1539" t="s">
        <v>4113</v>
      </c>
      <c r="D1539" s="3"/>
      <c r="E1539" s="2">
        <v>45679</v>
      </c>
      <c r="F1539">
        <v>682200</v>
      </c>
      <c r="G1539">
        <v>9525</v>
      </c>
      <c r="H1539">
        <v>958</v>
      </c>
      <c r="I1539">
        <v>22</v>
      </c>
      <c r="J1539">
        <v>124</v>
      </c>
      <c r="K1539">
        <v>10</v>
      </c>
      <c r="L1539" t="s">
        <v>3260</v>
      </c>
      <c r="M1539" t="s">
        <v>3270</v>
      </c>
      <c r="N1539" t="s">
        <v>1630</v>
      </c>
      <c r="O1539" s="4">
        <v>45679.6962384259</v>
      </c>
      <c r="P1539" t="s">
        <v>57</v>
      </c>
      <c r="Q1539" t="s">
        <v>1753</v>
      </c>
      <c r="R1539" t="s">
        <v>3200</v>
      </c>
      <c r="T1539" t="s">
        <v>57</v>
      </c>
    </row>
    <row r="1540" ht="25.5" customHeight="1" spans="1:20">
      <c r="A1540" t="s">
        <v>2937</v>
      </c>
      <c r="B1540" t="s">
        <v>56</v>
      </c>
      <c r="C1540" t="s">
        <v>4113</v>
      </c>
      <c r="D1540" s="3"/>
      <c r="E1540" s="2">
        <v>45680</v>
      </c>
      <c r="F1540">
        <v>682300</v>
      </c>
      <c r="G1540">
        <v>9834</v>
      </c>
      <c r="H1540">
        <v>969</v>
      </c>
      <c r="I1540">
        <v>22</v>
      </c>
      <c r="J1540">
        <v>124</v>
      </c>
      <c r="K1540">
        <v>10</v>
      </c>
      <c r="L1540" t="s">
        <v>3260</v>
      </c>
      <c r="M1540" t="s">
        <v>3270</v>
      </c>
      <c r="N1540" t="s">
        <v>1630</v>
      </c>
      <c r="O1540" s="4">
        <v>45680.6546527778</v>
      </c>
      <c r="P1540" t="s">
        <v>57</v>
      </c>
      <c r="Q1540" t="s">
        <v>1753</v>
      </c>
      <c r="R1540" t="s">
        <v>4116</v>
      </c>
      <c r="T1540" t="s">
        <v>57</v>
      </c>
    </row>
    <row r="1541" ht="25.5" customHeight="1" spans="1:20">
      <c r="A1541" t="s">
        <v>2937</v>
      </c>
      <c r="B1541" t="s">
        <v>56</v>
      </c>
      <c r="C1541" t="s">
        <v>4113</v>
      </c>
      <c r="D1541" s="3"/>
      <c r="E1541" s="2">
        <v>45681</v>
      </c>
      <c r="F1541">
        <v>682300</v>
      </c>
      <c r="G1541">
        <v>10100</v>
      </c>
      <c r="H1541">
        <v>980</v>
      </c>
      <c r="I1541">
        <v>23</v>
      </c>
      <c r="J1541">
        <v>125</v>
      </c>
      <c r="K1541">
        <v>10</v>
      </c>
      <c r="L1541" t="s">
        <v>3260</v>
      </c>
      <c r="M1541" t="s">
        <v>3270</v>
      </c>
      <c r="N1541" t="s">
        <v>1630</v>
      </c>
      <c r="O1541" s="4">
        <v>45681.6415509259</v>
      </c>
      <c r="P1541" t="s">
        <v>57</v>
      </c>
      <c r="Q1541" t="s">
        <v>1753</v>
      </c>
      <c r="R1541" t="s">
        <v>4117</v>
      </c>
      <c r="T1541" t="s">
        <v>57</v>
      </c>
    </row>
    <row r="1542" ht="25.5" customHeight="1" spans="1:20">
      <c r="A1542" t="s">
        <v>2937</v>
      </c>
      <c r="B1542" t="s">
        <v>56</v>
      </c>
      <c r="C1542" t="s">
        <v>4113</v>
      </c>
      <c r="D1542" s="3"/>
      <c r="E1542" s="2">
        <v>45683</v>
      </c>
      <c r="F1542">
        <v>682200</v>
      </c>
      <c r="G1542">
        <v>10800</v>
      </c>
      <c r="H1542">
        <v>1007</v>
      </c>
      <c r="I1542">
        <v>23</v>
      </c>
      <c r="J1542">
        <v>127</v>
      </c>
      <c r="K1542">
        <v>10</v>
      </c>
      <c r="L1542" t="s">
        <v>3260</v>
      </c>
      <c r="M1542" t="s">
        <v>3270</v>
      </c>
      <c r="N1542" t="s">
        <v>1630</v>
      </c>
      <c r="O1542" s="4">
        <v>45683.7721296296</v>
      </c>
      <c r="P1542" t="s">
        <v>57</v>
      </c>
      <c r="Q1542" t="s">
        <v>1753</v>
      </c>
      <c r="R1542" t="s">
        <v>4118</v>
      </c>
      <c r="T1542" t="s">
        <v>57</v>
      </c>
    </row>
    <row r="1543" ht="25.5" customHeight="1" spans="1:20">
      <c r="A1543" t="s">
        <v>2937</v>
      </c>
      <c r="B1543" t="s">
        <v>56</v>
      </c>
      <c r="C1543" t="s">
        <v>4113</v>
      </c>
      <c r="D1543" s="3"/>
      <c r="E1543" s="2">
        <v>45684</v>
      </c>
      <c r="F1543">
        <v>682300</v>
      </c>
      <c r="G1543">
        <v>11200</v>
      </c>
      <c r="H1543">
        <v>1017</v>
      </c>
      <c r="I1543">
        <v>23</v>
      </c>
      <c r="J1543">
        <v>132</v>
      </c>
      <c r="K1543">
        <v>10</v>
      </c>
      <c r="L1543" t="s">
        <v>3230</v>
      </c>
      <c r="M1543" t="s">
        <v>3270</v>
      </c>
      <c r="N1543" t="s">
        <v>1630</v>
      </c>
      <c r="O1543" s="4">
        <v>45684.8506712963</v>
      </c>
      <c r="P1543" t="s">
        <v>57</v>
      </c>
      <c r="Q1543" t="s">
        <v>1753</v>
      </c>
      <c r="R1543" t="s">
        <v>4119</v>
      </c>
      <c r="T1543" t="s">
        <v>57</v>
      </c>
    </row>
    <row r="1544" ht="25.5" customHeight="1" spans="1:20">
      <c r="A1544" t="s">
        <v>2937</v>
      </c>
      <c r="B1544" t="s">
        <v>56</v>
      </c>
      <c r="C1544" t="s">
        <v>4113</v>
      </c>
      <c r="D1544" s="3"/>
      <c r="E1544" s="2">
        <v>45693</v>
      </c>
      <c r="F1544">
        <v>683300</v>
      </c>
      <c r="G1544">
        <v>14500</v>
      </c>
      <c r="H1544">
        <v>1192</v>
      </c>
      <c r="I1544">
        <v>26</v>
      </c>
      <c r="J1544">
        <v>159</v>
      </c>
      <c r="K1544">
        <v>10</v>
      </c>
      <c r="L1544" t="s">
        <v>3317</v>
      </c>
      <c r="M1544" t="s">
        <v>3270</v>
      </c>
      <c r="N1544" t="s">
        <v>1630</v>
      </c>
      <c r="O1544" s="4">
        <v>45693.8250347222</v>
      </c>
      <c r="P1544" t="s">
        <v>57</v>
      </c>
      <c r="Q1544" t="s">
        <v>1753</v>
      </c>
      <c r="R1544" t="s">
        <v>4120</v>
      </c>
      <c r="T1544" t="s">
        <v>57</v>
      </c>
    </row>
    <row r="1545" ht="25.5" customHeight="1" spans="1:20">
      <c r="A1545" t="s">
        <v>2937</v>
      </c>
      <c r="B1545" t="s">
        <v>56</v>
      </c>
      <c r="C1545" t="s">
        <v>4113</v>
      </c>
      <c r="D1545" s="3"/>
      <c r="E1545" s="2">
        <v>45694</v>
      </c>
      <c r="F1545">
        <v>683500</v>
      </c>
      <c r="G1545">
        <v>14700</v>
      </c>
      <c r="H1545">
        <v>1198</v>
      </c>
      <c r="I1545">
        <v>26</v>
      </c>
      <c r="J1545">
        <v>161</v>
      </c>
      <c r="K1545">
        <v>10</v>
      </c>
      <c r="L1545" t="s">
        <v>3317</v>
      </c>
      <c r="M1545" t="s">
        <v>3270</v>
      </c>
      <c r="N1545" t="s">
        <v>1630</v>
      </c>
      <c r="O1545" s="4">
        <v>45698.6216782407</v>
      </c>
      <c r="P1545" t="s">
        <v>57</v>
      </c>
      <c r="Q1545" t="s">
        <v>1753</v>
      </c>
      <c r="R1545" t="s">
        <v>4121</v>
      </c>
      <c r="S1545" t="s">
        <v>3169</v>
      </c>
      <c r="T1545" t="s">
        <v>57</v>
      </c>
    </row>
    <row r="1546" ht="25.5" customHeight="1" spans="1:20">
      <c r="A1546" t="s">
        <v>2937</v>
      </c>
      <c r="B1546" t="s">
        <v>56</v>
      </c>
      <c r="C1546" t="s">
        <v>4113</v>
      </c>
      <c r="D1546" s="3"/>
      <c r="E1546" s="2">
        <v>45695</v>
      </c>
      <c r="F1546">
        <v>683600</v>
      </c>
      <c r="G1546">
        <v>15000</v>
      </c>
      <c r="H1546">
        <v>1211</v>
      </c>
      <c r="I1546">
        <v>26</v>
      </c>
      <c r="J1546">
        <v>165</v>
      </c>
      <c r="K1546">
        <v>10</v>
      </c>
      <c r="L1546" t="s">
        <v>3317</v>
      </c>
      <c r="M1546" t="s">
        <v>3270</v>
      </c>
      <c r="N1546" t="s">
        <v>1630</v>
      </c>
      <c r="O1546" s="4">
        <v>45695.7187731481</v>
      </c>
      <c r="P1546" t="s">
        <v>57</v>
      </c>
      <c r="Q1546" t="s">
        <v>1753</v>
      </c>
      <c r="R1546" t="s">
        <v>4122</v>
      </c>
      <c r="T1546" t="s">
        <v>57</v>
      </c>
    </row>
    <row r="1547" ht="25.5" customHeight="1" spans="1:20">
      <c r="A1547" t="s">
        <v>2937</v>
      </c>
      <c r="B1547" t="s">
        <v>56</v>
      </c>
      <c r="C1547" t="s">
        <v>4113</v>
      </c>
      <c r="D1547" s="3"/>
      <c r="E1547" s="2">
        <v>45696</v>
      </c>
      <c r="F1547">
        <v>683700</v>
      </c>
      <c r="G1547">
        <v>15100</v>
      </c>
      <c r="H1547">
        <v>1213</v>
      </c>
      <c r="I1547">
        <v>27</v>
      </c>
      <c r="J1547">
        <v>164</v>
      </c>
      <c r="K1547">
        <v>10</v>
      </c>
      <c r="L1547" t="s">
        <v>3317</v>
      </c>
      <c r="M1547" t="s">
        <v>3270</v>
      </c>
      <c r="N1547" t="s">
        <v>1630</v>
      </c>
      <c r="O1547" s="4">
        <v>45696.4352083333</v>
      </c>
      <c r="P1547" t="s">
        <v>57</v>
      </c>
      <c r="Q1547" t="s">
        <v>1753</v>
      </c>
      <c r="R1547" t="s">
        <v>4123</v>
      </c>
      <c r="T1547" t="s">
        <v>57</v>
      </c>
    </row>
    <row r="1548" ht="25.5" customHeight="1" spans="1:20">
      <c r="A1548" t="s">
        <v>2156</v>
      </c>
      <c r="B1548" t="s">
        <v>65</v>
      </c>
      <c r="C1548" t="s">
        <v>4124</v>
      </c>
      <c r="D1548" s="3" t="str">
        <f>HYPERLINK("https://www.instagram.com/digitalrajas/reels/","https://www.instagram.com/digitalrajas/reels/")</f>
        <v>https://www.instagram.com/digitalrajas/reels/</v>
      </c>
      <c r="E1548" s="2">
        <v>45680</v>
      </c>
      <c r="F1548">
        <v>184000</v>
      </c>
      <c r="G1548">
        <v>6816</v>
      </c>
      <c r="H1548">
        <v>181</v>
      </c>
      <c r="I1548">
        <v>109</v>
      </c>
      <c r="L1548" t="s">
        <v>3138</v>
      </c>
      <c r="M1548" t="s">
        <v>3719</v>
      </c>
      <c r="N1548" t="s">
        <v>1630</v>
      </c>
      <c r="O1548" s="4">
        <v>45680.6718634259</v>
      </c>
      <c r="P1548" t="s">
        <v>66</v>
      </c>
      <c r="Q1548" t="s">
        <v>1631</v>
      </c>
      <c r="R1548" t="s">
        <v>4125</v>
      </c>
      <c r="T1548" t="s">
        <v>66</v>
      </c>
    </row>
    <row r="1549" ht="25.5" customHeight="1" spans="1:20">
      <c r="A1549" t="s">
        <v>2156</v>
      </c>
      <c r="B1549" t="s">
        <v>65</v>
      </c>
      <c r="C1549" t="s">
        <v>4124</v>
      </c>
      <c r="D1549" s="3"/>
      <c r="E1549" s="2">
        <v>45681</v>
      </c>
      <c r="F1549">
        <v>184000</v>
      </c>
      <c r="G1549">
        <v>6920</v>
      </c>
      <c r="H1549">
        <v>183</v>
      </c>
      <c r="I1549">
        <v>109</v>
      </c>
      <c r="L1549" t="s">
        <v>3138</v>
      </c>
      <c r="M1549" t="s">
        <v>3719</v>
      </c>
      <c r="N1549" t="s">
        <v>1630</v>
      </c>
      <c r="O1549" s="4">
        <v>45681.49875</v>
      </c>
      <c r="P1549" t="s">
        <v>66</v>
      </c>
      <c r="Q1549" t="s">
        <v>1631</v>
      </c>
      <c r="R1549" t="s">
        <v>3140</v>
      </c>
      <c r="T1549" t="s">
        <v>66</v>
      </c>
    </row>
    <row r="1550" ht="25.5" customHeight="1" spans="1:20">
      <c r="A1550" t="s">
        <v>2156</v>
      </c>
      <c r="B1550" t="s">
        <v>65</v>
      </c>
      <c r="C1550" t="s">
        <v>4124</v>
      </c>
      <c r="D1550" s="3"/>
      <c r="E1550" s="2">
        <v>45683</v>
      </c>
      <c r="F1550">
        <v>184000</v>
      </c>
      <c r="G1550">
        <v>7169</v>
      </c>
      <c r="H1550">
        <v>188</v>
      </c>
      <c r="I1550">
        <v>114</v>
      </c>
      <c r="L1550" t="s">
        <v>3138</v>
      </c>
      <c r="M1550" t="s">
        <v>3719</v>
      </c>
      <c r="N1550" t="s">
        <v>1630</v>
      </c>
      <c r="O1550" s="4">
        <v>45683.7246875</v>
      </c>
      <c r="P1550" t="s">
        <v>66</v>
      </c>
      <c r="Q1550" t="s">
        <v>1631</v>
      </c>
      <c r="R1550" t="s">
        <v>4126</v>
      </c>
      <c r="T1550" t="s">
        <v>66</v>
      </c>
    </row>
    <row r="1551" ht="25.5" customHeight="1" spans="1:20">
      <c r="A1551" t="s">
        <v>2156</v>
      </c>
      <c r="B1551" t="s">
        <v>65</v>
      </c>
      <c r="C1551" t="s">
        <v>4124</v>
      </c>
      <c r="D1551" s="3"/>
      <c r="E1551" s="2">
        <v>45684</v>
      </c>
      <c r="F1551">
        <v>184000</v>
      </c>
      <c r="G1551">
        <v>7251</v>
      </c>
      <c r="H1551">
        <v>191</v>
      </c>
      <c r="I1551">
        <v>114</v>
      </c>
      <c r="L1551" t="s">
        <v>3138</v>
      </c>
      <c r="M1551" t="s">
        <v>3719</v>
      </c>
      <c r="N1551" t="s">
        <v>1630</v>
      </c>
      <c r="O1551" s="4">
        <v>45684.7802430556</v>
      </c>
      <c r="P1551" t="s">
        <v>66</v>
      </c>
      <c r="Q1551" t="s">
        <v>1631</v>
      </c>
      <c r="R1551" t="s">
        <v>3978</v>
      </c>
      <c r="T1551" t="s">
        <v>66</v>
      </c>
    </row>
    <row r="1552" ht="25.5" customHeight="1" spans="1:20">
      <c r="A1552" t="s">
        <v>2156</v>
      </c>
      <c r="B1552" t="s">
        <v>65</v>
      </c>
      <c r="C1552" t="s">
        <v>4124</v>
      </c>
      <c r="D1552" s="3"/>
      <c r="E1552" s="2">
        <v>45693</v>
      </c>
      <c r="F1552">
        <v>183000</v>
      </c>
      <c r="G1552">
        <v>7756</v>
      </c>
      <c r="H1552">
        <v>200</v>
      </c>
      <c r="I1552">
        <v>122</v>
      </c>
      <c r="L1552" t="s">
        <v>3138</v>
      </c>
      <c r="M1552" t="s">
        <v>3719</v>
      </c>
      <c r="N1552" t="s">
        <v>1630</v>
      </c>
      <c r="O1552" s="4">
        <v>45693.7790740741</v>
      </c>
      <c r="P1552" t="s">
        <v>66</v>
      </c>
      <c r="Q1552" t="s">
        <v>1631</v>
      </c>
      <c r="R1552" t="s">
        <v>4127</v>
      </c>
      <c r="T1552" t="s">
        <v>66</v>
      </c>
    </row>
    <row r="1553" ht="25.5" customHeight="1" spans="1:20">
      <c r="A1553" t="s">
        <v>2156</v>
      </c>
      <c r="B1553" t="s">
        <v>65</v>
      </c>
      <c r="C1553" t="s">
        <v>4124</v>
      </c>
      <c r="D1553" s="3"/>
      <c r="E1553" s="2">
        <v>45694</v>
      </c>
      <c r="F1553">
        <v>183000</v>
      </c>
      <c r="G1553">
        <v>7774</v>
      </c>
      <c r="H1553">
        <v>200</v>
      </c>
      <c r="I1553">
        <v>122</v>
      </c>
      <c r="L1553" t="s">
        <v>3138</v>
      </c>
      <c r="M1553" t="s">
        <v>3719</v>
      </c>
      <c r="N1553" t="s">
        <v>1630</v>
      </c>
      <c r="O1553" s="4">
        <v>45698.6216782407</v>
      </c>
      <c r="P1553" t="s">
        <v>66</v>
      </c>
      <c r="Q1553" t="s">
        <v>1631</v>
      </c>
      <c r="R1553" t="s">
        <v>4127</v>
      </c>
      <c r="S1553" t="s">
        <v>3245</v>
      </c>
      <c r="T1553" t="s">
        <v>66</v>
      </c>
    </row>
    <row r="1554" ht="25.5" customHeight="1" spans="1:20">
      <c r="A1554" t="s">
        <v>2156</v>
      </c>
      <c r="B1554" t="s">
        <v>65</v>
      </c>
      <c r="C1554" t="s">
        <v>4124</v>
      </c>
      <c r="D1554" s="3"/>
      <c r="E1554" s="2">
        <v>45695</v>
      </c>
      <c r="F1554">
        <v>183000</v>
      </c>
      <c r="G1554">
        <v>7808</v>
      </c>
      <c r="H1554">
        <v>203</v>
      </c>
      <c r="I1554">
        <v>122</v>
      </c>
      <c r="L1554" t="s">
        <v>3138</v>
      </c>
      <c r="M1554" t="s">
        <v>3719</v>
      </c>
      <c r="N1554" t="s">
        <v>1630</v>
      </c>
      <c r="O1554" s="4">
        <v>45695.4891319444</v>
      </c>
      <c r="P1554" t="s">
        <v>66</v>
      </c>
      <c r="Q1554" t="s">
        <v>1631</v>
      </c>
      <c r="R1554" t="s">
        <v>3285</v>
      </c>
      <c r="T1554" t="s">
        <v>66</v>
      </c>
    </row>
    <row r="1555" ht="25.5" customHeight="1" spans="1:20">
      <c r="A1555" t="s">
        <v>2156</v>
      </c>
      <c r="B1555" t="s">
        <v>65</v>
      </c>
      <c r="C1555" t="s">
        <v>4124</v>
      </c>
      <c r="D1555" s="3"/>
      <c r="E1555" s="2">
        <v>45696</v>
      </c>
      <c r="F1555">
        <v>183000</v>
      </c>
      <c r="G1555">
        <v>7808</v>
      </c>
      <c r="H1555">
        <v>236</v>
      </c>
      <c r="I1555">
        <v>76</v>
      </c>
      <c r="L1555" t="s">
        <v>3138</v>
      </c>
      <c r="M1555" t="s">
        <v>3719</v>
      </c>
      <c r="N1555" t="s">
        <v>1630</v>
      </c>
      <c r="O1555" s="4">
        <v>45696.4496759259</v>
      </c>
      <c r="P1555" t="s">
        <v>66</v>
      </c>
      <c r="Q1555" t="s">
        <v>1631</v>
      </c>
      <c r="R1555" t="s">
        <v>3501</v>
      </c>
      <c r="T1555" t="s">
        <v>66</v>
      </c>
    </row>
    <row r="1556" ht="25.5" customHeight="1" spans="1:20">
      <c r="A1556" t="s">
        <v>2872</v>
      </c>
      <c r="B1556" t="s">
        <v>56</v>
      </c>
      <c r="C1556" t="s">
        <v>4128</v>
      </c>
      <c r="D1556" s="3"/>
      <c r="E1556" s="2">
        <v>45674</v>
      </c>
      <c r="F1556">
        <v>9194</v>
      </c>
      <c r="G1556">
        <v>119</v>
      </c>
      <c r="H1556">
        <v>12</v>
      </c>
      <c r="I1556">
        <v>2</v>
      </c>
      <c r="J1556">
        <v>1</v>
      </c>
      <c r="K1556">
        <v>0</v>
      </c>
      <c r="L1556" t="s">
        <v>3612</v>
      </c>
      <c r="M1556" t="s">
        <v>3808</v>
      </c>
      <c r="N1556" t="s">
        <v>1630</v>
      </c>
      <c r="O1556" s="4">
        <v>45674.6749421296</v>
      </c>
      <c r="P1556" t="s">
        <v>57</v>
      </c>
      <c r="Q1556" t="s">
        <v>1753</v>
      </c>
      <c r="R1556" t="s">
        <v>3487</v>
      </c>
      <c r="T1556" t="s">
        <v>57</v>
      </c>
    </row>
    <row r="1557" ht="25.5" customHeight="1" spans="1:20">
      <c r="A1557" t="s">
        <v>2872</v>
      </c>
      <c r="B1557" t="s">
        <v>56</v>
      </c>
      <c r="C1557" t="s">
        <v>4128</v>
      </c>
      <c r="D1557" s="3"/>
      <c r="E1557" s="2">
        <v>45677</v>
      </c>
      <c r="F1557">
        <v>9190</v>
      </c>
      <c r="G1557">
        <v>241</v>
      </c>
      <c r="H1557">
        <v>20</v>
      </c>
      <c r="I1557">
        <v>4</v>
      </c>
      <c r="J1557">
        <v>4</v>
      </c>
      <c r="K1557">
        <v>0</v>
      </c>
      <c r="L1557" t="s">
        <v>3260</v>
      </c>
      <c r="M1557" t="s">
        <v>3808</v>
      </c>
      <c r="N1557" t="s">
        <v>1630</v>
      </c>
      <c r="O1557" s="4">
        <v>45677.4348263889</v>
      </c>
      <c r="P1557" t="s">
        <v>57</v>
      </c>
      <c r="Q1557" t="s">
        <v>1753</v>
      </c>
      <c r="R1557" t="s">
        <v>4097</v>
      </c>
      <c r="T1557" t="s">
        <v>57</v>
      </c>
    </row>
    <row r="1558" ht="25.5" customHeight="1" spans="1:20">
      <c r="A1558" t="s">
        <v>2872</v>
      </c>
      <c r="B1558" t="s">
        <v>56</v>
      </c>
      <c r="C1558" t="s">
        <v>4128</v>
      </c>
      <c r="D1558" s="3"/>
      <c r="E1558" s="2">
        <v>45678</v>
      </c>
      <c r="F1558">
        <v>9190</v>
      </c>
      <c r="G1558">
        <v>248</v>
      </c>
      <c r="H1558">
        <v>20</v>
      </c>
      <c r="I1558">
        <v>4</v>
      </c>
      <c r="J1558">
        <v>4</v>
      </c>
      <c r="K1558">
        <v>0</v>
      </c>
      <c r="L1558" t="s">
        <v>3260</v>
      </c>
      <c r="M1558" t="s">
        <v>3808</v>
      </c>
      <c r="N1558" t="s">
        <v>1630</v>
      </c>
      <c r="O1558" s="4">
        <v>45678.6400462963</v>
      </c>
      <c r="P1558" t="s">
        <v>57</v>
      </c>
      <c r="Q1558" t="s">
        <v>1753</v>
      </c>
      <c r="R1558" t="s">
        <v>4097</v>
      </c>
      <c r="T1558" t="s">
        <v>57</v>
      </c>
    </row>
    <row r="1559" ht="25.5" customHeight="1" spans="1:20">
      <c r="A1559" t="s">
        <v>2872</v>
      </c>
      <c r="B1559" t="s">
        <v>56</v>
      </c>
      <c r="C1559" t="s">
        <v>4128</v>
      </c>
      <c r="D1559" s="3"/>
      <c r="E1559" s="2">
        <v>45679</v>
      </c>
      <c r="F1559">
        <v>9192</v>
      </c>
      <c r="G1559">
        <v>251</v>
      </c>
      <c r="H1559">
        <v>20</v>
      </c>
      <c r="I1559">
        <v>4</v>
      </c>
      <c r="J1559">
        <v>4</v>
      </c>
      <c r="K1559">
        <v>0</v>
      </c>
      <c r="L1559" t="s">
        <v>3260</v>
      </c>
      <c r="M1559" t="s">
        <v>3808</v>
      </c>
      <c r="N1559" t="s">
        <v>1630</v>
      </c>
      <c r="O1559" s="4">
        <v>45679.696400463</v>
      </c>
      <c r="P1559" t="s">
        <v>57</v>
      </c>
      <c r="Q1559" t="s">
        <v>1753</v>
      </c>
      <c r="R1559" t="s">
        <v>4097</v>
      </c>
      <c r="T1559" t="s">
        <v>57</v>
      </c>
    </row>
    <row r="1560" ht="25.5" customHeight="1" spans="1:20">
      <c r="A1560" t="s">
        <v>2872</v>
      </c>
      <c r="B1560" t="s">
        <v>56</v>
      </c>
      <c r="C1560" t="s">
        <v>4128</v>
      </c>
      <c r="D1560" s="3"/>
      <c r="E1560" s="2">
        <v>45680</v>
      </c>
      <c r="F1560">
        <v>9191</v>
      </c>
      <c r="G1560">
        <v>257</v>
      </c>
      <c r="H1560">
        <v>20</v>
      </c>
      <c r="I1560">
        <v>4</v>
      </c>
      <c r="J1560">
        <v>4</v>
      </c>
      <c r="K1560">
        <v>0</v>
      </c>
      <c r="L1560" t="s">
        <v>3230</v>
      </c>
      <c r="M1560" t="s">
        <v>3808</v>
      </c>
      <c r="N1560" t="s">
        <v>1630</v>
      </c>
      <c r="O1560" s="4">
        <v>45680.6561689815</v>
      </c>
      <c r="P1560" t="s">
        <v>57</v>
      </c>
      <c r="Q1560" t="s">
        <v>1753</v>
      </c>
      <c r="R1560" t="s">
        <v>4097</v>
      </c>
      <c r="T1560" t="s">
        <v>57</v>
      </c>
    </row>
    <row r="1561" ht="25.5" customHeight="1" spans="1:20">
      <c r="A1561" t="s">
        <v>2872</v>
      </c>
      <c r="B1561" t="s">
        <v>56</v>
      </c>
      <c r="C1561" t="s">
        <v>4128</v>
      </c>
      <c r="D1561" s="3"/>
      <c r="E1561" s="2">
        <v>45681</v>
      </c>
      <c r="F1561">
        <v>9192</v>
      </c>
      <c r="G1561">
        <v>265</v>
      </c>
      <c r="H1561">
        <v>20</v>
      </c>
      <c r="I1561">
        <v>4</v>
      </c>
      <c r="J1561">
        <v>4</v>
      </c>
      <c r="K1561">
        <v>0</v>
      </c>
      <c r="L1561" t="s">
        <v>3230</v>
      </c>
      <c r="M1561" t="s">
        <v>3808</v>
      </c>
      <c r="N1561" t="s">
        <v>1630</v>
      </c>
      <c r="O1561" s="4">
        <v>45681.6424537037</v>
      </c>
      <c r="P1561" t="s">
        <v>57</v>
      </c>
      <c r="Q1561" t="s">
        <v>1753</v>
      </c>
      <c r="R1561" t="s">
        <v>4097</v>
      </c>
      <c r="T1561" t="s">
        <v>57</v>
      </c>
    </row>
    <row r="1562" ht="25.5" customHeight="1" spans="1:20">
      <c r="A1562" t="s">
        <v>2872</v>
      </c>
      <c r="B1562" t="s">
        <v>56</v>
      </c>
      <c r="C1562" t="s">
        <v>4128</v>
      </c>
      <c r="D1562" s="3"/>
      <c r="E1562" s="2">
        <v>45683</v>
      </c>
      <c r="F1562">
        <v>9190</v>
      </c>
      <c r="G1562">
        <v>281</v>
      </c>
      <c r="H1562">
        <v>20</v>
      </c>
      <c r="I1562">
        <v>4</v>
      </c>
      <c r="J1562">
        <v>4</v>
      </c>
      <c r="K1562">
        <v>0</v>
      </c>
      <c r="L1562" t="s">
        <v>3230</v>
      </c>
      <c r="M1562" t="s">
        <v>3808</v>
      </c>
      <c r="N1562" t="s">
        <v>1630</v>
      </c>
      <c r="O1562" s="4">
        <v>45683.7723148148</v>
      </c>
      <c r="P1562" t="s">
        <v>57</v>
      </c>
      <c r="Q1562" t="s">
        <v>1753</v>
      </c>
      <c r="R1562" t="s">
        <v>4097</v>
      </c>
      <c r="T1562" t="s">
        <v>57</v>
      </c>
    </row>
    <row r="1563" ht="25.5" customHeight="1" spans="1:20">
      <c r="A1563" t="s">
        <v>2872</v>
      </c>
      <c r="B1563" t="s">
        <v>56</v>
      </c>
      <c r="C1563" t="s">
        <v>4128</v>
      </c>
      <c r="D1563" s="3"/>
      <c r="E1563" s="2">
        <v>45684</v>
      </c>
      <c r="F1563">
        <v>9186</v>
      </c>
      <c r="G1563">
        <v>289</v>
      </c>
      <c r="H1563">
        <v>21</v>
      </c>
      <c r="I1563">
        <v>4</v>
      </c>
      <c r="J1563">
        <v>5</v>
      </c>
      <c r="K1563">
        <v>0</v>
      </c>
      <c r="L1563" t="s">
        <v>3230</v>
      </c>
      <c r="M1563" t="s">
        <v>3808</v>
      </c>
      <c r="N1563" t="s">
        <v>1630</v>
      </c>
      <c r="O1563" s="4">
        <v>45684.8508333333</v>
      </c>
      <c r="P1563" t="s">
        <v>57</v>
      </c>
      <c r="Q1563" t="s">
        <v>1753</v>
      </c>
      <c r="R1563" t="s">
        <v>3987</v>
      </c>
      <c r="T1563" t="s">
        <v>57</v>
      </c>
    </row>
    <row r="1564" ht="25.5" customHeight="1" spans="1:20">
      <c r="A1564" t="s">
        <v>2872</v>
      </c>
      <c r="B1564" t="s">
        <v>56</v>
      </c>
      <c r="C1564" t="s">
        <v>4128</v>
      </c>
      <c r="D1564" s="3"/>
      <c r="E1564" s="2">
        <v>45693</v>
      </c>
      <c r="F1564">
        <v>9203</v>
      </c>
      <c r="G1564">
        <v>351</v>
      </c>
      <c r="H1564">
        <v>21</v>
      </c>
      <c r="I1564">
        <v>4</v>
      </c>
      <c r="J1564">
        <v>5</v>
      </c>
      <c r="K1564">
        <v>0</v>
      </c>
      <c r="L1564" t="s">
        <v>3248</v>
      </c>
      <c r="M1564" t="s">
        <v>3808</v>
      </c>
      <c r="N1564" t="s">
        <v>1630</v>
      </c>
      <c r="O1564" s="4">
        <v>45693.8252430556</v>
      </c>
      <c r="P1564" t="s">
        <v>57</v>
      </c>
      <c r="Q1564" t="s">
        <v>1753</v>
      </c>
      <c r="R1564" t="s">
        <v>3987</v>
      </c>
      <c r="T1564" t="s">
        <v>57</v>
      </c>
    </row>
    <row r="1565" ht="25.5" customHeight="1" spans="1:20">
      <c r="A1565" t="s">
        <v>2872</v>
      </c>
      <c r="B1565" t="s">
        <v>56</v>
      </c>
      <c r="C1565" t="s">
        <v>4128</v>
      </c>
      <c r="D1565" s="3"/>
      <c r="E1565" s="2">
        <v>45694</v>
      </c>
      <c r="F1565">
        <v>9205</v>
      </c>
      <c r="G1565">
        <v>354</v>
      </c>
      <c r="H1565">
        <v>21</v>
      </c>
      <c r="I1565">
        <v>4</v>
      </c>
      <c r="J1565">
        <v>5</v>
      </c>
      <c r="K1565">
        <v>0</v>
      </c>
      <c r="L1565" t="s">
        <v>3248</v>
      </c>
      <c r="M1565" t="s">
        <v>3808</v>
      </c>
      <c r="N1565" t="s">
        <v>1630</v>
      </c>
      <c r="O1565" s="4">
        <v>45698.6216782407</v>
      </c>
      <c r="P1565" t="s">
        <v>57</v>
      </c>
      <c r="Q1565" t="s">
        <v>1753</v>
      </c>
      <c r="R1565" t="s">
        <v>3987</v>
      </c>
      <c r="S1565" t="s">
        <v>3301</v>
      </c>
      <c r="T1565" t="s">
        <v>57</v>
      </c>
    </row>
    <row r="1566" ht="25.5" customHeight="1" spans="1:20">
      <c r="A1566" t="s">
        <v>2872</v>
      </c>
      <c r="B1566" t="s">
        <v>56</v>
      </c>
      <c r="C1566" t="s">
        <v>4128</v>
      </c>
      <c r="D1566" s="3"/>
      <c r="E1566" s="2">
        <v>45695</v>
      </c>
      <c r="F1566">
        <v>9203</v>
      </c>
      <c r="G1566">
        <v>362</v>
      </c>
      <c r="H1566">
        <v>21</v>
      </c>
      <c r="I1566">
        <v>4</v>
      </c>
      <c r="J1566">
        <v>5</v>
      </c>
      <c r="K1566">
        <v>0</v>
      </c>
      <c r="L1566" t="s">
        <v>3248</v>
      </c>
      <c r="M1566" t="s">
        <v>3808</v>
      </c>
      <c r="N1566" t="s">
        <v>1630</v>
      </c>
      <c r="O1566" s="4">
        <v>45695.7190277778</v>
      </c>
      <c r="P1566" t="s">
        <v>57</v>
      </c>
      <c r="Q1566" t="s">
        <v>1753</v>
      </c>
      <c r="R1566" t="s">
        <v>3987</v>
      </c>
      <c r="T1566" t="s">
        <v>57</v>
      </c>
    </row>
    <row r="1567" ht="25.5" customHeight="1" spans="1:20">
      <c r="A1567" t="s">
        <v>2872</v>
      </c>
      <c r="B1567" t="s">
        <v>56</v>
      </c>
      <c r="C1567" t="s">
        <v>4128</v>
      </c>
      <c r="D1567" s="3"/>
      <c r="E1567" s="2">
        <v>45696</v>
      </c>
      <c r="F1567">
        <v>9204</v>
      </c>
      <c r="G1567">
        <v>363</v>
      </c>
      <c r="H1567">
        <v>21</v>
      </c>
      <c r="I1567">
        <v>4</v>
      </c>
      <c r="J1567">
        <v>5</v>
      </c>
      <c r="K1567">
        <v>0</v>
      </c>
      <c r="L1567" t="s">
        <v>3248</v>
      </c>
      <c r="M1567" t="s">
        <v>3808</v>
      </c>
      <c r="N1567" t="s">
        <v>1630</v>
      </c>
      <c r="O1567" s="4">
        <v>45696.4353472222</v>
      </c>
      <c r="P1567" t="s">
        <v>57</v>
      </c>
      <c r="Q1567" t="s">
        <v>1753</v>
      </c>
      <c r="R1567" t="s">
        <v>3987</v>
      </c>
      <c r="T1567" t="s">
        <v>57</v>
      </c>
    </row>
    <row r="1568" ht="25.5" customHeight="1" spans="1:20">
      <c r="A1568" t="s">
        <v>2116</v>
      </c>
      <c r="B1568" t="s">
        <v>65</v>
      </c>
      <c r="C1568" t="s">
        <v>4129</v>
      </c>
      <c r="D1568" s="3" t="str">
        <f>HYPERLINK("https://www.instagram.com/aitrendz.xyz/","https://www.instagram.com/aitrendz.xyz/")</f>
        <v>https://www.instagram.com/aitrendz.xyz/</v>
      </c>
      <c r="E1568" s="2">
        <v>45670</v>
      </c>
      <c r="F1568">
        <v>78200</v>
      </c>
      <c r="H1568">
        <v>121</v>
      </c>
      <c r="I1568">
        <v>69</v>
      </c>
      <c r="L1568" t="s">
        <v>3138</v>
      </c>
      <c r="M1568" t="s">
        <v>3352</v>
      </c>
      <c r="N1568" t="s">
        <v>1630</v>
      </c>
      <c r="O1568" s="4">
        <v>45672.5030092593</v>
      </c>
      <c r="P1568" t="s">
        <v>66</v>
      </c>
      <c r="Q1568" t="s">
        <v>1887</v>
      </c>
      <c r="R1568" t="s">
        <v>3186</v>
      </c>
      <c r="T1568" t="s">
        <v>66</v>
      </c>
    </row>
    <row r="1569" ht="25.5" customHeight="1" spans="1:20">
      <c r="A1569" t="s">
        <v>2116</v>
      </c>
      <c r="B1569" t="s">
        <v>65</v>
      </c>
      <c r="C1569" t="s">
        <v>4129</v>
      </c>
      <c r="D1569" s="3"/>
      <c r="E1569" s="2">
        <v>45672</v>
      </c>
      <c r="F1569">
        <v>78500</v>
      </c>
      <c r="G1569">
        <v>8644</v>
      </c>
      <c r="H1569">
        <v>143</v>
      </c>
      <c r="I1569">
        <v>96</v>
      </c>
      <c r="J1569">
        <v>333</v>
      </c>
      <c r="K1569">
        <v>0</v>
      </c>
      <c r="L1569" t="s">
        <v>3138</v>
      </c>
      <c r="M1569" t="s">
        <v>3352</v>
      </c>
      <c r="N1569" t="s">
        <v>1630</v>
      </c>
      <c r="O1569" s="4">
        <v>45696.3921759259</v>
      </c>
      <c r="P1569" t="s">
        <v>66</v>
      </c>
      <c r="Q1569" t="s">
        <v>1887</v>
      </c>
      <c r="R1569" t="s">
        <v>4130</v>
      </c>
      <c r="T1569" t="s">
        <v>66</v>
      </c>
    </row>
    <row r="1570" ht="25.5" customHeight="1" spans="1:20">
      <c r="A1570" t="s">
        <v>2116</v>
      </c>
      <c r="B1570" t="s">
        <v>65</v>
      </c>
      <c r="C1570" t="s">
        <v>4129</v>
      </c>
      <c r="D1570" s="3"/>
      <c r="E1570" s="2">
        <v>45673</v>
      </c>
      <c r="F1570">
        <v>78800</v>
      </c>
      <c r="G1570">
        <v>8644</v>
      </c>
      <c r="H1570">
        <v>157</v>
      </c>
      <c r="I1570">
        <v>106</v>
      </c>
      <c r="J1570">
        <v>333</v>
      </c>
      <c r="K1570">
        <v>0</v>
      </c>
      <c r="L1570" t="s">
        <v>3138</v>
      </c>
      <c r="M1570" t="s">
        <v>3352</v>
      </c>
      <c r="N1570" t="s">
        <v>1630</v>
      </c>
      <c r="O1570" s="4">
        <v>45696.3921875</v>
      </c>
      <c r="P1570" t="s">
        <v>66</v>
      </c>
      <c r="Q1570" t="s">
        <v>1887</v>
      </c>
      <c r="R1570" t="s">
        <v>3685</v>
      </c>
      <c r="T1570" t="s">
        <v>66</v>
      </c>
    </row>
    <row r="1571" ht="25.5" customHeight="1" spans="1:20">
      <c r="A1571" t="s">
        <v>2116</v>
      </c>
      <c r="B1571" t="s">
        <v>65</v>
      </c>
      <c r="C1571" t="s">
        <v>4129</v>
      </c>
      <c r="D1571" s="3"/>
      <c r="E1571" s="2">
        <v>45674</v>
      </c>
      <c r="F1571">
        <v>79100</v>
      </c>
      <c r="G1571">
        <v>8644</v>
      </c>
      <c r="H1571">
        <v>165</v>
      </c>
      <c r="I1571">
        <v>117</v>
      </c>
      <c r="J1571">
        <v>333</v>
      </c>
      <c r="K1571">
        <v>0</v>
      </c>
      <c r="L1571" t="s">
        <v>3138</v>
      </c>
      <c r="M1571" t="s">
        <v>3352</v>
      </c>
      <c r="N1571" t="s">
        <v>1630</v>
      </c>
      <c r="O1571" s="4">
        <v>45696.3921990741</v>
      </c>
      <c r="P1571" t="s">
        <v>66</v>
      </c>
      <c r="Q1571" t="s">
        <v>1887</v>
      </c>
      <c r="R1571" t="s">
        <v>3686</v>
      </c>
      <c r="T1571" t="s">
        <v>66</v>
      </c>
    </row>
    <row r="1572" ht="25.5" customHeight="1" spans="1:20">
      <c r="A1572" t="s">
        <v>2116</v>
      </c>
      <c r="B1572" t="s">
        <v>65</v>
      </c>
      <c r="C1572" t="s">
        <v>4129</v>
      </c>
      <c r="D1572" s="3"/>
      <c r="E1572" s="2">
        <v>45677</v>
      </c>
      <c r="F1572">
        <v>80100</v>
      </c>
      <c r="G1572">
        <v>8644</v>
      </c>
      <c r="H1572">
        <v>186</v>
      </c>
      <c r="I1572">
        <v>125</v>
      </c>
      <c r="J1572">
        <v>333</v>
      </c>
      <c r="K1572">
        <v>0</v>
      </c>
      <c r="L1572" t="s">
        <v>3138</v>
      </c>
      <c r="M1572" t="s">
        <v>3352</v>
      </c>
      <c r="N1572" t="s">
        <v>1630</v>
      </c>
      <c r="O1572" s="4">
        <v>45696.3921990741</v>
      </c>
      <c r="P1572" t="s">
        <v>66</v>
      </c>
      <c r="Q1572" t="s">
        <v>1887</v>
      </c>
      <c r="R1572" t="s">
        <v>4114</v>
      </c>
      <c r="T1572" t="s">
        <v>66</v>
      </c>
    </row>
    <row r="1573" ht="25.5" customHeight="1" spans="1:20">
      <c r="A1573" t="s">
        <v>2116</v>
      </c>
      <c r="B1573" t="s">
        <v>65</v>
      </c>
      <c r="C1573" t="s">
        <v>4129</v>
      </c>
      <c r="D1573" s="3"/>
      <c r="E1573" s="2">
        <v>45678</v>
      </c>
      <c r="F1573">
        <v>80500</v>
      </c>
      <c r="G1573">
        <v>8644</v>
      </c>
      <c r="H1573">
        <v>191</v>
      </c>
      <c r="I1573">
        <v>129</v>
      </c>
      <c r="J1573">
        <v>333</v>
      </c>
      <c r="K1573">
        <v>0</v>
      </c>
      <c r="L1573" t="s">
        <v>3138</v>
      </c>
      <c r="M1573" t="s">
        <v>3352</v>
      </c>
      <c r="N1573" t="s">
        <v>1630</v>
      </c>
      <c r="O1573" s="4">
        <v>45696.3922106481</v>
      </c>
      <c r="P1573" t="s">
        <v>66</v>
      </c>
      <c r="Q1573" t="s">
        <v>1887</v>
      </c>
      <c r="R1573" t="s">
        <v>4131</v>
      </c>
      <c r="T1573" t="s">
        <v>66</v>
      </c>
    </row>
    <row r="1574" ht="25.5" customHeight="1" spans="1:20">
      <c r="A1574" t="s">
        <v>2116</v>
      </c>
      <c r="B1574" t="s">
        <v>65</v>
      </c>
      <c r="C1574" t="s">
        <v>4129</v>
      </c>
      <c r="D1574" s="3"/>
      <c r="E1574" s="2">
        <v>45679</v>
      </c>
      <c r="F1574">
        <v>81000</v>
      </c>
      <c r="G1574">
        <v>8644</v>
      </c>
      <c r="H1574">
        <v>195</v>
      </c>
      <c r="I1574">
        <v>131</v>
      </c>
      <c r="J1574">
        <v>333</v>
      </c>
      <c r="K1574">
        <v>0</v>
      </c>
      <c r="L1574" t="s">
        <v>3138</v>
      </c>
      <c r="M1574" t="s">
        <v>3352</v>
      </c>
      <c r="N1574" t="s">
        <v>1630</v>
      </c>
      <c r="O1574" s="4">
        <v>45696.3922106481</v>
      </c>
      <c r="P1574" t="s">
        <v>66</v>
      </c>
      <c r="Q1574" t="s">
        <v>1887</v>
      </c>
      <c r="R1574" t="s">
        <v>4132</v>
      </c>
      <c r="T1574" t="s">
        <v>66</v>
      </c>
    </row>
    <row r="1575" ht="25.5" customHeight="1" spans="1:20">
      <c r="A1575" t="s">
        <v>2116</v>
      </c>
      <c r="B1575" t="s">
        <v>65</v>
      </c>
      <c r="C1575" t="s">
        <v>4129</v>
      </c>
      <c r="D1575" s="3"/>
      <c r="E1575" s="2">
        <v>45680</v>
      </c>
      <c r="F1575">
        <v>81300</v>
      </c>
      <c r="G1575">
        <v>8644</v>
      </c>
      <c r="H1575">
        <v>198</v>
      </c>
      <c r="I1575">
        <v>131</v>
      </c>
      <c r="J1575">
        <v>333</v>
      </c>
      <c r="K1575">
        <v>0</v>
      </c>
      <c r="L1575" t="s">
        <v>3138</v>
      </c>
      <c r="M1575" t="s">
        <v>3352</v>
      </c>
      <c r="N1575" t="s">
        <v>1630</v>
      </c>
      <c r="O1575" s="4">
        <v>45696.3922337963</v>
      </c>
      <c r="P1575" t="s">
        <v>66</v>
      </c>
      <c r="Q1575" t="s">
        <v>1887</v>
      </c>
      <c r="R1575" t="s">
        <v>4133</v>
      </c>
      <c r="T1575" t="s">
        <v>66</v>
      </c>
    </row>
    <row r="1576" ht="25.5" customHeight="1" spans="1:20">
      <c r="A1576" t="s">
        <v>2116</v>
      </c>
      <c r="B1576" t="s">
        <v>65</v>
      </c>
      <c r="C1576" t="s">
        <v>4129</v>
      </c>
      <c r="D1576" s="3"/>
      <c r="E1576" s="2">
        <v>45681</v>
      </c>
      <c r="F1576">
        <v>81700</v>
      </c>
      <c r="G1576">
        <v>8644</v>
      </c>
      <c r="H1576">
        <v>201</v>
      </c>
      <c r="I1576">
        <v>131</v>
      </c>
      <c r="J1576">
        <v>333</v>
      </c>
      <c r="K1576">
        <v>0</v>
      </c>
      <c r="L1576" t="s">
        <v>3138</v>
      </c>
      <c r="M1576" t="s">
        <v>3352</v>
      </c>
      <c r="N1576" t="s">
        <v>1630</v>
      </c>
      <c r="O1576" s="4">
        <v>45696.3922222222</v>
      </c>
      <c r="P1576" t="s">
        <v>66</v>
      </c>
      <c r="Q1576" t="s">
        <v>1887</v>
      </c>
      <c r="R1576" t="s">
        <v>3724</v>
      </c>
      <c r="T1576" t="s">
        <v>66</v>
      </c>
    </row>
    <row r="1577" ht="25.5" customHeight="1" spans="1:20">
      <c r="A1577" t="s">
        <v>2116</v>
      </c>
      <c r="B1577" t="s">
        <v>65</v>
      </c>
      <c r="C1577" t="s">
        <v>4129</v>
      </c>
      <c r="D1577" s="3"/>
      <c r="E1577" s="2">
        <v>45683</v>
      </c>
      <c r="F1577">
        <v>83200</v>
      </c>
      <c r="G1577">
        <v>8644</v>
      </c>
      <c r="H1577">
        <v>207</v>
      </c>
      <c r="I1577">
        <v>134</v>
      </c>
      <c r="J1577">
        <v>333</v>
      </c>
      <c r="K1577">
        <v>0</v>
      </c>
      <c r="L1577" t="s">
        <v>3138</v>
      </c>
      <c r="M1577" t="s">
        <v>3352</v>
      </c>
      <c r="N1577" t="s">
        <v>1630</v>
      </c>
      <c r="O1577" s="4">
        <v>45696.3922337963</v>
      </c>
      <c r="P1577" t="s">
        <v>66</v>
      </c>
      <c r="Q1577" t="s">
        <v>1887</v>
      </c>
      <c r="R1577" t="s">
        <v>4134</v>
      </c>
      <c r="T1577" t="s">
        <v>66</v>
      </c>
    </row>
    <row r="1578" ht="25.5" customHeight="1" spans="1:20">
      <c r="A1578" t="s">
        <v>2116</v>
      </c>
      <c r="B1578" t="s">
        <v>65</v>
      </c>
      <c r="C1578" t="s">
        <v>4129</v>
      </c>
      <c r="D1578" s="3"/>
      <c r="E1578" s="2">
        <v>45684</v>
      </c>
      <c r="F1578">
        <v>84800</v>
      </c>
      <c r="G1578">
        <v>8644</v>
      </c>
      <c r="H1578">
        <v>213</v>
      </c>
      <c r="I1578">
        <v>134</v>
      </c>
      <c r="J1578">
        <v>333</v>
      </c>
      <c r="K1578">
        <v>0</v>
      </c>
      <c r="L1578" t="s">
        <v>3138</v>
      </c>
      <c r="M1578" t="s">
        <v>3352</v>
      </c>
      <c r="N1578" t="s">
        <v>1630</v>
      </c>
      <c r="O1578" s="4">
        <v>45696.3922453704</v>
      </c>
      <c r="P1578" t="s">
        <v>66</v>
      </c>
      <c r="Q1578" t="s">
        <v>1887</v>
      </c>
      <c r="R1578" t="s">
        <v>3293</v>
      </c>
      <c r="T1578" t="s">
        <v>66</v>
      </c>
    </row>
    <row r="1579" ht="25.5" customHeight="1" spans="1:20">
      <c r="A1579" t="s">
        <v>2116</v>
      </c>
      <c r="B1579" t="s">
        <v>65</v>
      </c>
      <c r="C1579" t="s">
        <v>4129</v>
      </c>
      <c r="D1579" s="3"/>
      <c r="E1579" s="2">
        <v>45693</v>
      </c>
      <c r="F1579">
        <v>153000</v>
      </c>
      <c r="G1579">
        <v>8644</v>
      </c>
      <c r="H1579">
        <v>220</v>
      </c>
      <c r="I1579">
        <v>134</v>
      </c>
      <c r="J1579">
        <v>333</v>
      </c>
      <c r="K1579">
        <v>0</v>
      </c>
      <c r="L1579" t="s">
        <v>3138</v>
      </c>
      <c r="M1579" t="s">
        <v>3352</v>
      </c>
      <c r="N1579" t="s">
        <v>1630</v>
      </c>
      <c r="O1579" s="4">
        <v>45696.3922453704</v>
      </c>
      <c r="P1579" t="s">
        <v>66</v>
      </c>
      <c r="Q1579" t="s">
        <v>1887</v>
      </c>
      <c r="R1579" t="s">
        <v>4135</v>
      </c>
      <c r="T1579" t="s">
        <v>66</v>
      </c>
    </row>
    <row r="1580" ht="25.5" customHeight="1" spans="1:20">
      <c r="A1580" t="s">
        <v>2116</v>
      </c>
      <c r="B1580" t="s">
        <v>65</v>
      </c>
      <c r="C1580" t="s">
        <v>4129</v>
      </c>
      <c r="D1580" s="3"/>
      <c r="E1580" s="2">
        <v>45694</v>
      </c>
      <c r="F1580">
        <v>156000</v>
      </c>
      <c r="G1580">
        <v>8644</v>
      </c>
      <c r="H1580">
        <v>220</v>
      </c>
      <c r="I1580">
        <v>134</v>
      </c>
      <c r="J1580">
        <v>333</v>
      </c>
      <c r="K1580">
        <v>0</v>
      </c>
      <c r="L1580" t="s">
        <v>3138</v>
      </c>
      <c r="M1580" t="s">
        <v>3352</v>
      </c>
      <c r="N1580" t="s">
        <v>1630</v>
      </c>
      <c r="O1580" s="4">
        <v>45698.6216782407</v>
      </c>
      <c r="P1580" t="s">
        <v>66</v>
      </c>
      <c r="Q1580" t="s">
        <v>1887</v>
      </c>
      <c r="R1580" t="s">
        <v>4135</v>
      </c>
      <c r="S1580" t="s">
        <v>3245</v>
      </c>
      <c r="T1580" t="s">
        <v>66</v>
      </c>
    </row>
    <row r="1581" ht="25.5" customHeight="1" spans="1:20">
      <c r="A1581" t="s">
        <v>2116</v>
      </c>
      <c r="B1581" t="s">
        <v>65</v>
      </c>
      <c r="C1581" t="s">
        <v>4129</v>
      </c>
      <c r="D1581" s="3"/>
      <c r="E1581" s="2">
        <v>45695</v>
      </c>
      <c r="F1581">
        <v>159000</v>
      </c>
      <c r="G1581">
        <v>8644</v>
      </c>
      <c r="H1581">
        <v>221</v>
      </c>
      <c r="I1581">
        <v>134</v>
      </c>
      <c r="J1581">
        <v>333</v>
      </c>
      <c r="K1581">
        <v>0</v>
      </c>
      <c r="L1581" t="s">
        <v>3138</v>
      </c>
      <c r="M1581" t="s">
        <v>3352</v>
      </c>
      <c r="N1581" t="s">
        <v>1630</v>
      </c>
      <c r="O1581" s="4">
        <v>45696.3922569444</v>
      </c>
      <c r="P1581" t="s">
        <v>66</v>
      </c>
      <c r="Q1581" t="s">
        <v>1887</v>
      </c>
      <c r="R1581" t="s">
        <v>4136</v>
      </c>
      <c r="T1581" t="s">
        <v>66</v>
      </c>
    </row>
    <row r="1582" ht="25.5" customHeight="1" spans="1:18">
      <c r="A1582" t="s">
        <v>4137</v>
      </c>
      <c r="D1582" s="3"/>
      <c r="E1582" s="2">
        <v>45678</v>
      </c>
      <c r="O1582" s="4">
        <v>45678.6408449074</v>
      </c>
      <c r="R1582" t="s">
        <v>3133</v>
      </c>
    </row>
    <row r="1583" ht="25.5" customHeight="1" spans="1:20">
      <c r="A1583" t="s">
        <v>2480</v>
      </c>
      <c r="B1583" t="s">
        <v>1816</v>
      </c>
      <c r="C1583" t="s">
        <v>4138</v>
      </c>
      <c r="D1583" s="3"/>
      <c r="E1583" s="2">
        <v>45664</v>
      </c>
      <c r="F1583">
        <v>2598</v>
      </c>
      <c r="G1583">
        <v>46400</v>
      </c>
      <c r="H1583">
        <v>123</v>
      </c>
      <c r="I1583">
        <v>8</v>
      </c>
      <c r="J1583">
        <v>81</v>
      </c>
      <c r="K1583">
        <v>22</v>
      </c>
      <c r="L1583" t="s">
        <v>3258</v>
      </c>
      <c r="M1583" t="s">
        <v>3378</v>
      </c>
      <c r="N1583" t="s">
        <v>1630</v>
      </c>
      <c r="O1583" s="4">
        <v>45672.5030092593</v>
      </c>
      <c r="P1583" t="s">
        <v>4139</v>
      </c>
      <c r="Q1583" t="s">
        <v>1887</v>
      </c>
      <c r="R1583" t="s">
        <v>3191</v>
      </c>
      <c r="T1583" t="s">
        <v>4139</v>
      </c>
    </row>
    <row r="1584" ht="25.5" customHeight="1" spans="1:20">
      <c r="A1584" t="s">
        <v>2480</v>
      </c>
      <c r="B1584" t="s">
        <v>1816</v>
      </c>
      <c r="C1584" t="s">
        <v>4138</v>
      </c>
      <c r="D1584" s="3"/>
      <c r="E1584" s="2">
        <v>45665</v>
      </c>
      <c r="F1584">
        <v>2600</v>
      </c>
      <c r="G1584">
        <v>51800</v>
      </c>
      <c r="H1584">
        <v>133</v>
      </c>
      <c r="I1584">
        <v>9</v>
      </c>
      <c r="J1584">
        <v>102</v>
      </c>
      <c r="K1584">
        <v>22</v>
      </c>
      <c r="L1584" t="s">
        <v>3258</v>
      </c>
      <c r="M1584" t="s">
        <v>3378</v>
      </c>
      <c r="N1584" t="s">
        <v>1630</v>
      </c>
      <c r="O1584" s="4">
        <v>45672.5030092593</v>
      </c>
      <c r="P1584" t="s">
        <v>4139</v>
      </c>
      <c r="Q1584" t="s">
        <v>1887</v>
      </c>
      <c r="R1584" t="s">
        <v>3464</v>
      </c>
      <c r="T1584" t="s">
        <v>4139</v>
      </c>
    </row>
    <row r="1585" ht="25.5" customHeight="1" spans="1:20">
      <c r="A1585" t="s">
        <v>2480</v>
      </c>
      <c r="B1585" t="s">
        <v>1816</v>
      </c>
      <c r="C1585" t="s">
        <v>4138</v>
      </c>
      <c r="D1585" s="3"/>
      <c r="E1585" s="2">
        <v>45670</v>
      </c>
      <c r="F1585">
        <v>2623</v>
      </c>
      <c r="G1585">
        <v>54500</v>
      </c>
      <c r="H1585">
        <v>137</v>
      </c>
      <c r="I1585">
        <v>10</v>
      </c>
      <c r="J1585">
        <v>105</v>
      </c>
      <c r="K1585">
        <v>22</v>
      </c>
      <c r="L1585" t="s">
        <v>3258</v>
      </c>
      <c r="M1585" t="s">
        <v>3378</v>
      </c>
      <c r="N1585" t="s">
        <v>1630</v>
      </c>
      <c r="O1585" s="4">
        <v>45672.5030092593</v>
      </c>
      <c r="P1585" t="s">
        <v>4139</v>
      </c>
      <c r="Q1585" t="s">
        <v>1887</v>
      </c>
      <c r="R1585" t="s">
        <v>3432</v>
      </c>
      <c r="T1585" t="s">
        <v>4139</v>
      </c>
    </row>
    <row r="1586" ht="25.5" customHeight="1" spans="1:20">
      <c r="A1586" t="s">
        <v>2480</v>
      </c>
      <c r="B1586" t="s">
        <v>1816</v>
      </c>
      <c r="C1586" t="s">
        <v>4138</v>
      </c>
      <c r="D1586" s="3"/>
      <c r="E1586" s="2">
        <v>45671</v>
      </c>
      <c r="F1586">
        <v>2633</v>
      </c>
      <c r="G1586">
        <v>54600</v>
      </c>
      <c r="H1586">
        <v>136</v>
      </c>
      <c r="I1586">
        <v>10</v>
      </c>
      <c r="J1586">
        <v>105</v>
      </c>
      <c r="K1586">
        <v>22</v>
      </c>
      <c r="L1586" t="s">
        <v>3258</v>
      </c>
      <c r="M1586" t="s">
        <v>3378</v>
      </c>
      <c r="N1586" t="s">
        <v>1630</v>
      </c>
      <c r="O1586" s="4">
        <v>45672.5030092593</v>
      </c>
      <c r="P1586" t="s">
        <v>4139</v>
      </c>
      <c r="Q1586" t="s">
        <v>1887</v>
      </c>
      <c r="R1586" t="s">
        <v>4060</v>
      </c>
      <c r="T1586" t="s">
        <v>4139</v>
      </c>
    </row>
    <row r="1587" ht="25.5" customHeight="1" spans="1:20">
      <c r="A1587" t="s">
        <v>2480</v>
      </c>
      <c r="B1587" t="s">
        <v>1816</v>
      </c>
      <c r="C1587" t="s">
        <v>4138</v>
      </c>
      <c r="D1587" s="3"/>
      <c r="E1587" s="2">
        <v>45672</v>
      </c>
      <c r="F1587">
        <v>2641</v>
      </c>
      <c r="G1587">
        <v>54600</v>
      </c>
      <c r="H1587">
        <v>136</v>
      </c>
      <c r="I1587">
        <v>10</v>
      </c>
      <c r="J1587">
        <v>105</v>
      </c>
      <c r="K1587">
        <v>22</v>
      </c>
      <c r="L1587" t="s">
        <v>3258</v>
      </c>
      <c r="M1587" t="s">
        <v>3378</v>
      </c>
      <c r="N1587" t="s">
        <v>1630</v>
      </c>
      <c r="O1587" s="4">
        <v>45672.7151041667</v>
      </c>
      <c r="P1587" t="s">
        <v>4139</v>
      </c>
      <c r="Q1587" t="s">
        <v>1887</v>
      </c>
      <c r="R1587" t="s">
        <v>4060</v>
      </c>
      <c r="T1587" t="s">
        <v>4139</v>
      </c>
    </row>
    <row r="1588" ht="25.5" customHeight="1" spans="1:20">
      <c r="A1588" t="s">
        <v>2480</v>
      </c>
      <c r="B1588" t="s">
        <v>1816</v>
      </c>
      <c r="C1588" t="s">
        <v>4138</v>
      </c>
      <c r="D1588" s="3"/>
      <c r="E1588" s="2">
        <v>45673</v>
      </c>
      <c r="F1588">
        <v>2645</v>
      </c>
      <c r="G1588">
        <v>54600</v>
      </c>
      <c r="H1588">
        <v>135</v>
      </c>
      <c r="I1588">
        <v>10</v>
      </c>
      <c r="J1588">
        <v>105</v>
      </c>
      <c r="K1588">
        <v>22</v>
      </c>
      <c r="L1588" t="s">
        <v>3258</v>
      </c>
      <c r="M1588" t="s">
        <v>3378</v>
      </c>
      <c r="N1588" t="s">
        <v>1630</v>
      </c>
      <c r="O1588" s="4">
        <v>45673.6286689815</v>
      </c>
      <c r="P1588" t="s">
        <v>4139</v>
      </c>
      <c r="Q1588" t="s">
        <v>1887</v>
      </c>
      <c r="R1588" t="s">
        <v>4059</v>
      </c>
      <c r="T1588" t="s">
        <v>4139</v>
      </c>
    </row>
    <row r="1589" ht="25.5" customHeight="1" spans="1:20">
      <c r="A1589" t="s">
        <v>2480</v>
      </c>
      <c r="B1589" t="s">
        <v>1816</v>
      </c>
      <c r="C1589" t="s">
        <v>4138</v>
      </c>
      <c r="D1589" s="3"/>
      <c r="E1589" s="2">
        <v>45674</v>
      </c>
      <c r="F1589">
        <v>2650</v>
      </c>
      <c r="G1589">
        <v>54600</v>
      </c>
      <c r="H1589">
        <v>135</v>
      </c>
      <c r="I1589">
        <v>10</v>
      </c>
      <c r="J1589">
        <v>105</v>
      </c>
      <c r="K1589">
        <v>23</v>
      </c>
      <c r="L1589" t="s">
        <v>3258</v>
      </c>
      <c r="M1589" t="s">
        <v>3378</v>
      </c>
      <c r="N1589" t="s">
        <v>1630</v>
      </c>
      <c r="O1589" s="4">
        <v>45674.6833217593</v>
      </c>
      <c r="P1589" t="s">
        <v>4139</v>
      </c>
      <c r="Q1589" t="s">
        <v>1887</v>
      </c>
      <c r="R1589" t="s">
        <v>4060</v>
      </c>
      <c r="T1589" t="s">
        <v>4139</v>
      </c>
    </row>
    <row r="1590" ht="25.5" customHeight="1" spans="1:20">
      <c r="A1590" t="s">
        <v>2480</v>
      </c>
      <c r="B1590" t="s">
        <v>1816</v>
      </c>
      <c r="C1590" t="s">
        <v>4138</v>
      </c>
      <c r="D1590" s="3"/>
      <c r="E1590" s="2">
        <v>45677</v>
      </c>
      <c r="F1590">
        <v>2667</v>
      </c>
      <c r="G1590">
        <v>54700</v>
      </c>
      <c r="H1590">
        <v>135</v>
      </c>
      <c r="I1590">
        <v>10</v>
      </c>
      <c r="J1590">
        <v>105</v>
      </c>
      <c r="K1590">
        <v>23</v>
      </c>
      <c r="L1590" t="s">
        <v>3258</v>
      </c>
      <c r="M1590" t="s">
        <v>3378</v>
      </c>
      <c r="N1590" t="s">
        <v>1630</v>
      </c>
      <c r="O1590" s="4">
        <v>45677.442337963</v>
      </c>
      <c r="P1590" t="s">
        <v>4139</v>
      </c>
      <c r="Q1590" t="s">
        <v>1887</v>
      </c>
      <c r="R1590" t="s">
        <v>4060</v>
      </c>
      <c r="T1590" t="s">
        <v>4139</v>
      </c>
    </row>
    <row r="1591" ht="25.5" customHeight="1" spans="1:20">
      <c r="A1591" t="s">
        <v>2480</v>
      </c>
      <c r="B1591" t="s">
        <v>1816</v>
      </c>
      <c r="C1591" t="s">
        <v>4138</v>
      </c>
      <c r="D1591" s="3"/>
      <c r="E1591" s="2">
        <v>45678</v>
      </c>
      <c r="F1591">
        <v>2655</v>
      </c>
      <c r="G1591">
        <v>54700</v>
      </c>
      <c r="H1591">
        <v>134</v>
      </c>
      <c r="I1591">
        <v>10</v>
      </c>
      <c r="J1591">
        <v>105</v>
      </c>
      <c r="K1591">
        <v>22</v>
      </c>
      <c r="L1591" t="s">
        <v>3258</v>
      </c>
      <c r="M1591" t="s">
        <v>3378</v>
      </c>
      <c r="N1591" t="s">
        <v>1630</v>
      </c>
      <c r="O1591" s="4">
        <v>45678.6683680556</v>
      </c>
      <c r="P1591" t="s">
        <v>4139</v>
      </c>
      <c r="Q1591" t="s">
        <v>1887</v>
      </c>
      <c r="R1591" t="s">
        <v>3975</v>
      </c>
      <c r="T1591" t="s">
        <v>4139</v>
      </c>
    </row>
    <row r="1592" ht="25.5" customHeight="1" spans="1:20">
      <c r="A1592" t="s">
        <v>2480</v>
      </c>
      <c r="B1592" t="s">
        <v>1816</v>
      </c>
      <c r="C1592" t="s">
        <v>4138</v>
      </c>
      <c r="D1592" s="3"/>
      <c r="E1592" s="2">
        <v>45679</v>
      </c>
      <c r="F1592">
        <v>2637</v>
      </c>
      <c r="G1592">
        <v>54700</v>
      </c>
      <c r="H1592">
        <v>133</v>
      </c>
      <c r="I1592">
        <v>10</v>
      </c>
      <c r="J1592">
        <v>105</v>
      </c>
      <c r="K1592">
        <v>22</v>
      </c>
      <c r="L1592" t="s">
        <v>3258</v>
      </c>
      <c r="M1592" t="s">
        <v>3378</v>
      </c>
      <c r="N1592" t="s">
        <v>1630</v>
      </c>
      <c r="O1592" s="4">
        <v>45679.6531712963</v>
      </c>
      <c r="P1592" t="s">
        <v>4139</v>
      </c>
      <c r="Q1592" t="s">
        <v>1887</v>
      </c>
      <c r="R1592" t="s">
        <v>4140</v>
      </c>
      <c r="T1592" t="s">
        <v>4139</v>
      </c>
    </row>
    <row r="1593" ht="25.5" customHeight="1" spans="1:20">
      <c r="A1593" t="s">
        <v>2480</v>
      </c>
      <c r="B1593" t="s">
        <v>1816</v>
      </c>
      <c r="C1593" t="s">
        <v>4138</v>
      </c>
      <c r="D1593" s="3"/>
      <c r="E1593" s="2">
        <v>45680</v>
      </c>
      <c r="F1593">
        <v>2753</v>
      </c>
      <c r="G1593">
        <v>54700</v>
      </c>
      <c r="H1593">
        <v>134</v>
      </c>
      <c r="I1593">
        <v>10</v>
      </c>
      <c r="J1593">
        <v>104</v>
      </c>
      <c r="K1593">
        <v>22</v>
      </c>
      <c r="L1593" t="s">
        <v>3258</v>
      </c>
      <c r="M1593" t="s">
        <v>3378</v>
      </c>
      <c r="N1593" t="s">
        <v>1630</v>
      </c>
      <c r="O1593" s="4">
        <v>45680.6686574074</v>
      </c>
      <c r="P1593" t="s">
        <v>4139</v>
      </c>
      <c r="Q1593" t="s">
        <v>1887</v>
      </c>
      <c r="R1593" t="s">
        <v>4140</v>
      </c>
      <c r="T1593" t="s">
        <v>4139</v>
      </c>
    </row>
    <row r="1594" ht="25.5" customHeight="1" spans="1:20">
      <c r="A1594" t="s">
        <v>2480</v>
      </c>
      <c r="B1594" t="s">
        <v>1816</v>
      </c>
      <c r="C1594" t="s">
        <v>4138</v>
      </c>
      <c r="D1594" s="3"/>
      <c r="E1594" s="2">
        <v>45681</v>
      </c>
      <c r="F1594">
        <v>2788</v>
      </c>
      <c r="G1594">
        <v>54700</v>
      </c>
      <c r="H1594">
        <v>134</v>
      </c>
      <c r="I1594">
        <v>10</v>
      </c>
      <c r="J1594">
        <v>104</v>
      </c>
      <c r="K1594">
        <v>22</v>
      </c>
      <c r="L1594" t="s">
        <v>3258</v>
      </c>
      <c r="M1594" t="s">
        <v>3378</v>
      </c>
      <c r="N1594" t="s">
        <v>1630</v>
      </c>
      <c r="O1594" s="4">
        <v>45681.6536921296</v>
      </c>
      <c r="P1594" t="s">
        <v>4139</v>
      </c>
      <c r="Q1594" t="s">
        <v>1887</v>
      </c>
      <c r="R1594" t="s">
        <v>4140</v>
      </c>
      <c r="T1594" t="s">
        <v>4139</v>
      </c>
    </row>
    <row r="1595" ht="25.5" customHeight="1" spans="1:20">
      <c r="A1595" t="s">
        <v>2480</v>
      </c>
      <c r="B1595" t="s">
        <v>1816</v>
      </c>
      <c r="C1595" t="s">
        <v>4138</v>
      </c>
      <c r="D1595" s="3"/>
      <c r="E1595" s="2">
        <v>45683</v>
      </c>
      <c r="F1595">
        <v>3497</v>
      </c>
      <c r="G1595">
        <v>54800</v>
      </c>
      <c r="H1595">
        <v>134</v>
      </c>
      <c r="I1595">
        <v>10</v>
      </c>
      <c r="J1595">
        <v>103</v>
      </c>
      <c r="K1595">
        <v>22</v>
      </c>
      <c r="L1595" t="s">
        <v>3195</v>
      </c>
      <c r="M1595" t="s">
        <v>3378</v>
      </c>
      <c r="N1595" t="s">
        <v>1630</v>
      </c>
      <c r="O1595" s="4">
        <v>45683.796087963</v>
      </c>
      <c r="P1595" t="s">
        <v>4139</v>
      </c>
      <c r="Q1595" t="s">
        <v>1887</v>
      </c>
      <c r="R1595" t="s">
        <v>4141</v>
      </c>
      <c r="T1595" t="s">
        <v>4139</v>
      </c>
    </row>
    <row r="1596" ht="25.5" customHeight="1" spans="1:20">
      <c r="A1596" t="s">
        <v>2480</v>
      </c>
      <c r="B1596" t="s">
        <v>1816</v>
      </c>
      <c r="C1596" t="s">
        <v>4138</v>
      </c>
      <c r="D1596" s="3"/>
      <c r="E1596" s="2">
        <v>45684</v>
      </c>
      <c r="F1596">
        <v>3945</v>
      </c>
      <c r="G1596">
        <v>54800</v>
      </c>
      <c r="H1596">
        <v>134</v>
      </c>
      <c r="I1596">
        <v>10</v>
      </c>
      <c r="J1596">
        <v>103</v>
      </c>
      <c r="K1596">
        <v>22</v>
      </c>
      <c r="L1596" t="s">
        <v>3208</v>
      </c>
      <c r="M1596" t="s">
        <v>3378</v>
      </c>
      <c r="N1596" t="s">
        <v>1630</v>
      </c>
      <c r="O1596" s="4">
        <v>45684.7538194444</v>
      </c>
      <c r="P1596" t="s">
        <v>4139</v>
      </c>
      <c r="Q1596" t="s">
        <v>1887</v>
      </c>
      <c r="R1596" t="s">
        <v>4141</v>
      </c>
      <c r="T1596" t="s">
        <v>4139</v>
      </c>
    </row>
    <row r="1597" ht="25.5" customHeight="1" spans="1:20">
      <c r="A1597" t="s">
        <v>2480</v>
      </c>
      <c r="B1597" t="s">
        <v>1816</v>
      </c>
      <c r="C1597" t="s">
        <v>4138</v>
      </c>
      <c r="D1597" s="3"/>
      <c r="E1597" s="2">
        <v>45693</v>
      </c>
      <c r="F1597">
        <v>5152</v>
      </c>
      <c r="G1597">
        <v>54900</v>
      </c>
      <c r="H1597">
        <v>133</v>
      </c>
      <c r="I1597">
        <v>10</v>
      </c>
      <c r="J1597">
        <v>104</v>
      </c>
      <c r="K1597">
        <v>22</v>
      </c>
      <c r="L1597" t="s">
        <v>3284</v>
      </c>
      <c r="M1597" t="s">
        <v>3378</v>
      </c>
      <c r="N1597" t="s">
        <v>1630</v>
      </c>
      <c r="O1597" s="4">
        <v>45693.8375231481</v>
      </c>
      <c r="P1597" t="s">
        <v>4139</v>
      </c>
      <c r="Q1597" t="s">
        <v>1887</v>
      </c>
      <c r="R1597" t="s">
        <v>4141</v>
      </c>
      <c r="T1597" t="s">
        <v>4139</v>
      </c>
    </row>
    <row r="1598" ht="25.5" customHeight="1" spans="1:20">
      <c r="A1598" t="s">
        <v>2480</v>
      </c>
      <c r="B1598" t="s">
        <v>1816</v>
      </c>
      <c r="C1598" t="s">
        <v>4138</v>
      </c>
      <c r="D1598" s="3"/>
      <c r="E1598" s="2">
        <v>45694</v>
      </c>
      <c r="F1598">
        <v>5158</v>
      </c>
      <c r="G1598">
        <v>54900</v>
      </c>
      <c r="H1598">
        <v>134</v>
      </c>
      <c r="I1598">
        <v>10</v>
      </c>
      <c r="J1598">
        <v>103</v>
      </c>
      <c r="K1598">
        <v>22</v>
      </c>
      <c r="L1598" t="s">
        <v>3284</v>
      </c>
      <c r="M1598" t="s">
        <v>3378</v>
      </c>
      <c r="N1598" t="s">
        <v>1630</v>
      </c>
      <c r="O1598" s="4">
        <v>45698.6216782407</v>
      </c>
      <c r="P1598" t="s">
        <v>4139</v>
      </c>
      <c r="Q1598" t="s">
        <v>1887</v>
      </c>
      <c r="R1598" t="s">
        <v>4141</v>
      </c>
      <c r="S1598" t="s">
        <v>3301</v>
      </c>
      <c r="T1598" t="s">
        <v>4139</v>
      </c>
    </row>
    <row r="1599" ht="25.5" customHeight="1" spans="1:20">
      <c r="A1599" t="s">
        <v>744</v>
      </c>
      <c r="B1599" t="s">
        <v>56</v>
      </c>
      <c r="D1599" s="3"/>
      <c r="E1599" s="2"/>
      <c r="M1599" t="s">
        <v>3811</v>
      </c>
      <c r="N1599" t="s">
        <v>1645</v>
      </c>
      <c r="O1599" s="4">
        <v>45670.743587963</v>
      </c>
      <c r="P1599" t="s">
        <v>57</v>
      </c>
      <c r="Q1599" t="s">
        <v>1887</v>
      </c>
      <c r="R1599" t="s">
        <v>3133</v>
      </c>
      <c r="T1599" t="s">
        <v>57</v>
      </c>
    </row>
    <row r="1600" ht="25.5" customHeight="1" spans="1:20">
      <c r="A1600" t="s">
        <v>3082</v>
      </c>
      <c r="B1600" t="s">
        <v>56</v>
      </c>
      <c r="C1600" t="s">
        <v>4142</v>
      </c>
      <c r="D1600" s="3"/>
      <c r="E1600" s="2">
        <v>45683</v>
      </c>
      <c r="F1600">
        <v>4125</v>
      </c>
      <c r="G1600">
        <v>811</v>
      </c>
      <c r="H1600">
        <v>8</v>
      </c>
      <c r="I1600">
        <v>0</v>
      </c>
      <c r="J1600">
        <v>9</v>
      </c>
      <c r="K1600">
        <v>0</v>
      </c>
      <c r="L1600" t="s">
        <v>3331</v>
      </c>
      <c r="M1600" t="s">
        <v>4143</v>
      </c>
      <c r="N1600" t="s">
        <v>1630</v>
      </c>
      <c r="O1600" s="4">
        <v>45683.7725115741</v>
      </c>
      <c r="P1600" t="s">
        <v>57</v>
      </c>
      <c r="Q1600" t="s">
        <v>1703</v>
      </c>
      <c r="R1600" t="s">
        <v>3860</v>
      </c>
      <c r="T1600" t="s">
        <v>57</v>
      </c>
    </row>
    <row r="1601" ht="25.5" customHeight="1" spans="1:20">
      <c r="A1601" t="s">
        <v>3082</v>
      </c>
      <c r="B1601" t="s">
        <v>56</v>
      </c>
      <c r="C1601" t="s">
        <v>4142</v>
      </c>
      <c r="D1601" s="3"/>
      <c r="E1601" s="2">
        <v>45684</v>
      </c>
      <c r="F1601">
        <v>4126</v>
      </c>
      <c r="G1601">
        <v>820</v>
      </c>
      <c r="H1601">
        <v>8</v>
      </c>
      <c r="I1601">
        <v>0</v>
      </c>
      <c r="J1601">
        <v>9</v>
      </c>
      <c r="K1601">
        <v>0</v>
      </c>
      <c r="L1601" t="s">
        <v>3331</v>
      </c>
      <c r="M1601" t="s">
        <v>4143</v>
      </c>
      <c r="N1601" t="s">
        <v>1630</v>
      </c>
      <c r="O1601" s="4">
        <v>45684.8510069444</v>
      </c>
      <c r="P1601" t="s">
        <v>57</v>
      </c>
      <c r="Q1601" t="s">
        <v>1703</v>
      </c>
      <c r="R1601" t="s">
        <v>3860</v>
      </c>
      <c r="T1601" t="s">
        <v>57</v>
      </c>
    </row>
    <row r="1602" ht="25.5" customHeight="1" spans="1:20">
      <c r="A1602" t="s">
        <v>3082</v>
      </c>
      <c r="B1602" t="s">
        <v>56</v>
      </c>
      <c r="C1602" t="s">
        <v>4142</v>
      </c>
      <c r="D1602" s="3"/>
      <c r="E1602" s="2">
        <v>45693</v>
      </c>
      <c r="F1602">
        <v>4129</v>
      </c>
      <c r="G1602">
        <v>827</v>
      </c>
      <c r="H1602">
        <v>8</v>
      </c>
      <c r="I1602">
        <v>0</v>
      </c>
      <c r="J1602">
        <v>9</v>
      </c>
      <c r="K1602">
        <v>1</v>
      </c>
      <c r="L1602" t="s">
        <v>3331</v>
      </c>
      <c r="M1602" t="s">
        <v>4143</v>
      </c>
      <c r="N1602" t="s">
        <v>1630</v>
      </c>
      <c r="O1602" s="4">
        <v>45693.825775463</v>
      </c>
      <c r="P1602" t="s">
        <v>57</v>
      </c>
      <c r="Q1602" t="s">
        <v>1703</v>
      </c>
      <c r="R1602" t="s">
        <v>3876</v>
      </c>
      <c r="T1602" t="s">
        <v>57</v>
      </c>
    </row>
    <row r="1603" ht="25.5" customHeight="1" spans="1:20">
      <c r="A1603" t="s">
        <v>3082</v>
      </c>
      <c r="B1603" t="s">
        <v>56</v>
      </c>
      <c r="C1603" t="s">
        <v>4142</v>
      </c>
      <c r="D1603" s="3"/>
      <c r="E1603" s="2">
        <v>45694</v>
      </c>
      <c r="F1603">
        <v>4132</v>
      </c>
      <c r="G1603">
        <v>827</v>
      </c>
      <c r="H1603">
        <v>8</v>
      </c>
      <c r="I1603">
        <v>0</v>
      </c>
      <c r="J1603">
        <v>9</v>
      </c>
      <c r="K1603">
        <v>1</v>
      </c>
      <c r="L1603" t="s">
        <v>3331</v>
      </c>
      <c r="M1603" t="s">
        <v>4143</v>
      </c>
      <c r="N1603" t="s">
        <v>1630</v>
      </c>
      <c r="O1603" s="4">
        <v>45698.6216782407</v>
      </c>
      <c r="P1603" t="s">
        <v>57</v>
      </c>
      <c r="Q1603" t="s">
        <v>1703</v>
      </c>
      <c r="R1603" t="s">
        <v>3876</v>
      </c>
      <c r="S1603" t="s">
        <v>3301</v>
      </c>
      <c r="T1603" t="s">
        <v>57</v>
      </c>
    </row>
    <row r="1604" ht="25.5" customHeight="1" spans="1:20">
      <c r="A1604" t="s">
        <v>3082</v>
      </c>
      <c r="B1604" t="s">
        <v>56</v>
      </c>
      <c r="C1604" t="s">
        <v>4142</v>
      </c>
      <c r="D1604" s="3"/>
      <c r="E1604" s="2">
        <v>45695</v>
      </c>
      <c r="F1604">
        <v>4133</v>
      </c>
      <c r="G1604">
        <v>828</v>
      </c>
      <c r="H1604">
        <v>8</v>
      </c>
      <c r="I1604">
        <v>0</v>
      </c>
      <c r="J1604">
        <v>9</v>
      </c>
      <c r="K1604">
        <v>1</v>
      </c>
      <c r="L1604" t="s">
        <v>3331</v>
      </c>
      <c r="M1604" t="s">
        <v>4143</v>
      </c>
      <c r="N1604" t="s">
        <v>1630</v>
      </c>
      <c r="O1604" s="4">
        <v>45695.7192013889</v>
      </c>
      <c r="P1604" t="s">
        <v>57</v>
      </c>
      <c r="Q1604" t="s">
        <v>1703</v>
      </c>
      <c r="R1604" t="s">
        <v>3876</v>
      </c>
      <c r="T1604" t="s">
        <v>57</v>
      </c>
    </row>
    <row r="1605" ht="25.5" customHeight="1" spans="1:20">
      <c r="A1605" t="s">
        <v>3082</v>
      </c>
      <c r="B1605" t="s">
        <v>56</v>
      </c>
      <c r="C1605" t="s">
        <v>4142</v>
      </c>
      <c r="D1605" s="3"/>
      <c r="E1605" s="2">
        <v>45696</v>
      </c>
      <c r="F1605">
        <v>4136</v>
      </c>
      <c r="G1605">
        <v>828</v>
      </c>
      <c r="H1605">
        <v>8</v>
      </c>
      <c r="I1605">
        <v>0</v>
      </c>
      <c r="J1605">
        <v>9</v>
      </c>
      <c r="K1605">
        <v>1</v>
      </c>
      <c r="L1605" t="s">
        <v>3331</v>
      </c>
      <c r="M1605" t="s">
        <v>4143</v>
      </c>
      <c r="N1605" t="s">
        <v>1630</v>
      </c>
      <c r="O1605" s="4">
        <v>45696.4354861111</v>
      </c>
      <c r="P1605" t="s">
        <v>57</v>
      </c>
      <c r="Q1605" t="s">
        <v>1703</v>
      </c>
      <c r="R1605" t="s">
        <v>3876</v>
      </c>
      <c r="T1605" t="s">
        <v>57</v>
      </c>
    </row>
    <row r="1606" ht="25.5" customHeight="1" spans="1:20">
      <c r="A1606" t="s">
        <v>1845</v>
      </c>
      <c r="B1606" t="s">
        <v>56</v>
      </c>
      <c r="C1606" t="s">
        <v>4144</v>
      </c>
      <c r="D1606" s="3"/>
      <c r="E1606" s="2">
        <v>45670</v>
      </c>
      <c r="F1606">
        <v>2000000</v>
      </c>
      <c r="G1606">
        <v>20000</v>
      </c>
      <c r="H1606">
        <v>1473</v>
      </c>
      <c r="I1606">
        <v>19</v>
      </c>
      <c r="J1606">
        <v>201</v>
      </c>
      <c r="K1606">
        <v>43</v>
      </c>
      <c r="L1606" t="s">
        <v>3317</v>
      </c>
      <c r="M1606" t="s">
        <v>4005</v>
      </c>
      <c r="N1606" t="s">
        <v>1630</v>
      </c>
      <c r="O1606" s="4">
        <v>45671.7032291667</v>
      </c>
      <c r="P1606" t="s">
        <v>57</v>
      </c>
      <c r="Q1606" t="s">
        <v>97</v>
      </c>
      <c r="R1606" t="s">
        <v>3355</v>
      </c>
      <c r="T1606" t="s">
        <v>57</v>
      </c>
    </row>
    <row r="1607" ht="25.5" customHeight="1" spans="1:20">
      <c r="A1607" t="s">
        <v>1845</v>
      </c>
      <c r="B1607" t="s">
        <v>56</v>
      </c>
      <c r="C1607" t="s">
        <v>4144</v>
      </c>
      <c r="D1607" s="3"/>
      <c r="E1607" s="2">
        <v>45672</v>
      </c>
      <c r="F1607">
        <v>2000000</v>
      </c>
      <c r="G1607">
        <v>32100</v>
      </c>
      <c r="H1607">
        <v>2467</v>
      </c>
      <c r="I1607">
        <v>22</v>
      </c>
      <c r="J1607">
        <v>350</v>
      </c>
      <c r="K1607">
        <v>91</v>
      </c>
      <c r="L1607" t="s">
        <v>3317</v>
      </c>
      <c r="M1607" t="s">
        <v>4005</v>
      </c>
      <c r="N1607" t="s">
        <v>1630</v>
      </c>
      <c r="O1607" s="4">
        <v>45672.5233449074</v>
      </c>
      <c r="P1607" t="s">
        <v>57</v>
      </c>
      <c r="Q1607" t="s">
        <v>97</v>
      </c>
      <c r="R1607" t="s">
        <v>4145</v>
      </c>
      <c r="T1607" t="s">
        <v>57</v>
      </c>
    </row>
    <row r="1608" ht="25.5" customHeight="1" spans="1:20">
      <c r="A1608" t="s">
        <v>1845</v>
      </c>
      <c r="B1608" t="s">
        <v>56</v>
      </c>
      <c r="C1608" t="s">
        <v>4144</v>
      </c>
      <c r="D1608" s="3"/>
      <c r="E1608" s="2">
        <v>45673</v>
      </c>
      <c r="F1608">
        <v>2000000</v>
      </c>
      <c r="G1608">
        <v>36200</v>
      </c>
      <c r="H1608">
        <v>2851</v>
      </c>
      <c r="I1608">
        <v>24</v>
      </c>
      <c r="J1608">
        <v>400</v>
      </c>
      <c r="K1608">
        <v>104</v>
      </c>
      <c r="L1608" t="s">
        <v>3317</v>
      </c>
      <c r="M1608" t="s">
        <v>4005</v>
      </c>
      <c r="N1608" t="s">
        <v>1630</v>
      </c>
      <c r="O1608" s="4">
        <v>45673.6175810185</v>
      </c>
      <c r="P1608" t="s">
        <v>57</v>
      </c>
      <c r="Q1608" t="s">
        <v>97</v>
      </c>
      <c r="R1608" t="s">
        <v>4146</v>
      </c>
      <c r="T1608" t="s">
        <v>57</v>
      </c>
    </row>
    <row r="1609" ht="25.5" customHeight="1" spans="1:20">
      <c r="A1609" t="s">
        <v>1845</v>
      </c>
      <c r="B1609" t="s">
        <v>56</v>
      </c>
      <c r="C1609" t="s">
        <v>4144</v>
      </c>
      <c r="D1609" s="3"/>
      <c r="E1609" s="2">
        <v>45674</v>
      </c>
      <c r="F1609">
        <v>2000000</v>
      </c>
      <c r="G1609">
        <v>38400</v>
      </c>
      <c r="H1609">
        <v>3082</v>
      </c>
      <c r="I1609">
        <v>26</v>
      </c>
      <c r="J1609">
        <v>421</v>
      </c>
      <c r="K1609">
        <v>111</v>
      </c>
      <c r="L1609" t="s">
        <v>3317</v>
      </c>
      <c r="M1609" t="s">
        <v>4005</v>
      </c>
      <c r="N1609" t="s">
        <v>1630</v>
      </c>
      <c r="O1609" s="4">
        <v>45674.6752893518</v>
      </c>
      <c r="P1609" t="s">
        <v>57</v>
      </c>
      <c r="Q1609" t="s">
        <v>97</v>
      </c>
      <c r="R1609" t="s">
        <v>4147</v>
      </c>
      <c r="T1609" t="s">
        <v>57</v>
      </c>
    </row>
    <row r="1610" ht="25.5" customHeight="1" spans="1:20">
      <c r="A1610" t="s">
        <v>1845</v>
      </c>
      <c r="B1610" t="s">
        <v>56</v>
      </c>
      <c r="C1610" t="s">
        <v>4144</v>
      </c>
      <c r="D1610" s="3"/>
      <c r="E1610" s="2">
        <v>45677</v>
      </c>
      <c r="F1610">
        <v>2000000</v>
      </c>
      <c r="G1610">
        <v>44400</v>
      </c>
      <c r="H1610">
        <v>3685</v>
      </c>
      <c r="I1610">
        <v>28</v>
      </c>
      <c r="J1610">
        <v>505</v>
      </c>
      <c r="K1610">
        <v>136</v>
      </c>
      <c r="L1610" t="s">
        <v>3230</v>
      </c>
      <c r="M1610" t="s">
        <v>4005</v>
      </c>
      <c r="N1610" t="s">
        <v>1630</v>
      </c>
      <c r="O1610" s="4">
        <v>45677.4350925926</v>
      </c>
      <c r="P1610" t="s">
        <v>57</v>
      </c>
      <c r="Q1610" t="s">
        <v>97</v>
      </c>
      <c r="R1610" t="s">
        <v>4148</v>
      </c>
      <c r="T1610" t="s">
        <v>57</v>
      </c>
    </row>
    <row r="1611" ht="25.5" customHeight="1" spans="1:20">
      <c r="A1611" t="s">
        <v>1845</v>
      </c>
      <c r="B1611" t="s">
        <v>56</v>
      </c>
      <c r="C1611" t="s">
        <v>4144</v>
      </c>
      <c r="D1611" s="3"/>
      <c r="E1611" s="2">
        <v>45678</v>
      </c>
      <c r="F1611">
        <v>2000000</v>
      </c>
      <c r="G1611">
        <v>45900</v>
      </c>
      <c r="H1611">
        <v>3820</v>
      </c>
      <c r="I1611">
        <v>31</v>
      </c>
      <c r="J1611">
        <v>524</v>
      </c>
      <c r="K1611">
        <v>152</v>
      </c>
      <c r="L1611" t="s">
        <v>3230</v>
      </c>
      <c r="M1611" t="s">
        <v>4005</v>
      </c>
      <c r="N1611" t="s">
        <v>1630</v>
      </c>
      <c r="O1611" s="4">
        <v>45678.642962963</v>
      </c>
      <c r="P1611" t="s">
        <v>57</v>
      </c>
      <c r="Q1611" t="s">
        <v>97</v>
      </c>
      <c r="R1611" t="s">
        <v>4149</v>
      </c>
      <c r="T1611" t="s">
        <v>57</v>
      </c>
    </row>
    <row r="1612" ht="25.5" customHeight="1" spans="1:20">
      <c r="A1612" t="s">
        <v>1845</v>
      </c>
      <c r="B1612" t="s">
        <v>56</v>
      </c>
      <c r="C1612" t="s">
        <v>4144</v>
      </c>
      <c r="D1612" s="3"/>
      <c r="E1612" s="2">
        <v>45679</v>
      </c>
      <c r="F1612">
        <v>2000000</v>
      </c>
      <c r="G1612">
        <v>46700</v>
      </c>
      <c r="H1612">
        <v>3899</v>
      </c>
      <c r="I1612">
        <v>31</v>
      </c>
      <c r="J1612">
        <v>532</v>
      </c>
      <c r="K1612">
        <v>162</v>
      </c>
      <c r="L1612" t="s">
        <v>3230</v>
      </c>
      <c r="M1612" t="s">
        <v>4005</v>
      </c>
      <c r="N1612" t="s">
        <v>1630</v>
      </c>
      <c r="O1612" s="4">
        <v>45679.6966319444</v>
      </c>
      <c r="P1612" t="s">
        <v>57</v>
      </c>
      <c r="Q1612" t="s">
        <v>97</v>
      </c>
      <c r="R1612" t="s">
        <v>4150</v>
      </c>
      <c r="T1612" t="s">
        <v>57</v>
      </c>
    </row>
    <row r="1613" ht="25.5" customHeight="1" spans="1:20">
      <c r="A1613" t="s">
        <v>1845</v>
      </c>
      <c r="B1613" t="s">
        <v>56</v>
      </c>
      <c r="C1613" t="s">
        <v>4144</v>
      </c>
      <c r="D1613" s="3"/>
      <c r="E1613" s="2">
        <v>45680</v>
      </c>
      <c r="F1613">
        <v>2000000</v>
      </c>
      <c r="G1613">
        <v>47400</v>
      </c>
      <c r="H1613">
        <v>3964</v>
      </c>
      <c r="I1613">
        <v>31</v>
      </c>
      <c r="J1613">
        <v>535</v>
      </c>
      <c r="K1613">
        <v>164</v>
      </c>
      <c r="L1613" t="s">
        <v>3230</v>
      </c>
      <c r="M1613" t="s">
        <v>4005</v>
      </c>
      <c r="N1613" t="s">
        <v>1630</v>
      </c>
      <c r="O1613" s="4">
        <v>45680.6571759259</v>
      </c>
      <c r="P1613" t="s">
        <v>57</v>
      </c>
      <c r="Q1613" t="s">
        <v>97</v>
      </c>
      <c r="R1613" t="s">
        <v>4151</v>
      </c>
      <c r="T1613" t="s">
        <v>57</v>
      </c>
    </row>
    <row r="1614" ht="25.5" customHeight="1" spans="1:20">
      <c r="A1614" t="s">
        <v>1845</v>
      </c>
      <c r="B1614" t="s">
        <v>56</v>
      </c>
      <c r="C1614" t="s">
        <v>4144</v>
      </c>
      <c r="D1614" s="3"/>
      <c r="E1614" s="2">
        <v>45681</v>
      </c>
      <c r="F1614">
        <v>2000000</v>
      </c>
      <c r="G1614">
        <v>48600</v>
      </c>
      <c r="H1614">
        <v>4057</v>
      </c>
      <c r="I1614">
        <v>32</v>
      </c>
      <c r="J1614">
        <v>554</v>
      </c>
      <c r="K1614">
        <v>165</v>
      </c>
      <c r="L1614" t="s">
        <v>3230</v>
      </c>
      <c r="M1614" t="s">
        <v>4005</v>
      </c>
      <c r="N1614" t="s">
        <v>1630</v>
      </c>
      <c r="O1614" s="4">
        <v>45681.6426041667</v>
      </c>
      <c r="P1614" t="s">
        <v>57</v>
      </c>
      <c r="Q1614" t="s">
        <v>97</v>
      </c>
      <c r="R1614" t="s">
        <v>4152</v>
      </c>
      <c r="T1614" t="s">
        <v>57</v>
      </c>
    </row>
    <row r="1615" ht="25.5" customHeight="1" spans="1:20">
      <c r="A1615" t="s">
        <v>1845</v>
      </c>
      <c r="B1615" t="s">
        <v>56</v>
      </c>
      <c r="C1615" t="s">
        <v>4144</v>
      </c>
      <c r="D1615" s="3"/>
      <c r="E1615" s="2">
        <v>45683</v>
      </c>
      <c r="F1615">
        <v>2000000</v>
      </c>
      <c r="G1615">
        <v>51500</v>
      </c>
      <c r="H1615">
        <v>4262</v>
      </c>
      <c r="I1615">
        <v>32</v>
      </c>
      <c r="J1615">
        <v>576</v>
      </c>
      <c r="K1615">
        <v>171</v>
      </c>
      <c r="L1615" t="s">
        <v>3230</v>
      </c>
      <c r="M1615" t="s">
        <v>4005</v>
      </c>
      <c r="N1615" t="s">
        <v>1630</v>
      </c>
      <c r="O1615" s="4">
        <v>45683.7729398148</v>
      </c>
      <c r="P1615" t="s">
        <v>57</v>
      </c>
      <c r="Q1615" t="s">
        <v>97</v>
      </c>
      <c r="R1615" t="s">
        <v>4153</v>
      </c>
      <c r="T1615" t="s">
        <v>57</v>
      </c>
    </row>
    <row r="1616" ht="25.5" customHeight="1" spans="1:20">
      <c r="A1616" t="s">
        <v>1845</v>
      </c>
      <c r="B1616" t="s">
        <v>56</v>
      </c>
      <c r="C1616" t="s">
        <v>4144</v>
      </c>
      <c r="D1616" s="3"/>
      <c r="E1616" s="2">
        <v>45684</v>
      </c>
      <c r="F1616">
        <v>2000000</v>
      </c>
      <c r="G1616">
        <v>53000</v>
      </c>
      <c r="H1616">
        <v>4353</v>
      </c>
      <c r="I1616">
        <v>34</v>
      </c>
      <c r="J1616">
        <v>592</v>
      </c>
      <c r="K1616">
        <v>176</v>
      </c>
      <c r="L1616" t="s">
        <v>3230</v>
      </c>
      <c r="M1616" t="s">
        <v>4005</v>
      </c>
      <c r="N1616" t="s">
        <v>1630</v>
      </c>
      <c r="O1616" s="4">
        <v>45684.8511805556</v>
      </c>
      <c r="P1616" t="s">
        <v>57</v>
      </c>
      <c r="Q1616" t="s">
        <v>97</v>
      </c>
      <c r="R1616" t="s">
        <v>4154</v>
      </c>
      <c r="T1616" t="s">
        <v>57</v>
      </c>
    </row>
    <row r="1617" ht="25.5" customHeight="1" spans="1:20">
      <c r="A1617" t="s">
        <v>1845</v>
      </c>
      <c r="B1617" t="s">
        <v>56</v>
      </c>
      <c r="C1617" t="s">
        <v>4144</v>
      </c>
      <c r="D1617" s="3"/>
      <c r="E1617" s="2">
        <v>45693</v>
      </c>
      <c r="F1617">
        <v>2000000</v>
      </c>
      <c r="G1617">
        <v>80500</v>
      </c>
      <c r="H1617">
        <v>6310</v>
      </c>
      <c r="I1617">
        <v>49</v>
      </c>
      <c r="J1617">
        <v>853</v>
      </c>
      <c r="K1617">
        <v>213</v>
      </c>
      <c r="L1617" t="s">
        <v>3317</v>
      </c>
      <c r="M1617" t="s">
        <v>4005</v>
      </c>
      <c r="N1617" t="s">
        <v>1630</v>
      </c>
      <c r="O1617" s="4">
        <v>45693.8259953704</v>
      </c>
      <c r="P1617" t="s">
        <v>57</v>
      </c>
      <c r="Q1617" t="s">
        <v>97</v>
      </c>
      <c r="R1617" t="s">
        <v>4155</v>
      </c>
      <c r="T1617" t="s">
        <v>57</v>
      </c>
    </row>
    <row r="1618" ht="25.5" customHeight="1" spans="1:20">
      <c r="A1618" t="s">
        <v>1845</v>
      </c>
      <c r="B1618" t="s">
        <v>56</v>
      </c>
      <c r="C1618" t="s">
        <v>4144</v>
      </c>
      <c r="D1618" s="3"/>
      <c r="E1618" s="2">
        <v>45694</v>
      </c>
      <c r="F1618">
        <v>2000000</v>
      </c>
      <c r="G1618">
        <v>81200</v>
      </c>
      <c r="H1618">
        <v>6372</v>
      </c>
      <c r="I1618">
        <v>50</v>
      </c>
      <c r="J1618">
        <v>855</v>
      </c>
      <c r="K1618">
        <v>213</v>
      </c>
      <c r="L1618" t="s">
        <v>3317</v>
      </c>
      <c r="M1618" t="s">
        <v>4005</v>
      </c>
      <c r="N1618" t="s">
        <v>1630</v>
      </c>
      <c r="O1618" s="4">
        <v>45698.6216782407</v>
      </c>
      <c r="P1618" t="s">
        <v>57</v>
      </c>
      <c r="Q1618" t="s">
        <v>97</v>
      </c>
      <c r="R1618" t="s">
        <v>4156</v>
      </c>
      <c r="S1618" t="s">
        <v>3152</v>
      </c>
      <c r="T1618" t="s">
        <v>57</v>
      </c>
    </row>
    <row r="1619" ht="25.5" customHeight="1" spans="1:20">
      <c r="A1619" t="s">
        <v>2307</v>
      </c>
      <c r="B1619" t="s">
        <v>1816</v>
      </c>
      <c r="C1619" t="s">
        <v>4157</v>
      </c>
      <c r="D1619" s="3"/>
      <c r="E1619" s="2">
        <v>45664</v>
      </c>
      <c r="F1619">
        <v>67800</v>
      </c>
      <c r="G1619">
        <v>83100</v>
      </c>
      <c r="H1619">
        <v>251</v>
      </c>
      <c r="I1619">
        <v>36</v>
      </c>
      <c r="J1619">
        <v>486</v>
      </c>
      <c r="K1619">
        <v>57</v>
      </c>
      <c r="L1619" t="s">
        <v>3331</v>
      </c>
      <c r="M1619" t="s">
        <v>4158</v>
      </c>
      <c r="N1619" t="s">
        <v>1630</v>
      </c>
      <c r="O1619" s="4">
        <v>45671.7872685185</v>
      </c>
      <c r="P1619" t="s">
        <v>1817</v>
      </c>
      <c r="Q1619" t="s">
        <v>1631</v>
      </c>
      <c r="R1619" t="s">
        <v>4159</v>
      </c>
      <c r="T1619" t="s">
        <v>1817</v>
      </c>
    </row>
    <row r="1620" ht="25.5" customHeight="1" spans="1:20">
      <c r="A1620" t="s">
        <v>2307</v>
      </c>
      <c r="B1620" t="s">
        <v>1816</v>
      </c>
      <c r="C1620" t="s">
        <v>4157</v>
      </c>
      <c r="D1620" s="3"/>
      <c r="E1620" s="2">
        <v>45665</v>
      </c>
      <c r="F1620">
        <v>67900</v>
      </c>
      <c r="G1620">
        <v>97000</v>
      </c>
      <c r="H1620">
        <v>304</v>
      </c>
      <c r="I1620">
        <v>43</v>
      </c>
      <c r="J1620">
        <v>621</v>
      </c>
      <c r="K1620">
        <v>69</v>
      </c>
      <c r="L1620" t="s">
        <v>3331</v>
      </c>
      <c r="M1620" t="s">
        <v>4158</v>
      </c>
      <c r="N1620" t="s">
        <v>1630</v>
      </c>
      <c r="O1620" s="4">
        <v>45672.5030092593</v>
      </c>
      <c r="P1620" t="s">
        <v>1817</v>
      </c>
      <c r="Q1620" t="s">
        <v>1631</v>
      </c>
      <c r="R1620" t="s">
        <v>4160</v>
      </c>
      <c r="T1620" t="s">
        <v>1817</v>
      </c>
    </row>
    <row r="1621" ht="25.5" customHeight="1" spans="1:20">
      <c r="A1621" t="s">
        <v>2307</v>
      </c>
      <c r="B1621" t="s">
        <v>1816</v>
      </c>
      <c r="C1621" t="s">
        <v>4157</v>
      </c>
      <c r="D1621" s="3"/>
      <c r="E1621" s="2">
        <v>45670</v>
      </c>
      <c r="F1621">
        <v>68000</v>
      </c>
      <c r="G1621">
        <v>102000</v>
      </c>
      <c r="H1621">
        <v>317</v>
      </c>
      <c r="I1621">
        <v>46</v>
      </c>
      <c r="J1621">
        <v>645</v>
      </c>
      <c r="K1621">
        <v>72</v>
      </c>
      <c r="L1621" t="s">
        <v>3331</v>
      </c>
      <c r="M1621" t="s">
        <v>4158</v>
      </c>
      <c r="N1621" t="s">
        <v>1630</v>
      </c>
      <c r="O1621" s="4">
        <v>45672.5030092593</v>
      </c>
      <c r="P1621" t="s">
        <v>1817</v>
      </c>
      <c r="Q1621" t="s">
        <v>1631</v>
      </c>
      <c r="R1621" t="s">
        <v>4161</v>
      </c>
      <c r="T1621" t="s">
        <v>1817</v>
      </c>
    </row>
    <row r="1622" ht="25.5" customHeight="1" spans="1:20">
      <c r="A1622" t="s">
        <v>2307</v>
      </c>
      <c r="B1622" t="s">
        <v>1816</v>
      </c>
      <c r="C1622" t="s">
        <v>4157</v>
      </c>
      <c r="D1622" s="3"/>
      <c r="E1622" s="2">
        <v>45671</v>
      </c>
      <c r="F1622">
        <v>68100</v>
      </c>
      <c r="G1622">
        <v>102200</v>
      </c>
      <c r="H1622">
        <v>317</v>
      </c>
      <c r="I1622">
        <v>46</v>
      </c>
      <c r="J1622">
        <v>645</v>
      </c>
      <c r="K1622">
        <v>73</v>
      </c>
      <c r="L1622" t="s">
        <v>3331</v>
      </c>
      <c r="M1622" t="s">
        <v>4158</v>
      </c>
      <c r="N1622" t="s">
        <v>1630</v>
      </c>
      <c r="O1622" s="4">
        <v>45672.5030092593</v>
      </c>
      <c r="P1622" t="s">
        <v>1817</v>
      </c>
      <c r="Q1622" t="s">
        <v>1631</v>
      </c>
      <c r="R1622" t="s">
        <v>3882</v>
      </c>
      <c r="T1622" t="s">
        <v>1817</v>
      </c>
    </row>
    <row r="1623" ht="25.5" customHeight="1" spans="1:20">
      <c r="A1623" t="s">
        <v>2307</v>
      </c>
      <c r="B1623" t="s">
        <v>1816</v>
      </c>
      <c r="C1623" t="s">
        <v>4157</v>
      </c>
      <c r="D1623" s="3"/>
      <c r="E1623" s="2">
        <v>45672</v>
      </c>
      <c r="F1623">
        <v>68100</v>
      </c>
      <c r="G1623">
        <v>102300</v>
      </c>
      <c r="H1623">
        <v>320</v>
      </c>
      <c r="I1623">
        <v>46</v>
      </c>
      <c r="J1623">
        <v>645</v>
      </c>
      <c r="K1623">
        <v>73</v>
      </c>
      <c r="L1623" t="s">
        <v>3331</v>
      </c>
      <c r="M1623" t="s">
        <v>4158</v>
      </c>
      <c r="N1623" t="s">
        <v>1630</v>
      </c>
      <c r="O1623" s="4">
        <v>45672.7153472222</v>
      </c>
      <c r="P1623" t="s">
        <v>1817</v>
      </c>
      <c r="Q1623" t="s">
        <v>1631</v>
      </c>
      <c r="R1623" t="s">
        <v>4162</v>
      </c>
      <c r="T1623" t="s">
        <v>1817</v>
      </c>
    </row>
    <row r="1624" ht="25.5" customHeight="1" spans="1:20">
      <c r="A1624" t="s">
        <v>2307</v>
      </c>
      <c r="B1624" t="s">
        <v>1816</v>
      </c>
      <c r="C1624" t="s">
        <v>4157</v>
      </c>
      <c r="D1624" s="3"/>
      <c r="E1624" s="2">
        <v>45673</v>
      </c>
      <c r="F1624">
        <v>68200</v>
      </c>
      <c r="G1624">
        <v>102400</v>
      </c>
      <c r="H1624">
        <v>318</v>
      </c>
      <c r="I1624">
        <v>46</v>
      </c>
      <c r="J1624">
        <v>645</v>
      </c>
      <c r="K1624">
        <v>72</v>
      </c>
      <c r="L1624" t="s">
        <v>3331</v>
      </c>
      <c r="M1624" t="s">
        <v>4158</v>
      </c>
      <c r="N1624" t="s">
        <v>1630</v>
      </c>
      <c r="O1624" s="4">
        <v>45673.6289236111</v>
      </c>
      <c r="P1624" t="s">
        <v>1817</v>
      </c>
      <c r="Q1624" t="s">
        <v>1631</v>
      </c>
      <c r="R1624" t="s">
        <v>3882</v>
      </c>
      <c r="T1624" t="s">
        <v>1817</v>
      </c>
    </row>
    <row r="1625" ht="25.5" customHeight="1" spans="1:20">
      <c r="A1625" t="s">
        <v>2307</v>
      </c>
      <c r="B1625" t="s">
        <v>1816</v>
      </c>
      <c r="C1625" t="s">
        <v>4157</v>
      </c>
      <c r="D1625" s="3"/>
      <c r="E1625" s="2">
        <v>45674</v>
      </c>
      <c r="F1625">
        <v>68200</v>
      </c>
      <c r="G1625">
        <v>102500</v>
      </c>
      <c r="H1625">
        <v>319</v>
      </c>
      <c r="I1625">
        <v>46</v>
      </c>
      <c r="J1625">
        <v>646</v>
      </c>
      <c r="K1625">
        <v>72</v>
      </c>
      <c r="L1625" t="s">
        <v>3331</v>
      </c>
      <c r="M1625" t="s">
        <v>4158</v>
      </c>
      <c r="N1625" t="s">
        <v>1630</v>
      </c>
      <c r="O1625" s="4">
        <v>45674.6835763889</v>
      </c>
      <c r="P1625" t="s">
        <v>1817</v>
      </c>
      <c r="Q1625" t="s">
        <v>1631</v>
      </c>
      <c r="R1625" t="s">
        <v>4115</v>
      </c>
      <c r="T1625" t="s">
        <v>1817</v>
      </c>
    </row>
    <row r="1626" ht="25.5" customHeight="1" spans="1:20">
      <c r="A1626" t="s">
        <v>2307</v>
      </c>
      <c r="B1626" t="s">
        <v>1816</v>
      </c>
      <c r="C1626" t="s">
        <v>4157</v>
      </c>
      <c r="D1626" s="3"/>
      <c r="E1626" s="2">
        <v>45677</v>
      </c>
      <c r="F1626">
        <v>68300</v>
      </c>
      <c r="G1626">
        <v>102600</v>
      </c>
      <c r="H1626">
        <v>318</v>
      </c>
      <c r="I1626">
        <v>46</v>
      </c>
      <c r="J1626">
        <v>645</v>
      </c>
      <c r="K1626">
        <v>71</v>
      </c>
      <c r="L1626" t="s">
        <v>3331</v>
      </c>
      <c r="M1626" t="s">
        <v>4158</v>
      </c>
      <c r="N1626" t="s">
        <v>1630</v>
      </c>
      <c r="O1626" s="4">
        <v>45677.442662037</v>
      </c>
      <c r="P1626" t="s">
        <v>1817</v>
      </c>
      <c r="Q1626" t="s">
        <v>1631</v>
      </c>
      <c r="R1626" t="s">
        <v>4161</v>
      </c>
      <c r="T1626" t="s">
        <v>1817</v>
      </c>
    </row>
    <row r="1627" ht="25.5" customHeight="1" spans="1:20">
      <c r="A1627" t="s">
        <v>2307</v>
      </c>
      <c r="B1627" t="s">
        <v>1816</v>
      </c>
      <c r="C1627" t="s">
        <v>4157</v>
      </c>
      <c r="D1627" s="3"/>
      <c r="E1627" s="2">
        <v>45678</v>
      </c>
      <c r="F1627">
        <v>68300</v>
      </c>
      <c r="G1627">
        <v>102600</v>
      </c>
      <c r="H1627">
        <v>317</v>
      </c>
      <c r="I1627">
        <v>46</v>
      </c>
      <c r="J1627">
        <v>645</v>
      </c>
      <c r="K1627">
        <v>71</v>
      </c>
      <c r="L1627" t="s">
        <v>3331</v>
      </c>
      <c r="M1627" t="s">
        <v>4158</v>
      </c>
      <c r="N1627" t="s">
        <v>1630</v>
      </c>
      <c r="O1627" s="4">
        <v>45678.6684837963</v>
      </c>
      <c r="P1627" t="s">
        <v>1817</v>
      </c>
      <c r="Q1627" t="s">
        <v>1631</v>
      </c>
      <c r="R1627" t="s">
        <v>4163</v>
      </c>
      <c r="T1627" t="s">
        <v>1817</v>
      </c>
    </row>
    <row r="1628" ht="25.5" customHeight="1" spans="1:20">
      <c r="A1628" t="s">
        <v>2307</v>
      </c>
      <c r="B1628" t="s">
        <v>1816</v>
      </c>
      <c r="C1628" t="s">
        <v>4157</v>
      </c>
      <c r="D1628" s="3"/>
      <c r="E1628" s="2">
        <v>45679</v>
      </c>
      <c r="F1628">
        <v>68300</v>
      </c>
      <c r="G1628">
        <v>102600</v>
      </c>
      <c r="H1628">
        <v>320</v>
      </c>
      <c r="I1628">
        <v>46</v>
      </c>
      <c r="J1628">
        <v>643</v>
      </c>
      <c r="K1628">
        <v>72</v>
      </c>
      <c r="L1628" t="s">
        <v>3331</v>
      </c>
      <c r="M1628" t="s">
        <v>4158</v>
      </c>
      <c r="N1628" t="s">
        <v>1630</v>
      </c>
      <c r="O1628" s="4">
        <v>45679.6532986111</v>
      </c>
      <c r="P1628" t="s">
        <v>1817</v>
      </c>
      <c r="Q1628" t="s">
        <v>1631</v>
      </c>
      <c r="R1628" t="s">
        <v>3882</v>
      </c>
      <c r="T1628" t="s">
        <v>1817</v>
      </c>
    </row>
    <row r="1629" ht="25.5" customHeight="1" spans="1:20">
      <c r="A1629" t="s">
        <v>2307</v>
      </c>
      <c r="B1629" t="s">
        <v>1816</v>
      </c>
      <c r="C1629" t="s">
        <v>4157</v>
      </c>
      <c r="D1629" s="3"/>
      <c r="E1629" s="2">
        <v>45680</v>
      </c>
      <c r="F1629">
        <v>68300</v>
      </c>
      <c r="G1629">
        <v>102700</v>
      </c>
      <c r="H1629">
        <v>319</v>
      </c>
      <c r="I1629">
        <v>46</v>
      </c>
      <c r="J1629">
        <v>643</v>
      </c>
      <c r="K1629">
        <v>72</v>
      </c>
      <c r="L1629" t="s">
        <v>3331</v>
      </c>
      <c r="M1629" t="s">
        <v>4158</v>
      </c>
      <c r="N1629" t="s">
        <v>1630</v>
      </c>
      <c r="O1629" s="4">
        <v>45680.6688541667</v>
      </c>
      <c r="P1629" t="s">
        <v>1817</v>
      </c>
      <c r="Q1629" t="s">
        <v>1631</v>
      </c>
      <c r="R1629" t="s">
        <v>4161</v>
      </c>
      <c r="T1629" t="s">
        <v>1817</v>
      </c>
    </row>
    <row r="1630" ht="25.5" customHeight="1" spans="1:20">
      <c r="A1630" t="s">
        <v>2307</v>
      </c>
      <c r="B1630" t="s">
        <v>1816</v>
      </c>
      <c r="C1630" t="s">
        <v>4157</v>
      </c>
      <c r="D1630" s="3"/>
      <c r="E1630" s="2">
        <v>45681</v>
      </c>
      <c r="F1630">
        <v>68300</v>
      </c>
      <c r="G1630">
        <v>102700</v>
      </c>
      <c r="H1630">
        <v>319</v>
      </c>
      <c r="I1630">
        <v>46</v>
      </c>
      <c r="J1630">
        <v>642</v>
      </c>
      <c r="K1630">
        <v>73</v>
      </c>
      <c r="L1630" t="s">
        <v>3331</v>
      </c>
      <c r="M1630" t="s">
        <v>4158</v>
      </c>
      <c r="N1630" t="s">
        <v>1630</v>
      </c>
      <c r="O1630" s="4">
        <v>45681.6543981481</v>
      </c>
      <c r="P1630" t="s">
        <v>1817</v>
      </c>
      <c r="Q1630" t="s">
        <v>1631</v>
      </c>
      <c r="R1630" t="s">
        <v>4161</v>
      </c>
      <c r="T1630" t="s">
        <v>1817</v>
      </c>
    </row>
    <row r="1631" ht="25.5" customHeight="1" spans="1:20">
      <c r="A1631" t="s">
        <v>2307</v>
      </c>
      <c r="B1631" t="s">
        <v>1816</v>
      </c>
      <c r="C1631" t="s">
        <v>4157</v>
      </c>
      <c r="D1631" s="3"/>
      <c r="E1631" s="2">
        <v>45683</v>
      </c>
      <c r="F1631">
        <v>68500</v>
      </c>
      <c r="G1631">
        <v>102800</v>
      </c>
      <c r="H1631">
        <v>317</v>
      </c>
      <c r="I1631">
        <v>46</v>
      </c>
      <c r="J1631">
        <v>642</v>
      </c>
      <c r="K1631">
        <v>73</v>
      </c>
      <c r="L1631" t="s">
        <v>3331</v>
      </c>
      <c r="M1631" t="s">
        <v>4158</v>
      </c>
      <c r="N1631" t="s">
        <v>1630</v>
      </c>
      <c r="O1631" s="4">
        <v>45683.7962847222</v>
      </c>
      <c r="P1631" t="s">
        <v>1817</v>
      </c>
      <c r="Q1631" t="s">
        <v>1631</v>
      </c>
      <c r="R1631" t="s">
        <v>4164</v>
      </c>
      <c r="T1631" t="s">
        <v>1817</v>
      </c>
    </row>
    <row r="1632" ht="25.5" customHeight="1" spans="1:20">
      <c r="A1632" t="s">
        <v>2307</v>
      </c>
      <c r="B1632" t="s">
        <v>1816</v>
      </c>
      <c r="C1632" t="s">
        <v>4157</v>
      </c>
      <c r="D1632" s="3"/>
      <c r="E1632" s="2">
        <v>45684</v>
      </c>
      <c r="F1632">
        <v>68500</v>
      </c>
      <c r="G1632">
        <v>102800</v>
      </c>
      <c r="H1632">
        <v>316</v>
      </c>
      <c r="I1632">
        <v>46</v>
      </c>
      <c r="J1632">
        <v>641</v>
      </c>
      <c r="K1632">
        <v>74</v>
      </c>
      <c r="L1632" t="s">
        <v>3331</v>
      </c>
      <c r="M1632" t="s">
        <v>4158</v>
      </c>
      <c r="N1632" t="s">
        <v>1630</v>
      </c>
      <c r="O1632" s="4">
        <v>45684.7540162037</v>
      </c>
      <c r="P1632" t="s">
        <v>1817</v>
      </c>
      <c r="Q1632" t="s">
        <v>1631</v>
      </c>
      <c r="R1632" t="s">
        <v>4165</v>
      </c>
      <c r="T1632" t="s">
        <v>1817</v>
      </c>
    </row>
    <row r="1633" ht="25.5" customHeight="1" spans="1:20">
      <c r="A1633" t="s">
        <v>2307</v>
      </c>
      <c r="B1633" t="s">
        <v>1816</v>
      </c>
      <c r="C1633" t="s">
        <v>4157</v>
      </c>
      <c r="D1633" s="3"/>
      <c r="E1633" s="2">
        <v>45693</v>
      </c>
      <c r="F1633">
        <v>68800</v>
      </c>
      <c r="G1633">
        <v>103000</v>
      </c>
      <c r="H1633">
        <v>316</v>
      </c>
      <c r="I1633">
        <v>46</v>
      </c>
      <c r="J1633">
        <v>637</v>
      </c>
      <c r="K1633">
        <v>73</v>
      </c>
      <c r="L1633" t="s">
        <v>3331</v>
      </c>
      <c r="M1633" t="s">
        <v>4158</v>
      </c>
      <c r="N1633" t="s">
        <v>1630</v>
      </c>
      <c r="O1633" s="4">
        <v>45693.8377314815</v>
      </c>
      <c r="P1633" t="s">
        <v>1817</v>
      </c>
      <c r="Q1633" t="s">
        <v>1631</v>
      </c>
      <c r="R1633" t="s">
        <v>4166</v>
      </c>
      <c r="T1633" t="s">
        <v>1817</v>
      </c>
    </row>
    <row r="1634" ht="25.5" customHeight="1" spans="1:20">
      <c r="A1634" t="s">
        <v>2307</v>
      </c>
      <c r="B1634" t="s">
        <v>1816</v>
      </c>
      <c r="C1634" t="s">
        <v>4157</v>
      </c>
      <c r="D1634" s="3"/>
      <c r="E1634" s="2">
        <v>45694</v>
      </c>
      <c r="F1634">
        <v>68900</v>
      </c>
      <c r="G1634">
        <v>103000</v>
      </c>
      <c r="H1634">
        <v>316</v>
      </c>
      <c r="I1634">
        <v>46</v>
      </c>
      <c r="J1634">
        <v>636</v>
      </c>
      <c r="K1634">
        <v>73</v>
      </c>
      <c r="L1634" t="s">
        <v>3331</v>
      </c>
      <c r="M1634" t="s">
        <v>4158</v>
      </c>
      <c r="N1634" t="s">
        <v>1630</v>
      </c>
      <c r="O1634" s="4">
        <v>45698.622037037</v>
      </c>
      <c r="P1634" t="s">
        <v>1817</v>
      </c>
      <c r="Q1634" t="s">
        <v>1631</v>
      </c>
      <c r="R1634" t="s">
        <v>4167</v>
      </c>
      <c r="S1634" t="s">
        <v>3245</v>
      </c>
      <c r="T1634" t="s">
        <v>1817</v>
      </c>
    </row>
    <row r="1635" ht="25.5" customHeight="1" spans="1:20">
      <c r="A1635" t="s">
        <v>2198</v>
      </c>
      <c r="B1635" t="s">
        <v>56</v>
      </c>
      <c r="C1635" t="s">
        <v>4168</v>
      </c>
      <c r="D1635" s="3" t="str">
        <f>HYPERLINK("https://www.tiktok.com/@rodo_vkz","https://www.tiktok.com/@rodo_vkz")</f>
        <v>https://www.tiktok.com/@rodo_vkz</v>
      </c>
      <c r="E1635" s="2">
        <v>45665</v>
      </c>
      <c r="F1635">
        <v>390900</v>
      </c>
      <c r="G1635">
        <v>593</v>
      </c>
      <c r="H1635">
        <v>25</v>
      </c>
      <c r="I1635">
        <v>3</v>
      </c>
      <c r="J1635">
        <v>3</v>
      </c>
      <c r="L1635" t="s">
        <v>3195</v>
      </c>
      <c r="M1635" t="s">
        <v>4169</v>
      </c>
      <c r="N1635" t="s">
        <v>1630</v>
      </c>
      <c r="O1635" s="4">
        <v>45671.7040393519</v>
      </c>
      <c r="P1635" t="s">
        <v>57</v>
      </c>
      <c r="Q1635" t="s">
        <v>1753</v>
      </c>
      <c r="R1635" t="s">
        <v>3788</v>
      </c>
      <c r="T1635" t="s">
        <v>57</v>
      </c>
    </row>
    <row r="1636" ht="25.5" customHeight="1" spans="1:20">
      <c r="A1636" t="s">
        <v>2198</v>
      </c>
      <c r="B1636" t="s">
        <v>56</v>
      </c>
      <c r="C1636" t="s">
        <v>4168</v>
      </c>
      <c r="D1636" s="3"/>
      <c r="E1636" s="2">
        <v>45670</v>
      </c>
      <c r="F1636">
        <v>394700</v>
      </c>
      <c r="G1636">
        <v>36000</v>
      </c>
      <c r="H1636">
        <v>6879</v>
      </c>
      <c r="I1636">
        <v>15</v>
      </c>
      <c r="J1636">
        <v>174</v>
      </c>
      <c r="K1636">
        <v>21</v>
      </c>
      <c r="L1636" t="s">
        <v>4170</v>
      </c>
      <c r="M1636" t="s">
        <v>4169</v>
      </c>
      <c r="N1636" t="s">
        <v>1630</v>
      </c>
      <c r="O1636" s="4">
        <v>45672.5030092593</v>
      </c>
      <c r="P1636" t="s">
        <v>57</v>
      </c>
      <c r="Q1636" t="s">
        <v>1753</v>
      </c>
      <c r="R1636" t="s">
        <v>4171</v>
      </c>
      <c r="T1636" t="s">
        <v>57</v>
      </c>
    </row>
    <row r="1637" ht="25.5" customHeight="1" spans="1:20">
      <c r="A1637" t="s">
        <v>2198</v>
      </c>
      <c r="B1637" t="s">
        <v>56</v>
      </c>
      <c r="C1637" t="s">
        <v>4168</v>
      </c>
      <c r="D1637" s="3"/>
      <c r="E1637" s="2">
        <v>45671</v>
      </c>
      <c r="F1637">
        <v>394900</v>
      </c>
      <c r="G1637">
        <v>36100</v>
      </c>
      <c r="H1637">
        <v>6883</v>
      </c>
      <c r="I1637">
        <v>15</v>
      </c>
      <c r="J1637">
        <v>172</v>
      </c>
      <c r="K1637">
        <v>21</v>
      </c>
      <c r="L1637" t="s">
        <v>4170</v>
      </c>
      <c r="M1637" t="s">
        <v>4169</v>
      </c>
      <c r="N1637" t="s">
        <v>1630</v>
      </c>
      <c r="O1637" s="4">
        <v>45674.676099537</v>
      </c>
      <c r="P1637" t="s">
        <v>57</v>
      </c>
      <c r="Q1637" t="s">
        <v>1753</v>
      </c>
      <c r="R1637" t="s">
        <v>4172</v>
      </c>
      <c r="T1637" t="s">
        <v>57</v>
      </c>
    </row>
    <row r="1638" ht="25.5" customHeight="1" spans="1:20">
      <c r="A1638" t="s">
        <v>2198</v>
      </c>
      <c r="B1638" t="s">
        <v>56</v>
      </c>
      <c r="C1638" t="s">
        <v>4168</v>
      </c>
      <c r="D1638" s="3"/>
      <c r="E1638" s="2">
        <v>45677</v>
      </c>
      <c r="F1638">
        <v>395000</v>
      </c>
      <c r="G1638">
        <v>36300</v>
      </c>
      <c r="H1638">
        <v>6883</v>
      </c>
      <c r="I1638">
        <v>15</v>
      </c>
      <c r="J1638">
        <v>172</v>
      </c>
      <c r="K1638">
        <v>21</v>
      </c>
      <c r="L1638" t="s">
        <v>4170</v>
      </c>
      <c r="M1638" t="s">
        <v>4169</v>
      </c>
      <c r="N1638" t="s">
        <v>1630</v>
      </c>
      <c r="O1638" s="4">
        <v>45677.4354398148</v>
      </c>
      <c r="P1638" t="s">
        <v>57</v>
      </c>
      <c r="Q1638" t="s">
        <v>1753</v>
      </c>
      <c r="R1638" t="s">
        <v>4172</v>
      </c>
      <c r="T1638" t="s">
        <v>57</v>
      </c>
    </row>
    <row r="1639" ht="25.5" customHeight="1" spans="1:20">
      <c r="A1639" t="s">
        <v>2198</v>
      </c>
      <c r="B1639" t="s">
        <v>56</v>
      </c>
      <c r="C1639" t="s">
        <v>4168</v>
      </c>
      <c r="D1639" s="3"/>
      <c r="E1639" s="2">
        <v>45678</v>
      </c>
      <c r="F1639">
        <v>395000</v>
      </c>
      <c r="G1639">
        <v>36400</v>
      </c>
      <c r="H1639">
        <v>6887</v>
      </c>
      <c r="I1639">
        <v>15</v>
      </c>
      <c r="J1639">
        <v>173</v>
      </c>
      <c r="K1639">
        <v>21</v>
      </c>
      <c r="L1639" t="s">
        <v>4170</v>
      </c>
      <c r="M1639" t="s">
        <v>4169</v>
      </c>
      <c r="N1639" t="s">
        <v>1630</v>
      </c>
      <c r="O1639" s="4">
        <v>45678.6434953704</v>
      </c>
      <c r="P1639" t="s">
        <v>57</v>
      </c>
      <c r="Q1639" t="s">
        <v>1753</v>
      </c>
      <c r="R1639" t="s">
        <v>4173</v>
      </c>
      <c r="T1639" t="s">
        <v>57</v>
      </c>
    </row>
    <row r="1640" ht="25.5" customHeight="1" spans="1:20">
      <c r="A1640" t="s">
        <v>2198</v>
      </c>
      <c r="B1640" t="s">
        <v>56</v>
      </c>
      <c r="C1640" t="s">
        <v>4168</v>
      </c>
      <c r="D1640" s="3"/>
      <c r="E1640" s="2">
        <v>45679</v>
      </c>
      <c r="F1640">
        <v>395000</v>
      </c>
      <c r="G1640">
        <v>36500</v>
      </c>
      <c r="H1640">
        <v>6887</v>
      </c>
      <c r="I1640">
        <v>15</v>
      </c>
      <c r="J1640">
        <v>173</v>
      </c>
      <c r="K1640">
        <v>21</v>
      </c>
      <c r="L1640" t="s">
        <v>4170</v>
      </c>
      <c r="M1640" t="s">
        <v>4169</v>
      </c>
      <c r="N1640" t="s">
        <v>1630</v>
      </c>
      <c r="O1640" s="4">
        <v>45679.6968171296</v>
      </c>
      <c r="P1640" t="s">
        <v>57</v>
      </c>
      <c r="Q1640" t="s">
        <v>1753</v>
      </c>
      <c r="R1640" t="s">
        <v>4173</v>
      </c>
      <c r="T1640" t="s">
        <v>57</v>
      </c>
    </row>
    <row r="1641" ht="25.5" customHeight="1" spans="1:20">
      <c r="A1641" t="s">
        <v>2198</v>
      </c>
      <c r="B1641" t="s">
        <v>56</v>
      </c>
      <c r="C1641" t="s">
        <v>4168</v>
      </c>
      <c r="D1641" s="3"/>
      <c r="E1641" s="2">
        <v>45680</v>
      </c>
      <c r="F1641">
        <v>395100</v>
      </c>
      <c r="G1641">
        <v>36500</v>
      </c>
      <c r="H1641">
        <v>6889</v>
      </c>
      <c r="I1641">
        <v>15</v>
      </c>
      <c r="J1641">
        <v>173</v>
      </c>
      <c r="K1641">
        <v>21</v>
      </c>
      <c r="L1641" t="s">
        <v>4170</v>
      </c>
      <c r="M1641" t="s">
        <v>4169</v>
      </c>
      <c r="N1641" t="s">
        <v>1630</v>
      </c>
      <c r="O1641" s="4">
        <v>45680.6574074074</v>
      </c>
      <c r="P1641" t="s">
        <v>57</v>
      </c>
      <c r="Q1641" t="s">
        <v>1753</v>
      </c>
      <c r="R1641" t="s">
        <v>4174</v>
      </c>
      <c r="T1641" t="s">
        <v>57</v>
      </c>
    </row>
    <row r="1642" ht="25.5" customHeight="1" spans="1:20">
      <c r="A1642" t="s">
        <v>2198</v>
      </c>
      <c r="B1642" t="s">
        <v>56</v>
      </c>
      <c r="C1642" t="s">
        <v>4168</v>
      </c>
      <c r="D1642" s="3"/>
      <c r="E1642" s="2">
        <v>45681</v>
      </c>
      <c r="F1642">
        <v>395200</v>
      </c>
      <c r="G1642">
        <v>36600</v>
      </c>
      <c r="H1642">
        <v>6889</v>
      </c>
      <c r="I1642">
        <v>15</v>
      </c>
      <c r="J1642">
        <v>173</v>
      </c>
      <c r="K1642">
        <v>21</v>
      </c>
      <c r="L1642" t="s">
        <v>4170</v>
      </c>
      <c r="M1642" t="s">
        <v>4169</v>
      </c>
      <c r="N1642" t="s">
        <v>1630</v>
      </c>
      <c r="O1642" s="4">
        <v>45681.6428819444</v>
      </c>
      <c r="P1642" t="s">
        <v>57</v>
      </c>
      <c r="Q1642" t="s">
        <v>1753</v>
      </c>
      <c r="R1642" t="s">
        <v>4174</v>
      </c>
      <c r="T1642" t="s">
        <v>57</v>
      </c>
    </row>
    <row r="1643" ht="25.5" customHeight="1" spans="1:20">
      <c r="A1643" t="s">
        <v>2198</v>
      </c>
      <c r="B1643" t="s">
        <v>56</v>
      </c>
      <c r="C1643" t="s">
        <v>4168</v>
      </c>
      <c r="D1643" s="3"/>
      <c r="E1643" s="2">
        <v>45683</v>
      </c>
      <c r="F1643">
        <v>395200</v>
      </c>
      <c r="G1643">
        <v>36800</v>
      </c>
      <c r="H1643">
        <v>6889</v>
      </c>
      <c r="I1643">
        <v>15</v>
      </c>
      <c r="J1643">
        <v>173</v>
      </c>
      <c r="K1643">
        <v>21</v>
      </c>
      <c r="L1643" t="s">
        <v>4170</v>
      </c>
      <c r="M1643" t="s">
        <v>4169</v>
      </c>
      <c r="N1643" t="s">
        <v>1630</v>
      </c>
      <c r="O1643" s="4">
        <v>45683.7731134259</v>
      </c>
      <c r="P1643" t="s">
        <v>57</v>
      </c>
      <c r="Q1643" t="s">
        <v>1753</v>
      </c>
      <c r="R1643" t="s">
        <v>4174</v>
      </c>
      <c r="T1643" t="s">
        <v>57</v>
      </c>
    </row>
    <row r="1644" ht="25.5" customHeight="1" spans="1:20">
      <c r="A1644" t="s">
        <v>2198</v>
      </c>
      <c r="B1644" t="s">
        <v>56</v>
      </c>
      <c r="C1644" t="s">
        <v>4168</v>
      </c>
      <c r="D1644" s="3"/>
      <c r="E1644" s="2">
        <v>45684</v>
      </c>
      <c r="F1644">
        <v>395400</v>
      </c>
      <c r="G1644">
        <v>36900</v>
      </c>
      <c r="H1644">
        <v>6890</v>
      </c>
      <c r="I1644">
        <v>15</v>
      </c>
      <c r="J1644">
        <v>173</v>
      </c>
      <c r="K1644">
        <v>21</v>
      </c>
      <c r="L1644" t="s">
        <v>4170</v>
      </c>
      <c r="M1644" t="s">
        <v>4169</v>
      </c>
      <c r="N1644" t="s">
        <v>1630</v>
      </c>
      <c r="O1644" s="4">
        <v>45684.8513888889</v>
      </c>
      <c r="P1644" t="s">
        <v>57</v>
      </c>
      <c r="Q1644" t="s">
        <v>1753</v>
      </c>
      <c r="R1644" t="s">
        <v>4175</v>
      </c>
      <c r="T1644" t="s">
        <v>57</v>
      </c>
    </row>
    <row r="1645" ht="25.5" customHeight="1" spans="1:20">
      <c r="A1645" t="s">
        <v>2198</v>
      </c>
      <c r="B1645" t="s">
        <v>56</v>
      </c>
      <c r="C1645" t="s">
        <v>4168</v>
      </c>
      <c r="D1645" s="3"/>
      <c r="E1645" s="2">
        <v>45693</v>
      </c>
      <c r="F1645">
        <v>395800</v>
      </c>
      <c r="G1645">
        <v>37400</v>
      </c>
      <c r="H1645">
        <v>6899</v>
      </c>
      <c r="I1645">
        <v>15</v>
      </c>
      <c r="J1645">
        <v>175</v>
      </c>
      <c r="K1645">
        <v>21</v>
      </c>
      <c r="L1645" t="s">
        <v>4170</v>
      </c>
      <c r="M1645" t="s">
        <v>4169</v>
      </c>
      <c r="N1645" t="s">
        <v>1630</v>
      </c>
      <c r="O1645" s="4">
        <v>45693.8261805556</v>
      </c>
      <c r="P1645" t="s">
        <v>57</v>
      </c>
      <c r="Q1645" t="s">
        <v>1753</v>
      </c>
      <c r="R1645" t="s">
        <v>4176</v>
      </c>
      <c r="T1645" t="s">
        <v>57</v>
      </c>
    </row>
    <row r="1646" ht="25.5" customHeight="1" spans="1:20">
      <c r="A1646" t="s">
        <v>2198</v>
      </c>
      <c r="B1646" t="s">
        <v>56</v>
      </c>
      <c r="C1646" t="s">
        <v>4168</v>
      </c>
      <c r="D1646" s="3"/>
      <c r="E1646" s="2">
        <v>45694</v>
      </c>
      <c r="F1646">
        <v>395900</v>
      </c>
      <c r="G1646">
        <v>37500</v>
      </c>
      <c r="H1646">
        <v>6900</v>
      </c>
      <c r="I1646">
        <v>15</v>
      </c>
      <c r="J1646">
        <v>175</v>
      </c>
      <c r="K1646">
        <v>21</v>
      </c>
      <c r="L1646" t="s">
        <v>3513</v>
      </c>
      <c r="M1646" t="s">
        <v>4169</v>
      </c>
      <c r="N1646" t="s">
        <v>1630</v>
      </c>
      <c r="O1646" s="4">
        <v>45698.6216782407</v>
      </c>
      <c r="P1646" t="s">
        <v>57</v>
      </c>
      <c r="Q1646" t="s">
        <v>1753</v>
      </c>
      <c r="R1646" t="s">
        <v>4177</v>
      </c>
      <c r="S1646" t="s">
        <v>3245</v>
      </c>
      <c r="T1646" t="s">
        <v>57</v>
      </c>
    </row>
    <row r="1647" ht="25.5" customHeight="1" spans="1:18">
      <c r="A1647" t="s">
        <v>4178</v>
      </c>
      <c r="D1647" s="3"/>
      <c r="E1647" s="2"/>
      <c r="O1647" s="4">
        <v>45670.743587963</v>
      </c>
      <c r="R1647" t="s">
        <v>3133</v>
      </c>
    </row>
    <row r="1648" ht="25.5" customHeight="1" spans="1:20">
      <c r="A1648" t="s">
        <v>2776</v>
      </c>
      <c r="B1648" t="s">
        <v>56</v>
      </c>
      <c r="C1648" t="s">
        <v>4179</v>
      </c>
      <c r="D1648" s="3" t="str">
        <f>HYPERLINK("https://www.tiktok.com/@ruben_poveda_","https://www.tiktok.com/@ruben_poveda_")</f>
        <v>https://www.tiktok.com/@ruben_poveda_</v>
      </c>
      <c r="E1648" s="2">
        <v>45665</v>
      </c>
      <c r="F1648">
        <v>141300</v>
      </c>
      <c r="G1648">
        <v>2555</v>
      </c>
      <c r="H1648">
        <v>149</v>
      </c>
      <c r="I1648">
        <v>2</v>
      </c>
      <c r="J1648">
        <v>16</v>
      </c>
      <c r="K1648">
        <v>3</v>
      </c>
      <c r="L1648" t="s">
        <v>3258</v>
      </c>
      <c r="M1648" t="s">
        <v>3666</v>
      </c>
      <c r="N1648" t="s">
        <v>1630</v>
      </c>
      <c r="O1648" s="4">
        <v>45670.8527314815</v>
      </c>
      <c r="P1648" t="s">
        <v>57</v>
      </c>
      <c r="Q1648" t="s">
        <v>1652</v>
      </c>
      <c r="R1648" t="s">
        <v>4180</v>
      </c>
      <c r="T1648" t="s">
        <v>57</v>
      </c>
    </row>
    <row r="1649" ht="25.5" customHeight="1" spans="1:20">
      <c r="A1649" t="s">
        <v>2776</v>
      </c>
      <c r="B1649" t="s">
        <v>56</v>
      </c>
      <c r="C1649" t="s">
        <v>4179</v>
      </c>
      <c r="D1649" s="3"/>
      <c r="E1649" s="2">
        <v>45671</v>
      </c>
      <c r="F1649">
        <v>141300</v>
      </c>
      <c r="G1649">
        <v>2564</v>
      </c>
      <c r="H1649">
        <v>149</v>
      </c>
      <c r="I1649">
        <v>2</v>
      </c>
      <c r="J1649">
        <v>16</v>
      </c>
      <c r="K1649">
        <v>3</v>
      </c>
      <c r="L1649" t="s">
        <v>3258</v>
      </c>
      <c r="M1649" t="s">
        <v>3666</v>
      </c>
      <c r="N1649" t="s">
        <v>1630</v>
      </c>
      <c r="O1649" s="4">
        <v>45672.5030092593</v>
      </c>
      <c r="P1649" t="s">
        <v>57</v>
      </c>
      <c r="Q1649" t="s">
        <v>1652</v>
      </c>
      <c r="R1649" t="s">
        <v>4180</v>
      </c>
      <c r="T1649" t="s">
        <v>57</v>
      </c>
    </row>
    <row r="1650" ht="25.5" customHeight="1" spans="1:20">
      <c r="A1650" t="s">
        <v>2776</v>
      </c>
      <c r="B1650" t="s">
        <v>56</v>
      </c>
      <c r="C1650" t="s">
        <v>4179</v>
      </c>
      <c r="D1650" s="3"/>
      <c r="E1650" s="2">
        <v>45672</v>
      </c>
      <c r="F1650">
        <v>141300</v>
      </c>
      <c r="G1650">
        <v>2578</v>
      </c>
      <c r="H1650">
        <v>149</v>
      </c>
      <c r="I1650">
        <v>2</v>
      </c>
      <c r="J1650">
        <v>16</v>
      </c>
      <c r="K1650">
        <v>3</v>
      </c>
      <c r="L1650" t="s">
        <v>3258</v>
      </c>
      <c r="M1650" t="s">
        <v>3666</v>
      </c>
      <c r="N1650" t="s">
        <v>1630</v>
      </c>
      <c r="O1650" s="4">
        <v>45672.5238078704</v>
      </c>
      <c r="P1650" t="s">
        <v>57</v>
      </c>
      <c r="Q1650" t="s">
        <v>1652</v>
      </c>
      <c r="R1650" t="s">
        <v>4180</v>
      </c>
      <c r="T1650" t="s">
        <v>57</v>
      </c>
    </row>
    <row r="1651" ht="25.5" customHeight="1" spans="1:20">
      <c r="A1651" t="s">
        <v>2776</v>
      </c>
      <c r="B1651" t="s">
        <v>56</v>
      </c>
      <c r="C1651" t="s">
        <v>4179</v>
      </c>
      <c r="D1651" s="3"/>
      <c r="E1651" s="2">
        <v>45673</v>
      </c>
      <c r="F1651">
        <v>141200</v>
      </c>
      <c r="G1651">
        <v>2580</v>
      </c>
      <c r="H1651">
        <v>149</v>
      </c>
      <c r="I1651">
        <v>2</v>
      </c>
      <c r="J1651">
        <v>16</v>
      </c>
      <c r="K1651">
        <v>3</v>
      </c>
      <c r="L1651" t="s">
        <v>3258</v>
      </c>
      <c r="M1651" t="s">
        <v>3666</v>
      </c>
      <c r="N1651" t="s">
        <v>1630</v>
      </c>
      <c r="O1651" s="4">
        <v>45673.6180902778</v>
      </c>
      <c r="P1651" t="s">
        <v>57</v>
      </c>
      <c r="Q1651" t="s">
        <v>1652</v>
      </c>
      <c r="R1651" t="s">
        <v>4180</v>
      </c>
      <c r="T1651" t="s">
        <v>57</v>
      </c>
    </row>
    <row r="1652" ht="25.5" customHeight="1" spans="1:20">
      <c r="A1652" t="s">
        <v>2776</v>
      </c>
      <c r="B1652" t="s">
        <v>56</v>
      </c>
      <c r="C1652" t="s">
        <v>4179</v>
      </c>
      <c r="D1652" s="3"/>
      <c r="E1652" s="2">
        <v>45674</v>
      </c>
      <c r="F1652">
        <v>141200</v>
      </c>
      <c r="G1652">
        <v>2582</v>
      </c>
      <c r="H1652">
        <v>149</v>
      </c>
      <c r="I1652">
        <v>2</v>
      </c>
      <c r="J1652">
        <v>16</v>
      </c>
      <c r="K1652">
        <v>3</v>
      </c>
      <c r="L1652" t="s">
        <v>3258</v>
      </c>
      <c r="M1652" t="s">
        <v>3666</v>
      </c>
      <c r="N1652" t="s">
        <v>1630</v>
      </c>
      <c r="O1652" s="4">
        <v>45674.6765277778</v>
      </c>
      <c r="P1652" t="s">
        <v>57</v>
      </c>
      <c r="Q1652" t="s">
        <v>1652</v>
      </c>
      <c r="R1652" t="s">
        <v>4180</v>
      </c>
      <c r="T1652" t="s">
        <v>57</v>
      </c>
    </row>
    <row r="1653" ht="25.5" customHeight="1" spans="1:20">
      <c r="A1653" t="s">
        <v>2776</v>
      </c>
      <c r="B1653" t="s">
        <v>56</v>
      </c>
      <c r="C1653" t="s">
        <v>4179</v>
      </c>
      <c r="D1653" s="3"/>
      <c r="E1653" s="2">
        <v>45677</v>
      </c>
      <c r="F1653">
        <v>141200</v>
      </c>
      <c r="G1653">
        <v>2596</v>
      </c>
      <c r="H1653">
        <v>149</v>
      </c>
      <c r="I1653">
        <v>2</v>
      </c>
      <c r="J1653">
        <v>16</v>
      </c>
      <c r="K1653">
        <v>3</v>
      </c>
      <c r="L1653" t="s">
        <v>3258</v>
      </c>
      <c r="M1653" t="s">
        <v>3666</v>
      </c>
      <c r="N1653" t="s">
        <v>1630</v>
      </c>
      <c r="O1653" s="4">
        <v>45677.4355787037</v>
      </c>
      <c r="P1653" t="s">
        <v>57</v>
      </c>
      <c r="Q1653" t="s">
        <v>1652</v>
      </c>
      <c r="R1653" t="s">
        <v>4180</v>
      </c>
      <c r="T1653" t="s">
        <v>57</v>
      </c>
    </row>
    <row r="1654" ht="25.5" customHeight="1" spans="1:20">
      <c r="A1654" t="s">
        <v>2776</v>
      </c>
      <c r="B1654" t="s">
        <v>56</v>
      </c>
      <c r="C1654" t="s">
        <v>4179</v>
      </c>
      <c r="D1654" s="3"/>
      <c r="E1654" s="2">
        <v>45678</v>
      </c>
      <c r="F1654">
        <v>141200</v>
      </c>
      <c r="G1654">
        <v>2604</v>
      </c>
      <c r="H1654">
        <v>149</v>
      </c>
      <c r="I1654">
        <v>2</v>
      </c>
      <c r="J1654">
        <v>16</v>
      </c>
      <c r="K1654">
        <v>3</v>
      </c>
      <c r="L1654" t="s">
        <v>3258</v>
      </c>
      <c r="M1654" t="s">
        <v>3666</v>
      </c>
      <c r="N1654" t="s">
        <v>1630</v>
      </c>
      <c r="O1654" s="4">
        <v>45678.6438773148</v>
      </c>
      <c r="P1654" t="s">
        <v>57</v>
      </c>
      <c r="Q1654" t="s">
        <v>1652</v>
      </c>
      <c r="R1654" t="s">
        <v>4180</v>
      </c>
      <c r="T1654" t="s">
        <v>57</v>
      </c>
    </row>
    <row r="1655" ht="25.5" customHeight="1" spans="1:20">
      <c r="A1655" t="s">
        <v>2776</v>
      </c>
      <c r="B1655" t="s">
        <v>56</v>
      </c>
      <c r="C1655" t="s">
        <v>4179</v>
      </c>
      <c r="D1655" s="3"/>
      <c r="E1655" s="2">
        <v>45679</v>
      </c>
      <c r="F1655">
        <v>141100</v>
      </c>
      <c r="G1655">
        <v>2606</v>
      </c>
      <c r="H1655">
        <v>149</v>
      </c>
      <c r="I1655">
        <v>2</v>
      </c>
      <c r="J1655">
        <v>16</v>
      </c>
      <c r="K1655">
        <v>3</v>
      </c>
      <c r="L1655" t="s">
        <v>3258</v>
      </c>
      <c r="M1655" t="s">
        <v>3666</v>
      </c>
      <c r="N1655" t="s">
        <v>1630</v>
      </c>
      <c r="O1655" s="4">
        <v>45679.6973263889</v>
      </c>
      <c r="P1655" t="s">
        <v>57</v>
      </c>
      <c r="Q1655" t="s">
        <v>1652</v>
      </c>
      <c r="R1655" t="s">
        <v>4180</v>
      </c>
      <c r="T1655" t="s">
        <v>57</v>
      </c>
    </row>
    <row r="1656" ht="25.5" customHeight="1" spans="1:20">
      <c r="A1656" t="s">
        <v>2776</v>
      </c>
      <c r="B1656" t="s">
        <v>56</v>
      </c>
      <c r="C1656" t="s">
        <v>4179</v>
      </c>
      <c r="D1656" s="3"/>
      <c r="E1656" s="2">
        <v>45680</v>
      </c>
      <c r="F1656">
        <v>141100</v>
      </c>
      <c r="G1656">
        <v>2614</v>
      </c>
      <c r="H1656">
        <v>149</v>
      </c>
      <c r="I1656">
        <v>2</v>
      </c>
      <c r="J1656">
        <v>16</v>
      </c>
      <c r="K1656">
        <v>3</v>
      </c>
      <c r="L1656" t="s">
        <v>3258</v>
      </c>
      <c r="M1656" t="s">
        <v>3666</v>
      </c>
      <c r="N1656" t="s">
        <v>1630</v>
      </c>
      <c r="O1656" s="4">
        <v>45680.6586458333</v>
      </c>
      <c r="P1656" t="s">
        <v>57</v>
      </c>
      <c r="Q1656" t="s">
        <v>1652</v>
      </c>
      <c r="R1656" t="s">
        <v>4180</v>
      </c>
      <c r="T1656" t="s">
        <v>57</v>
      </c>
    </row>
    <row r="1657" ht="25.5" customHeight="1" spans="1:20">
      <c r="A1657" t="s">
        <v>2776</v>
      </c>
      <c r="B1657" t="s">
        <v>56</v>
      </c>
      <c r="C1657" t="s">
        <v>4179</v>
      </c>
      <c r="D1657" s="3"/>
      <c r="E1657" s="2">
        <v>45681</v>
      </c>
      <c r="F1657">
        <v>141100</v>
      </c>
      <c r="G1657">
        <v>2621</v>
      </c>
      <c r="H1657">
        <v>149</v>
      </c>
      <c r="I1657">
        <v>2</v>
      </c>
      <c r="J1657">
        <v>16</v>
      </c>
      <c r="K1657">
        <v>3</v>
      </c>
      <c r="L1657" t="s">
        <v>3258</v>
      </c>
      <c r="M1657" t="s">
        <v>3666</v>
      </c>
      <c r="N1657" t="s">
        <v>1630</v>
      </c>
      <c r="O1657" s="4">
        <v>45681.6431597222</v>
      </c>
      <c r="P1657" t="s">
        <v>57</v>
      </c>
      <c r="Q1657" t="s">
        <v>1652</v>
      </c>
      <c r="R1657" t="s">
        <v>4180</v>
      </c>
      <c r="T1657" t="s">
        <v>57</v>
      </c>
    </row>
    <row r="1658" ht="25.5" customHeight="1" spans="1:20">
      <c r="A1658" t="s">
        <v>2776</v>
      </c>
      <c r="B1658" t="s">
        <v>56</v>
      </c>
      <c r="C1658" t="s">
        <v>4179</v>
      </c>
      <c r="D1658" s="3"/>
      <c r="E1658" s="2">
        <v>45683</v>
      </c>
      <c r="F1658">
        <v>141100</v>
      </c>
      <c r="G1658">
        <v>2629</v>
      </c>
      <c r="H1658">
        <v>149</v>
      </c>
      <c r="I1658">
        <v>2</v>
      </c>
      <c r="J1658">
        <v>16</v>
      </c>
      <c r="K1658">
        <v>3</v>
      </c>
      <c r="L1658" t="s">
        <v>3258</v>
      </c>
      <c r="M1658" t="s">
        <v>3666</v>
      </c>
      <c r="N1658" t="s">
        <v>1630</v>
      </c>
      <c r="O1658" s="4">
        <v>45683.7732638889</v>
      </c>
      <c r="P1658" t="s">
        <v>57</v>
      </c>
      <c r="Q1658" t="s">
        <v>1652</v>
      </c>
      <c r="R1658" t="s">
        <v>4180</v>
      </c>
      <c r="T1658" t="s">
        <v>57</v>
      </c>
    </row>
    <row r="1659" ht="25.5" customHeight="1" spans="1:20">
      <c r="A1659" t="s">
        <v>2776</v>
      </c>
      <c r="B1659" t="s">
        <v>56</v>
      </c>
      <c r="C1659" t="s">
        <v>4179</v>
      </c>
      <c r="D1659" s="3"/>
      <c r="E1659" s="2">
        <v>45684</v>
      </c>
      <c r="F1659">
        <v>141100</v>
      </c>
      <c r="G1659">
        <v>2646</v>
      </c>
      <c r="H1659">
        <v>149</v>
      </c>
      <c r="I1659">
        <v>2</v>
      </c>
      <c r="J1659">
        <v>16</v>
      </c>
      <c r="K1659">
        <v>3</v>
      </c>
      <c r="L1659" t="s">
        <v>3258</v>
      </c>
      <c r="M1659" t="s">
        <v>3666</v>
      </c>
      <c r="N1659" t="s">
        <v>1630</v>
      </c>
      <c r="O1659" s="4">
        <v>45684.8515509259</v>
      </c>
      <c r="P1659" t="s">
        <v>57</v>
      </c>
      <c r="Q1659" t="s">
        <v>1652</v>
      </c>
      <c r="R1659" t="s">
        <v>4180</v>
      </c>
      <c r="T1659" t="s">
        <v>57</v>
      </c>
    </row>
    <row r="1660" ht="25.5" customHeight="1" spans="1:20">
      <c r="A1660" t="s">
        <v>2776</v>
      </c>
      <c r="B1660" t="s">
        <v>56</v>
      </c>
      <c r="C1660" t="s">
        <v>4179</v>
      </c>
      <c r="D1660" s="3"/>
      <c r="E1660" s="2">
        <v>45693</v>
      </c>
      <c r="F1660">
        <v>141100</v>
      </c>
      <c r="G1660">
        <v>2683</v>
      </c>
      <c r="H1660">
        <v>149</v>
      </c>
      <c r="I1660">
        <v>2</v>
      </c>
      <c r="J1660">
        <v>17</v>
      </c>
      <c r="K1660">
        <v>3</v>
      </c>
      <c r="L1660" t="s">
        <v>3258</v>
      </c>
      <c r="M1660" t="s">
        <v>3666</v>
      </c>
      <c r="N1660" t="s">
        <v>1630</v>
      </c>
      <c r="O1660" s="4">
        <v>45693.826400463</v>
      </c>
      <c r="P1660" t="s">
        <v>57</v>
      </c>
      <c r="Q1660" t="s">
        <v>1652</v>
      </c>
      <c r="R1660" t="s">
        <v>3183</v>
      </c>
      <c r="T1660" t="s">
        <v>57</v>
      </c>
    </row>
    <row r="1661" ht="25.5" customHeight="1" spans="1:20">
      <c r="A1661" t="s">
        <v>2776</v>
      </c>
      <c r="B1661" t="s">
        <v>56</v>
      </c>
      <c r="C1661" t="s">
        <v>4179</v>
      </c>
      <c r="D1661" s="3"/>
      <c r="E1661" s="2">
        <v>45694</v>
      </c>
      <c r="F1661">
        <v>140900</v>
      </c>
      <c r="G1661">
        <v>2685</v>
      </c>
      <c r="H1661">
        <v>149</v>
      </c>
      <c r="I1661">
        <v>2</v>
      </c>
      <c r="J1661">
        <v>17</v>
      </c>
      <c r="K1661">
        <v>3</v>
      </c>
      <c r="L1661" t="s">
        <v>3258</v>
      </c>
      <c r="M1661" t="s">
        <v>3666</v>
      </c>
      <c r="N1661" t="s">
        <v>1630</v>
      </c>
      <c r="O1661" s="4">
        <v>45698.6216782407</v>
      </c>
      <c r="P1661" t="s">
        <v>57</v>
      </c>
      <c r="Q1661" t="s">
        <v>1652</v>
      </c>
      <c r="R1661" t="s">
        <v>3183</v>
      </c>
      <c r="S1661" t="s">
        <v>3245</v>
      </c>
      <c r="T1661" t="s">
        <v>57</v>
      </c>
    </row>
    <row r="1662" ht="25.5" customHeight="1" spans="1:20">
      <c r="A1662" t="s">
        <v>1533</v>
      </c>
      <c r="B1662" t="s">
        <v>65</v>
      </c>
      <c r="C1662" t="s">
        <v>4181</v>
      </c>
      <c r="D1662" s="3" t="str">
        <f>HYPERLINK("https://www.instagram.com/spgmarks/reels/","https://www.instagram.com/spgmarks/reels/")</f>
        <v>https://www.instagram.com/spgmarks/reels/</v>
      </c>
      <c r="E1662" s="2">
        <v>45693</v>
      </c>
      <c r="F1662">
        <v>50300</v>
      </c>
      <c r="G1662">
        <v>1245</v>
      </c>
      <c r="H1662">
        <v>42</v>
      </c>
      <c r="I1662">
        <v>1</v>
      </c>
      <c r="L1662" t="s">
        <v>3138</v>
      </c>
      <c r="M1662" t="s">
        <v>3225</v>
      </c>
      <c r="N1662" t="s">
        <v>1630</v>
      </c>
      <c r="O1662" s="4">
        <v>45694.4201967593</v>
      </c>
      <c r="P1662" t="s">
        <v>116</v>
      </c>
      <c r="Q1662" t="s">
        <v>1913</v>
      </c>
      <c r="R1662" t="s">
        <v>3516</v>
      </c>
      <c r="T1662" t="s">
        <v>116</v>
      </c>
    </row>
    <row r="1663" ht="25.5" customHeight="1" spans="1:20">
      <c r="A1663" t="s">
        <v>1533</v>
      </c>
      <c r="B1663" t="s">
        <v>65</v>
      </c>
      <c r="C1663" t="s">
        <v>4181</v>
      </c>
      <c r="D1663" s="3"/>
      <c r="E1663" s="2">
        <v>45694</v>
      </c>
      <c r="F1663">
        <v>50300</v>
      </c>
      <c r="G1663">
        <v>1255</v>
      </c>
      <c r="H1663">
        <v>42</v>
      </c>
      <c r="I1663">
        <v>1</v>
      </c>
      <c r="L1663" t="s">
        <v>3138</v>
      </c>
      <c r="M1663" t="s">
        <v>3225</v>
      </c>
      <c r="N1663" t="s">
        <v>1630</v>
      </c>
      <c r="O1663" s="4">
        <v>45698.6216782407</v>
      </c>
      <c r="P1663" t="s">
        <v>116</v>
      </c>
      <c r="Q1663" t="s">
        <v>1913</v>
      </c>
      <c r="R1663" t="s">
        <v>3516</v>
      </c>
      <c r="S1663" t="s">
        <v>3180</v>
      </c>
      <c r="T1663" t="s">
        <v>116</v>
      </c>
    </row>
    <row r="1664" ht="25.5" customHeight="1" spans="1:20">
      <c r="A1664" t="s">
        <v>1533</v>
      </c>
      <c r="B1664" t="s">
        <v>65</v>
      </c>
      <c r="C1664" t="s">
        <v>4181</v>
      </c>
      <c r="D1664" s="3"/>
      <c r="E1664" s="2">
        <v>45695</v>
      </c>
      <c r="F1664">
        <v>50300</v>
      </c>
      <c r="G1664">
        <v>1261</v>
      </c>
      <c r="H1664">
        <v>42</v>
      </c>
      <c r="I1664">
        <v>1</v>
      </c>
      <c r="L1664" t="s">
        <v>3138</v>
      </c>
      <c r="M1664" t="s">
        <v>3225</v>
      </c>
      <c r="N1664" t="s">
        <v>1630</v>
      </c>
      <c r="O1664" s="4">
        <v>45695.4893981482</v>
      </c>
      <c r="P1664" t="s">
        <v>116</v>
      </c>
      <c r="Q1664" t="s">
        <v>1913</v>
      </c>
      <c r="R1664" t="s">
        <v>3516</v>
      </c>
      <c r="T1664" t="s">
        <v>116</v>
      </c>
    </row>
    <row r="1665" ht="25.5" customHeight="1" spans="1:20">
      <c r="A1665" t="s">
        <v>1533</v>
      </c>
      <c r="B1665" t="s">
        <v>65</v>
      </c>
      <c r="C1665" t="s">
        <v>4181</v>
      </c>
      <c r="D1665" s="3"/>
      <c r="E1665" s="2">
        <v>45696</v>
      </c>
      <c r="F1665">
        <v>50300</v>
      </c>
      <c r="G1665">
        <v>1268</v>
      </c>
      <c r="H1665">
        <v>42</v>
      </c>
      <c r="I1665">
        <v>1</v>
      </c>
      <c r="L1665" t="s">
        <v>3138</v>
      </c>
      <c r="M1665" t="s">
        <v>3225</v>
      </c>
      <c r="N1665" t="s">
        <v>1630</v>
      </c>
      <c r="O1665" s="4">
        <v>45696.4499305556</v>
      </c>
      <c r="P1665" t="s">
        <v>116</v>
      </c>
      <c r="Q1665" t="s">
        <v>1913</v>
      </c>
      <c r="R1665" t="s">
        <v>3516</v>
      </c>
      <c r="T1665" t="s">
        <v>116</v>
      </c>
    </row>
    <row r="1666" ht="25.5" customHeight="1" spans="1:20">
      <c r="A1666" t="s">
        <v>1872</v>
      </c>
      <c r="B1666" t="s">
        <v>65</v>
      </c>
      <c r="C1666" t="s">
        <v>4182</v>
      </c>
      <c r="D1666" s="3" t="str">
        <f>HYPERLINK("https://www.instagram.com/sami_pec/reels/","https://www.instagram.com/sami_pec/reels/")</f>
        <v>https://www.instagram.com/sami_pec/reels/</v>
      </c>
      <c r="E1666" s="2">
        <v>45673</v>
      </c>
      <c r="F1666">
        <v>91400</v>
      </c>
      <c r="G1666">
        <v>3473</v>
      </c>
      <c r="H1666">
        <v>264</v>
      </c>
      <c r="I1666">
        <v>5</v>
      </c>
      <c r="L1666" t="s">
        <v>3138</v>
      </c>
      <c r="M1666" t="s">
        <v>3522</v>
      </c>
      <c r="N1666" t="s">
        <v>1630</v>
      </c>
      <c r="O1666" s="4">
        <v>45678.5070023148</v>
      </c>
      <c r="P1666" t="s">
        <v>116</v>
      </c>
      <c r="Q1666" t="s">
        <v>1753</v>
      </c>
      <c r="R1666" t="s">
        <v>4141</v>
      </c>
      <c r="T1666" t="s">
        <v>116</v>
      </c>
    </row>
    <row r="1667" ht="25.5" customHeight="1" spans="1:20">
      <c r="A1667" t="s">
        <v>1872</v>
      </c>
      <c r="B1667" t="s">
        <v>65</v>
      </c>
      <c r="C1667" t="s">
        <v>4182</v>
      </c>
      <c r="D1667" s="3"/>
      <c r="E1667" s="2">
        <v>45674</v>
      </c>
      <c r="F1667">
        <v>91500</v>
      </c>
      <c r="G1667">
        <v>3889</v>
      </c>
      <c r="H1667">
        <v>280</v>
      </c>
      <c r="I1667">
        <v>5</v>
      </c>
      <c r="L1667" t="s">
        <v>3138</v>
      </c>
      <c r="M1667" t="s">
        <v>3522</v>
      </c>
      <c r="N1667" t="s">
        <v>1630</v>
      </c>
      <c r="O1667" s="4">
        <v>45674.6377893519</v>
      </c>
      <c r="P1667" t="s">
        <v>116</v>
      </c>
      <c r="Q1667" t="s">
        <v>1753</v>
      </c>
      <c r="R1667" t="s">
        <v>4183</v>
      </c>
      <c r="T1667" t="s">
        <v>116</v>
      </c>
    </row>
    <row r="1668" ht="25.5" customHeight="1" spans="1:20">
      <c r="A1668" t="s">
        <v>1872</v>
      </c>
      <c r="B1668" t="s">
        <v>65</v>
      </c>
      <c r="C1668" t="s">
        <v>4182</v>
      </c>
      <c r="D1668" s="3"/>
      <c r="E1668" s="2">
        <v>45677</v>
      </c>
      <c r="F1668">
        <v>91600</v>
      </c>
      <c r="G1668">
        <v>4339</v>
      </c>
      <c r="H1668">
        <v>302</v>
      </c>
      <c r="I1668">
        <v>5</v>
      </c>
      <c r="L1668" t="s">
        <v>3138</v>
      </c>
      <c r="M1668" t="s">
        <v>3522</v>
      </c>
      <c r="N1668" t="s">
        <v>1630</v>
      </c>
      <c r="O1668" s="4">
        <v>45677.407337963</v>
      </c>
      <c r="P1668" t="s">
        <v>116</v>
      </c>
      <c r="Q1668" t="s">
        <v>1753</v>
      </c>
      <c r="R1668" t="s">
        <v>3979</v>
      </c>
      <c r="T1668" t="s">
        <v>116</v>
      </c>
    </row>
    <row r="1669" ht="25.5" customHeight="1" spans="1:20">
      <c r="A1669" t="s">
        <v>1872</v>
      </c>
      <c r="B1669" t="s">
        <v>65</v>
      </c>
      <c r="C1669" t="s">
        <v>4182</v>
      </c>
      <c r="D1669" s="3"/>
      <c r="E1669" s="2">
        <v>45678</v>
      </c>
      <c r="F1669">
        <v>91600</v>
      </c>
      <c r="G1669">
        <v>4418</v>
      </c>
      <c r="H1669">
        <v>305</v>
      </c>
      <c r="I1669">
        <v>5</v>
      </c>
      <c r="L1669" t="s">
        <v>3138</v>
      </c>
      <c r="M1669" t="s">
        <v>3522</v>
      </c>
      <c r="N1669" t="s">
        <v>1630</v>
      </c>
      <c r="O1669" s="4">
        <v>45678.5071180556</v>
      </c>
      <c r="P1669" t="s">
        <v>116</v>
      </c>
      <c r="Q1669" t="s">
        <v>1753</v>
      </c>
      <c r="R1669" t="s">
        <v>3980</v>
      </c>
      <c r="T1669" t="s">
        <v>116</v>
      </c>
    </row>
    <row r="1670" ht="25.5" customHeight="1" spans="1:20">
      <c r="A1670" t="s">
        <v>1872</v>
      </c>
      <c r="B1670" t="s">
        <v>65</v>
      </c>
      <c r="C1670" t="s">
        <v>4182</v>
      </c>
      <c r="D1670" s="3"/>
      <c r="E1670" s="2">
        <v>45679</v>
      </c>
      <c r="F1670">
        <v>91600</v>
      </c>
      <c r="G1670">
        <v>4474</v>
      </c>
      <c r="H1670">
        <v>306</v>
      </c>
      <c r="I1670">
        <v>5</v>
      </c>
      <c r="L1670" t="s">
        <v>3138</v>
      </c>
      <c r="M1670" t="s">
        <v>3522</v>
      </c>
      <c r="N1670" t="s">
        <v>1630</v>
      </c>
      <c r="O1670" s="4">
        <v>45679.665787037</v>
      </c>
      <c r="P1670" t="s">
        <v>116</v>
      </c>
      <c r="Q1670" t="s">
        <v>1753</v>
      </c>
      <c r="R1670" t="s">
        <v>4088</v>
      </c>
      <c r="T1670" t="s">
        <v>116</v>
      </c>
    </row>
    <row r="1671" ht="25.5" customHeight="1" spans="1:20">
      <c r="A1671" t="s">
        <v>1872</v>
      </c>
      <c r="B1671" t="s">
        <v>65</v>
      </c>
      <c r="C1671" t="s">
        <v>4182</v>
      </c>
      <c r="D1671" s="3"/>
      <c r="E1671" s="2">
        <v>45680</v>
      </c>
      <c r="F1671">
        <v>91600</v>
      </c>
      <c r="G1671">
        <v>4497</v>
      </c>
      <c r="H1671">
        <v>308</v>
      </c>
      <c r="I1671">
        <v>5</v>
      </c>
      <c r="L1671" t="s">
        <v>3138</v>
      </c>
      <c r="M1671" t="s">
        <v>3522</v>
      </c>
      <c r="N1671" t="s">
        <v>1630</v>
      </c>
      <c r="O1671" s="4">
        <v>45680.514375</v>
      </c>
      <c r="P1671" t="s">
        <v>116</v>
      </c>
      <c r="Q1671" t="s">
        <v>1753</v>
      </c>
      <c r="R1671" t="s">
        <v>4184</v>
      </c>
      <c r="T1671" t="s">
        <v>116</v>
      </c>
    </row>
    <row r="1672" ht="25.5" customHeight="1" spans="1:20">
      <c r="A1672" t="s">
        <v>1872</v>
      </c>
      <c r="B1672" t="s">
        <v>65</v>
      </c>
      <c r="C1672" t="s">
        <v>4182</v>
      </c>
      <c r="D1672" s="3"/>
      <c r="E1672" s="2">
        <v>45681</v>
      </c>
      <c r="F1672">
        <v>91600</v>
      </c>
      <c r="G1672">
        <v>4542</v>
      </c>
      <c r="H1672">
        <v>311</v>
      </c>
      <c r="I1672">
        <v>5</v>
      </c>
      <c r="L1672" t="s">
        <v>3138</v>
      </c>
      <c r="M1672" t="s">
        <v>3522</v>
      </c>
      <c r="N1672" t="s">
        <v>1630</v>
      </c>
      <c r="O1672" s="4">
        <v>45681.4990856481</v>
      </c>
      <c r="P1672" t="s">
        <v>116</v>
      </c>
      <c r="Q1672" t="s">
        <v>1753</v>
      </c>
      <c r="R1672" t="s">
        <v>4185</v>
      </c>
      <c r="T1672" t="s">
        <v>116</v>
      </c>
    </row>
    <row r="1673" ht="25.5" customHeight="1" spans="1:20">
      <c r="A1673" t="s">
        <v>1872</v>
      </c>
      <c r="B1673" t="s">
        <v>65</v>
      </c>
      <c r="C1673" t="s">
        <v>4182</v>
      </c>
      <c r="D1673" s="3"/>
      <c r="E1673" s="2">
        <v>45683</v>
      </c>
      <c r="F1673">
        <v>91600</v>
      </c>
      <c r="G1673">
        <v>4615</v>
      </c>
      <c r="H1673">
        <v>318</v>
      </c>
      <c r="I1673">
        <v>5</v>
      </c>
      <c r="L1673" t="s">
        <v>3138</v>
      </c>
      <c r="M1673" t="s">
        <v>3522</v>
      </c>
      <c r="N1673" t="s">
        <v>1630</v>
      </c>
      <c r="O1673" s="4">
        <v>45683.7254513889</v>
      </c>
      <c r="P1673" t="s">
        <v>116</v>
      </c>
      <c r="Q1673" t="s">
        <v>1753</v>
      </c>
      <c r="R1673" t="s">
        <v>3948</v>
      </c>
      <c r="T1673" t="s">
        <v>116</v>
      </c>
    </row>
    <row r="1674" ht="25.5" customHeight="1" spans="1:20">
      <c r="A1674" t="s">
        <v>1872</v>
      </c>
      <c r="B1674" t="s">
        <v>65</v>
      </c>
      <c r="C1674" t="s">
        <v>4182</v>
      </c>
      <c r="D1674" s="3"/>
      <c r="E1674" s="2">
        <v>45684</v>
      </c>
      <c r="F1674">
        <v>91600</v>
      </c>
      <c r="G1674">
        <v>4635</v>
      </c>
      <c r="H1674">
        <v>318</v>
      </c>
      <c r="I1674">
        <v>5</v>
      </c>
      <c r="L1674" t="s">
        <v>3138</v>
      </c>
      <c r="M1674" t="s">
        <v>3522</v>
      </c>
      <c r="N1674" t="s">
        <v>1630</v>
      </c>
      <c r="O1674" s="4">
        <v>45684.7806944444</v>
      </c>
      <c r="P1674" t="s">
        <v>116</v>
      </c>
      <c r="Q1674" t="s">
        <v>1753</v>
      </c>
      <c r="R1674" t="s">
        <v>3948</v>
      </c>
      <c r="T1674" t="s">
        <v>116</v>
      </c>
    </row>
    <row r="1675" ht="25.5" customHeight="1" spans="1:20">
      <c r="A1675" t="s">
        <v>1872</v>
      </c>
      <c r="B1675" t="s">
        <v>65</v>
      </c>
      <c r="C1675" t="s">
        <v>4182</v>
      </c>
      <c r="D1675" s="3"/>
      <c r="E1675" s="2">
        <v>45693</v>
      </c>
      <c r="F1675">
        <v>91000</v>
      </c>
      <c r="G1675">
        <v>4775</v>
      </c>
      <c r="H1675">
        <v>324</v>
      </c>
      <c r="I1675">
        <v>5</v>
      </c>
      <c r="L1675" t="s">
        <v>3138</v>
      </c>
      <c r="M1675" t="s">
        <v>3522</v>
      </c>
      <c r="N1675" t="s">
        <v>1630</v>
      </c>
      <c r="O1675" s="4">
        <v>45693.7799305556</v>
      </c>
      <c r="P1675" t="s">
        <v>116</v>
      </c>
      <c r="Q1675" t="s">
        <v>1753</v>
      </c>
      <c r="R1675" t="s">
        <v>4186</v>
      </c>
      <c r="T1675" t="s">
        <v>116</v>
      </c>
    </row>
    <row r="1676" ht="25.5" customHeight="1" spans="1:20">
      <c r="A1676" t="s">
        <v>1872</v>
      </c>
      <c r="B1676" t="s">
        <v>65</v>
      </c>
      <c r="C1676" t="s">
        <v>4182</v>
      </c>
      <c r="D1676" s="3"/>
      <c r="E1676" s="2">
        <v>45694</v>
      </c>
      <c r="F1676">
        <v>91600</v>
      </c>
      <c r="G1676">
        <v>4778</v>
      </c>
      <c r="H1676">
        <v>324</v>
      </c>
      <c r="I1676">
        <v>5</v>
      </c>
      <c r="L1676" t="s">
        <v>3138</v>
      </c>
      <c r="M1676" t="s">
        <v>3522</v>
      </c>
      <c r="N1676" t="s">
        <v>1630</v>
      </c>
      <c r="O1676" s="4">
        <v>45698.6216782407</v>
      </c>
      <c r="P1676" t="s">
        <v>116</v>
      </c>
      <c r="Q1676" t="s">
        <v>1753</v>
      </c>
      <c r="R1676" t="s">
        <v>4186</v>
      </c>
      <c r="S1676" t="s">
        <v>3180</v>
      </c>
      <c r="T1676" t="s">
        <v>116</v>
      </c>
    </row>
    <row r="1677" ht="25.5" customHeight="1" spans="1:20">
      <c r="A1677" t="s">
        <v>1872</v>
      </c>
      <c r="B1677" t="s">
        <v>65</v>
      </c>
      <c r="C1677" t="s">
        <v>4182</v>
      </c>
      <c r="D1677" s="3"/>
      <c r="E1677" s="2">
        <v>45695</v>
      </c>
      <c r="F1677">
        <v>91600</v>
      </c>
      <c r="G1677">
        <v>4796</v>
      </c>
      <c r="H1677">
        <v>324</v>
      </c>
      <c r="I1677">
        <v>5</v>
      </c>
      <c r="L1677" t="s">
        <v>3138</v>
      </c>
      <c r="M1677" t="s">
        <v>3522</v>
      </c>
      <c r="N1677" t="s">
        <v>1630</v>
      </c>
      <c r="O1677" s="4">
        <v>45695.4906018519</v>
      </c>
      <c r="P1677" t="s">
        <v>116</v>
      </c>
      <c r="Q1677" t="s">
        <v>1753</v>
      </c>
      <c r="R1677" t="s">
        <v>4186</v>
      </c>
      <c r="T1677" t="s">
        <v>116</v>
      </c>
    </row>
    <row r="1678" ht="25.5" customHeight="1" spans="1:20">
      <c r="A1678" t="s">
        <v>1872</v>
      </c>
      <c r="B1678" t="s">
        <v>65</v>
      </c>
      <c r="C1678" t="s">
        <v>4182</v>
      </c>
      <c r="D1678" s="3"/>
      <c r="E1678" s="2">
        <v>45696</v>
      </c>
      <c r="F1678">
        <v>91600</v>
      </c>
      <c r="G1678">
        <v>4801</v>
      </c>
      <c r="H1678">
        <v>325</v>
      </c>
      <c r="I1678">
        <v>5</v>
      </c>
      <c r="L1678" t="s">
        <v>3138</v>
      </c>
      <c r="M1678" t="s">
        <v>3522</v>
      </c>
      <c r="N1678" t="s">
        <v>1630</v>
      </c>
      <c r="O1678" s="4">
        <v>45696.4501157407</v>
      </c>
      <c r="P1678" t="s">
        <v>116</v>
      </c>
      <c r="Q1678" t="s">
        <v>1753</v>
      </c>
      <c r="R1678" t="s">
        <v>4187</v>
      </c>
      <c r="T1678" t="s">
        <v>116</v>
      </c>
    </row>
    <row r="1679" ht="25.5" customHeight="1" spans="1:20">
      <c r="A1679" t="s">
        <v>2445</v>
      </c>
      <c r="B1679" t="s">
        <v>56</v>
      </c>
      <c r="C1679" t="s">
        <v>4188</v>
      </c>
      <c r="D1679" s="3" t="str">
        <f>HYPERLINK("https://www.tiktok.com/@san.shapes","https://www.tiktok.com/@san.shapes")</f>
        <v>https://www.tiktok.com/@san.shapes</v>
      </c>
      <c r="E1679" s="2">
        <v>45665</v>
      </c>
      <c r="F1679">
        <v>352600</v>
      </c>
      <c r="G1679">
        <v>13600</v>
      </c>
      <c r="H1679">
        <v>959</v>
      </c>
      <c r="I1679">
        <v>8</v>
      </c>
      <c r="J1679">
        <v>36</v>
      </c>
      <c r="K1679">
        <v>9</v>
      </c>
      <c r="L1679" t="s">
        <v>3248</v>
      </c>
      <c r="M1679" t="s">
        <v>3378</v>
      </c>
      <c r="N1679" t="s">
        <v>1630</v>
      </c>
      <c r="O1679" s="4">
        <v>45670.8524189815</v>
      </c>
      <c r="P1679" t="s">
        <v>57</v>
      </c>
      <c r="Q1679" t="s">
        <v>97</v>
      </c>
      <c r="R1679" t="s">
        <v>4189</v>
      </c>
      <c r="T1679" t="s">
        <v>57</v>
      </c>
    </row>
    <row r="1680" ht="25.5" customHeight="1" spans="1:20">
      <c r="A1680" t="s">
        <v>2445</v>
      </c>
      <c r="B1680" t="s">
        <v>56</v>
      </c>
      <c r="C1680" t="s">
        <v>4188</v>
      </c>
      <c r="D1680" s="3"/>
      <c r="E1680" s="2">
        <v>45671</v>
      </c>
      <c r="F1680">
        <v>352500</v>
      </c>
      <c r="G1680">
        <v>13700</v>
      </c>
      <c r="H1680">
        <v>960</v>
      </c>
      <c r="I1680">
        <v>8</v>
      </c>
      <c r="J1680">
        <v>37</v>
      </c>
      <c r="K1680">
        <v>9</v>
      </c>
      <c r="L1680" t="s">
        <v>3248</v>
      </c>
      <c r="M1680" t="s">
        <v>3378</v>
      </c>
      <c r="N1680" t="s">
        <v>1630</v>
      </c>
      <c r="O1680" s="4">
        <v>45672.5030092593</v>
      </c>
      <c r="P1680" t="s">
        <v>57</v>
      </c>
      <c r="Q1680" t="s">
        <v>97</v>
      </c>
      <c r="R1680" t="s">
        <v>4190</v>
      </c>
      <c r="T1680" t="s">
        <v>57</v>
      </c>
    </row>
    <row r="1681" ht="25.5" customHeight="1" spans="1:20">
      <c r="A1681" t="s">
        <v>2445</v>
      </c>
      <c r="B1681" t="s">
        <v>56</v>
      </c>
      <c r="C1681" t="s">
        <v>4188</v>
      </c>
      <c r="D1681" s="3"/>
      <c r="E1681" s="2">
        <v>45672</v>
      </c>
      <c r="F1681">
        <v>352500</v>
      </c>
      <c r="G1681">
        <v>13700</v>
      </c>
      <c r="H1681">
        <v>960</v>
      </c>
      <c r="I1681">
        <v>8</v>
      </c>
      <c r="J1681">
        <v>37</v>
      </c>
      <c r="K1681">
        <v>9</v>
      </c>
      <c r="L1681" t="s">
        <v>3248</v>
      </c>
      <c r="M1681" t="s">
        <v>3378</v>
      </c>
      <c r="N1681" t="s">
        <v>1630</v>
      </c>
      <c r="O1681" s="4">
        <v>45672.5301967593</v>
      </c>
      <c r="P1681" t="s">
        <v>57</v>
      </c>
      <c r="Q1681" t="s">
        <v>97</v>
      </c>
      <c r="R1681" t="s">
        <v>4190</v>
      </c>
      <c r="T1681" t="s">
        <v>57</v>
      </c>
    </row>
    <row r="1682" ht="25.5" customHeight="1" spans="1:20">
      <c r="A1682" t="s">
        <v>2445</v>
      </c>
      <c r="B1682" t="s">
        <v>56</v>
      </c>
      <c r="C1682" t="s">
        <v>4188</v>
      </c>
      <c r="D1682" s="3"/>
      <c r="E1682" s="2">
        <v>45673</v>
      </c>
      <c r="F1682">
        <v>352500</v>
      </c>
      <c r="G1682">
        <v>13800</v>
      </c>
      <c r="H1682">
        <v>961</v>
      </c>
      <c r="I1682">
        <v>8</v>
      </c>
      <c r="J1682">
        <v>37</v>
      </c>
      <c r="K1682">
        <v>9</v>
      </c>
      <c r="L1682" t="s">
        <v>3248</v>
      </c>
      <c r="M1682" t="s">
        <v>3378</v>
      </c>
      <c r="N1682" t="s">
        <v>1630</v>
      </c>
      <c r="O1682" s="4">
        <v>45673.6183101852</v>
      </c>
      <c r="P1682" t="s">
        <v>57</v>
      </c>
      <c r="Q1682" t="s">
        <v>97</v>
      </c>
      <c r="R1682" t="s">
        <v>4191</v>
      </c>
      <c r="T1682" t="s">
        <v>57</v>
      </c>
    </row>
    <row r="1683" ht="25.5" customHeight="1" spans="1:20">
      <c r="A1683" t="s">
        <v>2445</v>
      </c>
      <c r="B1683" t="s">
        <v>56</v>
      </c>
      <c r="C1683" t="s">
        <v>4188</v>
      </c>
      <c r="D1683" s="3"/>
      <c r="E1683" s="2">
        <v>45674</v>
      </c>
      <c r="F1683">
        <v>352500</v>
      </c>
      <c r="G1683">
        <v>13800</v>
      </c>
      <c r="H1683">
        <v>963</v>
      </c>
      <c r="I1683">
        <v>8</v>
      </c>
      <c r="J1683">
        <v>38</v>
      </c>
      <c r="K1683">
        <v>9</v>
      </c>
      <c r="L1683" t="s">
        <v>3248</v>
      </c>
      <c r="M1683" t="s">
        <v>3378</v>
      </c>
      <c r="N1683" t="s">
        <v>1630</v>
      </c>
      <c r="O1683" s="4">
        <v>45674.6766782407</v>
      </c>
      <c r="P1683" t="s">
        <v>57</v>
      </c>
      <c r="Q1683" t="s">
        <v>97</v>
      </c>
      <c r="R1683" t="s">
        <v>4192</v>
      </c>
      <c r="T1683" t="s">
        <v>57</v>
      </c>
    </row>
    <row r="1684" ht="25.5" customHeight="1" spans="1:20">
      <c r="A1684" t="s">
        <v>2445</v>
      </c>
      <c r="B1684" t="s">
        <v>56</v>
      </c>
      <c r="C1684" t="s">
        <v>4188</v>
      </c>
      <c r="D1684" s="3"/>
      <c r="E1684" s="2">
        <v>45677</v>
      </c>
      <c r="F1684">
        <v>352300</v>
      </c>
      <c r="G1684">
        <v>14000</v>
      </c>
      <c r="H1684">
        <v>967</v>
      </c>
      <c r="I1684">
        <v>8</v>
      </c>
      <c r="J1684">
        <v>41</v>
      </c>
      <c r="K1684">
        <v>9</v>
      </c>
      <c r="L1684" t="s">
        <v>3248</v>
      </c>
      <c r="M1684" t="s">
        <v>3378</v>
      </c>
      <c r="N1684" t="s">
        <v>1630</v>
      </c>
      <c r="O1684" s="4">
        <v>45677.4357986111</v>
      </c>
      <c r="P1684" t="s">
        <v>57</v>
      </c>
      <c r="Q1684" t="s">
        <v>97</v>
      </c>
      <c r="R1684" t="s">
        <v>4193</v>
      </c>
      <c r="T1684" t="s">
        <v>57</v>
      </c>
    </row>
    <row r="1685" ht="25.5" customHeight="1" spans="1:20">
      <c r="A1685" t="s">
        <v>2445</v>
      </c>
      <c r="B1685" t="s">
        <v>56</v>
      </c>
      <c r="C1685" t="s">
        <v>4188</v>
      </c>
      <c r="D1685" s="3"/>
      <c r="E1685" s="2">
        <v>45678</v>
      </c>
      <c r="F1685">
        <v>352300</v>
      </c>
      <c r="G1685">
        <v>14200</v>
      </c>
      <c r="H1685">
        <v>968</v>
      </c>
      <c r="I1685">
        <v>8</v>
      </c>
      <c r="J1685">
        <v>43</v>
      </c>
      <c r="K1685">
        <v>9</v>
      </c>
      <c r="L1685" t="s">
        <v>3248</v>
      </c>
      <c r="M1685" t="s">
        <v>3378</v>
      </c>
      <c r="N1685" t="s">
        <v>1630</v>
      </c>
      <c r="O1685" s="4">
        <v>45678.6441319444</v>
      </c>
      <c r="P1685" t="s">
        <v>57</v>
      </c>
      <c r="Q1685" t="s">
        <v>97</v>
      </c>
      <c r="R1685" t="s">
        <v>4194</v>
      </c>
      <c r="T1685" t="s">
        <v>57</v>
      </c>
    </row>
    <row r="1686" ht="25.5" customHeight="1" spans="1:20">
      <c r="A1686" t="s">
        <v>2445</v>
      </c>
      <c r="B1686" t="s">
        <v>56</v>
      </c>
      <c r="C1686" t="s">
        <v>4188</v>
      </c>
      <c r="D1686" s="3"/>
      <c r="E1686" s="2">
        <v>45679</v>
      </c>
      <c r="F1686">
        <v>352200</v>
      </c>
      <c r="G1686">
        <v>14200</v>
      </c>
      <c r="H1686">
        <v>969</v>
      </c>
      <c r="I1686">
        <v>8</v>
      </c>
      <c r="J1686">
        <v>44</v>
      </c>
      <c r="K1686">
        <v>9</v>
      </c>
      <c r="L1686" t="s">
        <v>3248</v>
      </c>
      <c r="M1686" t="s">
        <v>3378</v>
      </c>
      <c r="N1686" t="s">
        <v>1630</v>
      </c>
      <c r="O1686" s="4">
        <v>45679.6971064815</v>
      </c>
      <c r="P1686" t="s">
        <v>57</v>
      </c>
      <c r="Q1686" t="s">
        <v>97</v>
      </c>
      <c r="R1686" t="s">
        <v>4195</v>
      </c>
      <c r="T1686" t="s">
        <v>57</v>
      </c>
    </row>
    <row r="1687" ht="25.5" customHeight="1" spans="1:20">
      <c r="A1687" t="s">
        <v>2445</v>
      </c>
      <c r="B1687" t="s">
        <v>56</v>
      </c>
      <c r="C1687" t="s">
        <v>4188</v>
      </c>
      <c r="D1687" s="3"/>
      <c r="E1687" s="2">
        <v>45680</v>
      </c>
      <c r="F1687">
        <v>352200</v>
      </c>
      <c r="G1687">
        <v>14300</v>
      </c>
      <c r="H1687">
        <v>969</v>
      </c>
      <c r="I1687">
        <v>8</v>
      </c>
      <c r="J1687">
        <v>44</v>
      </c>
      <c r="K1687">
        <v>9</v>
      </c>
      <c r="L1687" t="s">
        <v>3248</v>
      </c>
      <c r="M1687" t="s">
        <v>3378</v>
      </c>
      <c r="N1687" t="s">
        <v>1630</v>
      </c>
      <c r="O1687" s="4">
        <v>45680.6588078704</v>
      </c>
      <c r="P1687" t="s">
        <v>57</v>
      </c>
      <c r="Q1687" t="s">
        <v>97</v>
      </c>
      <c r="R1687" t="s">
        <v>4195</v>
      </c>
      <c r="T1687" t="s">
        <v>57</v>
      </c>
    </row>
    <row r="1688" ht="25.5" customHeight="1" spans="1:20">
      <c r="A1688" t="s">
        <v>2445</v>
      </c>
      <c r="B1688" t="s">
        <v>56</v>
      </c>
      <c r="C1688" t="s">
        <v>4188</v>
      </c>
      <c r="D1688" s="3"/>
      <c r="E1688" s="2">
        <v>45681</v>
      </c>
      <c r="F1688">
        <v>352100</v>
      </c>
      <c r="G1688">
        <v>14300</v>
      </c>
      <c r="H1688">
        <v>969</v>
      </c>
      <c r="I1688">
        <v>8</v>
      </c>
      <c r="J1688">
        <v>45</v>
      </c>
      <c r="K1688">
        <v>9</v>
      </c>
      <c r="L1688" t="s">
        <v>3248</v>
      </c>
      <c r="M1688" t="s">
        <v>3378</v>
      </c>
      <c r="N1688" t="s">
        <v>1630</v>
      </c>
      <c r="O1688" s="4">
        <v>45681.6433333333</v>
      </c>
      <c r="P1688" t="s">
        <v>57</v>
      </c>
      <c r="Q1688" t="s">
        <v>97</v>
      </c>
      <c r="R1688" t="s">
        <v>4196</v>
      </c>
      <c r="T1688" t="s">
        <v>57</v>
      </c>
    </row>
    <row r="1689" ht="25.5" customHeight="1" spans="1:20">
      <c r="A1689" t="s">
        <v>2445</v>
      </c>
      <c r="B1689" t="s">
        <v>56</v>
      </c>
      <c r="C1689" t="s">
        <v>4188</v>
      </c>
      <c r="D1689" s="3"/>
      <c r="E1689" s="2">
        <v>45683</v>
      </c>
      <c r="F1689">
        <v>352100</v>
      </c>
      <c r="G1689">
        <v>14400</v>
      </c>
      <c r="H1689">
        <v>971</v>
      </c>
      <c r="I1689">
        <v>8</v>
      </c>
      <c r="J1689">
        <v>46</v>
      </c>
      <c r="K1689">
        <v>9</v>
      </c>
      <c r="L1689" t="s">
        <v>3248</v>
      </c>
      <c r="M1689" t="s">
        <v>3378</v>
      </c>
      <c r="N1689" t="s">
        <v>1630</v>
      </c>
      <c r="O1689" s="4">
        <v>45683.773599537</v>
      </c>
      <c r="P1689" t="s">
        <v>57</v>
      </c>
      <c r="Q1689" t="s">
        <v>97</v>
      </c>
      <c r="R1689" t="s">
        <v>4197</v>
      </c>
      <c r="T1689" t="s">
        <v>57</v>
      </c>
    </row>
    <row r="1690" ht="25.5" customHeight="1" spans="1:20">
      <c r="A1690" t="s">
        <v>2445</v>
      </c>
      <c r="B1690" t="s">
        <v>56</v>
      </c>
      <c r="C1690" t="s">
        <v>4188</v>
      </c>
      <c r="D1690" s="3"/>
      <c r="E1690" s="2">
        <v>45684</v>
      </c>
      <c r="F1690">
        <v>352000</v>
      </c>
      <c r="G1690">
        <v>14500</v>
      </c>
      <c r="H1690">
        <v>973</v>
      </c>
      <c r="I1690">
        <v>8</v>
      </c>
      <c r="J1690">
        <v>47</v>
      </c>
      <c r="K1690">
        <v>9</v>
      </c>
      <c r="L1690" t="s">
        <v>3248</v>
      </c>
      <c r="M1690" t="s">
        <v>3378</v>
      </c>
      <c r="N1690" t="s">
        <v>1630</v>
      </c>
      <c r="O1690" s="4">
        <v>45684.8517708333</v>
      </c>
      <c r="P1690" t="s">
        <v>57</v>
      </c>
      <c r="Q1690" t="s">
        <v>97</v>
      </c>
      <c r="R1690" t="s">
        <v>4160</v>
      </c>
      <c r="T1690" t="s">
        <v>57</v>
      </c>
    </row>
    <row r="1691" ht="25.5" customHeight="1" spans="1:20">
      <c r="A1691" t="s">
        <v>2445</v>
      </c>
      <c r="B1691" t="s">
        <v>56</v>
      </c>
      <c r="C1691" t="s">
        <v>4188</v>
      </c>
      <c r="D1691" s="3"/>
      <c r="E1691" s="2">
        <v>45693</v>
      </c>
      <c r="F1691">
        <v>351700</v>
      </c>
      <c r="G1691">
        <v>15400</v>
      </c>
      <c r="H1691">
        <v>979</v>
      </c>
      <c r="I1691">
        <v>8</v>
      </c>
      <c r="J1691">
        <v>57</v>
      </c>
      <c r="K1691">
        <v>11</v>
      </c>
      <c r="L1691" t="s">
        <v>3258</v>
      </c>
      <c r="M1691" t="s">
        <v>3378</v>
      </c>
      <c r="N1691" t="s">
        <v>1630</v>
      </c>
      <c r="O1691" s="4">
        <v>45693.8266087963</v>
      </c>
      <c r="P1691" t="s">
        <v>57</v>
      </c>
      <c r="Q1691" t="s">
        <v>97</v>
      </c>
      <c r="R1691" t="s">
        <v>4198</v>
      </c>
      <c r="T1691" t="s">
        <v>57</v>
      </c>
    </row>
    <row r="1692" ht="25.5" customHeight="1" spans="1:20">
      <c r="A1692" t="s">
        <v>2445</v>
      </c>
      <c r="B1692" t="s">
        <v>56</v>
      </c>
      <c r="C1692" t="s">
        <v>4188</v>
      </c>
      <c r="D1692" s="3"/>
      <c r="E1692" s="2">
        <v>45694</v>
      </c>
      <c r="F1692">
        <v>351700</v>
      </c>
      <c r="G1692">
        <v>15500</v>
      </c>
      <c r="H1692">
        <v>980</v>
      </c>
      <c r="I1692">
        <v>8</v>
      </c>
      <c r="J1692">
        <v>57</v>
      </c>
      <c r="K1692">
        <v>11</v>
      </c>
      <c r="L1692" t="s">
        <v>3258</v>
      </c>
      <c r="M1692" t="s">
        <v>3378</v>
      </c>
      <c r="N1692" t="s">
        <v>1630</v>
      </c>
      <c r="O1692" s="4">
        <v>45698.6216782407</v>
      </c>
      <c r="P1692" t="s">
        <v>57</v>
      </c>
      <c r="Q1692" t="s">
        <v>97</v>
      </c>
      <c r="R1692" t="s">
        <v>4199</v>
      </c>
      <c r="S1692" t="s">
        <v>3245</v>
      </c>
      <c r="T1692" t="s">
        <v>57</v>
      </c>
    </row>
    <row r="1693" ht="25.5" customHeight="1" spans="1:20">
      <c r="A1693" t="s">
        <v>2400</v>
      </c>
      <c r="B1693" t="s">
        <v>56</v>
      </c>
      <c r="C1693" t="s">
        <v>4200</v>
      </c>
      <c r="D1693" s="3"/>
      <c r="E1693" s="2">
        <v>45678</v>
      </c>
      <c r="F1693">
        <v>162100</v>
      </c>
      <c r="G1693">
        <v>1170</v>
      </c>
      <c r="H1693">
        <v>22</v>
      </c>
      <c r="I1693">
        <v>0</v>
      </c>
      <c r="J1693">
        <v>3</v>
      </c>
      <c r="K1693">
        <v>0</v>
      </c>
      <c r="L1693" t="s">
        <v>3281</v>
      </c>
      <c r="M1693" t="s">
        <v>3228</v>
      </c>
      <c r="N1693" t="s">
        <v>1630</v>
      </c>
      <c r="O1693" s="4">
        <v>45678.6522800926</v>
      </c>
      <c r="P1693" t="s">
        <v>57</v>
      </c>
      <c r="Q1693" t="s">
        <v>1753</v>
      </c>
      <c r="R1693" t="s">
        <v>3557</v>
      </c>
      <c r="T1693" t="s">
        <v>57</v>
      </c>
    </row>
    <row r="1694" ht="25.5" customHeight="1" spans="1:20">
      <c r="A1694" t="s">
        <v>2400</v>
      </c>
      <c r="B1694" t="s">
        <v>56</v>
      </c>
      <c r="C1694" t="s">
        <v>4200</v>
      </c>
      <c r="D1694" s="3"/>
      <c r="E1694" s="2">
        <v>45679</v>
      </c>
      <c r="F1694">
        <v>162100</v>
      </c>
      <c r="G1694">
        <v>1380</v>
      </c>
      <c r="H1694">
        <v>25</v>
      </c>
      <c r="I1694">
        <v>0</v>
      </c>
      <c r="J1694">
        <v>8</v>
      </c>
      <c r="K1694">
        <v>0</v>
      </c>
      <c r="L1694" t="s">
        <v>3281</v>
      </c>
      <c r="M1694" t="s">
        <v>3228</v>
      </c>
      <c r="N1694" t="s">
        <v>1630</v>
      </c>
      <c r="O1694" s="4">
        <v>45679.6975115741</v>
      </c>
      <c r="P1694" t="s">
        <v>57</v>
      </c>
      <c r="Q1694" t="s">
        <v>1753</v>
      </c>
      <c r="R1694" t="s">
        <v>3789</v>
      </c>
      <c r="T1694" t="s">
        <v>57</v>
      </c>
    </row>
    <row r="1695" ht="25.5" customHeight="1" spans="1:20">
      <c r="A1695" t="s">
        <v>2400</v>
      </c>
      <c r="B1695" t="s">
        <v>56</v>
      </c>
      <c r="C1695" t="s">
        <v>4200</v>
      </c>
      <c r="D1695" s="3"/>
      <c r="E1695" s="2">
        <v>45680</v>
      </c>
      <c r="F1695">
        <v>162200</v>
      </c>
      <c r="G1695">
        <v>1462</v>
      </c>
      <c r="H1695">
        <v>26</v>
      </c>
      <c r="I1695">
        <v>0</v>
      </c>
      <c r="J1695">
        <v>9</v>
      </c>
      <c r="K1695">
        <v>0</v>
      </c>
      <c r="L1695" t="s">
        <v>3281</v>
      </c>
      <c r="M1695" t="s">
        <v>3228</v>
      </c>
      <c r="N1695" t="s">
        <v>1630</v>
      </c>
      <c r="O1695" s="4">
        <v>45680.6590046296</v>
      </c>
      <c r="P1695" t="s">
        <v>57</v>
      </c>
      <c r="Q1695" t="s">
        <v>1753</v>
      </c>
      <c r="R1695" t="s">
        <v>3940</v>
      </c>
      <c r="T1695" t="s">
        <v>57</v>
      </c>
    </row>
    <row r="1696" ht="25.5" customHeight="1" spans="1:20">
      <c r="A1696" t="s">
        <v>2400</v>
      </c>
      <c r="B1696" t="s">
        <v>56</v>
      </c>
      <c r="C1696" t="s">
        <v>4200</v>
      </c>
      <c r="D1696" s="3"/>
      <c r="E1696" s="2">
        <v>45681</v>
      </c>
      <c r="F1696">
        <v>162300</v>
      </c>
      <c r="G1696">
        <v>1540</v>
      </c>
      <c r="H1696">
        <v>29</v>
      </c>
      <c r="I1696">
        <v>0</v>
      </c>
      <c r="J1696">
        <v>9</v>
      </c>
      <c r="K1696">
        <v>0</v>
      </c>
      <c r="L1696" t="s">
        <v>3281</v>
      </c>
      <c r="M1696" t="s">
        <v>3228</v>
      </c>
      <c r="N1696" t="s">
        <v>1630</v>
      </c>
      <c r="O1696" s="4">
        <v>45681.6435300926</v>
      </c>
      <c r="P1696" t="s">
        <v>57</v>
      </c>
      <c r="Q1696" t="s">
        <v>1753</v>
      </c>
      <c r="R1696" t="s">
        <v>3506</v>
      </c>
      <c r="T1696" t="s">
        <v>57</v>
      </c>
    </row>
    <row r="1697" ht="25.5" customHeight="1" spans="1:20">
      <c r="A1697" t="s">
        <v>2400</v>
      </c>
      <c r="B1697" t="s">
        <v>56</v>
      </c>
      <c r="C1697" t="s">
        <v>4200</v>
      </c>
      <c r="D1697" s="3"/>
      <c r="E1697" s="2">
        <v>45683</v>
      </c>
      <c r="F1697">
        <v>162300</v>
      </c>
      <c r="G1697">
        <v>1631</v>
      </c>
      <c r="H1697">
        <v>30</v>
      </c>
      <c r="I1697">
        <v>0</v>
      </c>
      <c r="J1697">
        <v>9</v>
      </c>
      <c r="K1697">
        <v>0</v>
      </c>
      <c r="L1697" t="s">
        <v>3281</v>
      </c>
      <c r="M1697" t="s">
        <v>3228</v>
      </c>
      <c r="N1697" t="s">
        <v>1630</v>
      </c>
      <c r="O1697" s="4">
        <v>45683.7738657407</v>
      </c>
      <c r="P1697" t="s">
        <v>57</v>
      </c>
      <c r="Q1697" t="s">
        <v>1753</v>
      </c>
      <c r="R1697" t="s">
        <v>3941</v>
      </c>
      <c r="T1697" t="s">
        <v>57</v>
      </c>
    </row>
    <row r="1698" ht="25.5" customHeight="1" spans="1:20">
      <c r="A1698" t="s">
        <v>2400</v>
      </c>
      <c r="B1698" t="s">
        <v>56</v>
      </c>
      <c r="C1698" t="s">
        <v>4200</v>
      </c>
      <c r="D1698" s="3"/>
      <c r="E1698" s="2">
        <v>45684</v>
      </c>
      <c r="F1698">
        <v>162400</v>
      </c>
      <c r="G1698">
        <v>1704</v>
      </c>
      <c r="H1698">
        <v>33</v>
      </c>
      <c r="I1698">
        <v>0</v>
      </c>
      <c r="J1698">
        <v>11</v>
      </c>
      <c r="K1698">
        <v>0</v>
      </c>
      <c r="L1698" t="s">
        <v>3281</v>
      </c>
      <c r="M1698" t="s">
        <v>3228</v>
      </c>
      <c r="N1698" t="s">
        <v>1630</v>
      </c>
      <c r="O1698" s="4">
        <v>45684.8520023148</v>
      </c>
      <c r="P1698" t="s">
        <v>57</v>
      </c>
      <c r="Q1698" t="s">
        <v>1753</v>
      </c>
      <c r="R1698" t="s">
        <v>3507</v>
      </c>
      <c r="T1698" t="s">
        <v>57</v>
      </c>
    </row>
    <row r="1699" ht="25.5" customHeight="1" spans="1:20">
      <c r="A1699" t="s">
        <v>2400</v>
      </c>
      <c r="B1699" t="s">
        <v>56</v>
      </c>
      <c r="C1699" t="s">
        <v>4200</v>
      </c>
      <c r="D1699" s="3"/>
      <c r="E1699" s="2">
        <v>45693</v>
      </c>
      <c r="F1699">
        <v>165700</v>
      </c>
      <c r="G1699">
        <v>2091</v>
      </c>
      <c r="H1699">
        <v>38</v>
      </c>
      <c r="I1699">
        <v>0</v>
      </c>
      <c r="J1699">
        <v>13</v>
      </c>
      <c r="K1699">
        <v>0</v>
      </c>
      <c r="L1699" t="s">
        <v>3281</v>
      </c>
      <c r="M1699" t="s">
        <v>3228</v>
      </c>
      <c r="N1699" t="s">
        <v>1630</v>
      </c>
      <c r="O1699" s="4">
        <v>45693.8268171296</v>
      </c>
      <c r="P1699" t="s">
        <v>57</v>
      </c>
      <c r="Q1699" t="s">
        <v>1753</v>
      </c>
      <c r="R1699" t="s">
        <v>3178</v>
      </c>
      <c r="T1699" t="s">
        <v>57</v>
      </c>
    </row>
    <row r="1700" ht="25.5" customHeight="1" spans="1:20">
      <c r="A1700" t="s">
        <v>2400</v>
      </c>
      <c r="B1700" t="s">
        <v>56</v>
      </c>
      <c r="C1700" t="s">
        <v>4200</v>
      </c>
      <c r="D1700" s="3"/>
      <c r="E1700" s="2">
        <v>45694</v>
      </c>
      <c r="F1700">
        <v>165800</v>
      </c>
      <c r="G1700">
        <v>2109</v>
      </c>
      <c r="H1700">
        <v>39</v>
      </c>
      <c r="I1700">
        <v>0</v>
      </c>
      <c r="J1700">
        <v>14</v>
      </c>
      <c r="K1700">
        <v>0</v>
      </c>
      <c r="L1700" t="s">
        <v>3281</v>
      </c>
      <c r="M1700" t="s">
        <v>3228</v>
      </c>
      <c r="N1700" t="s">
        <v>1630</v>
      </c>
      <c r="O1700" s="4">
        <v>45698.6216782407</v>
      </c>
      <c r="P1700" t="s">
        <v>57</v>
      </c>
      <c r="Q1700" t="s">
        <v>1753</v>
      </c>
      <c r="R1700" t="s">
        <v>3271</v>
      </c>
      <c r="S1700" t="s">
        <v>3245</v>
      </c>
      <c r="T1700" t="s">
        <v>57</v>
      </c>
    </row>
    <row r="1701" ht="25.5" customHeight="1" spans="1:20">
      <c r="A1701" t="s">
        <v>2400</v>
      </c>
      <c r="B1701" t="s">
        <v>56</v>
      </c>
      <c r="C1701" t="s">
        <v>4200</v>
      </c>
      <c r="D1701" s="3"/>
      <c r="E1701" s="2">
        <v>45695</v>
      </c>
      <c r="F1701">
        <v>165900</v>
      </c>
      <c r="G1701">
        <v>2141</v>
      </c>
      <c r="H1701">
        <v>40</v>
      </c>
      <c r="I1701">
        <v>0</v>
      </c>
      <c r="J1701">
        <v>15</v>
      </c>
      <c r="K1701">
        <v>0</v>
      </c>
      <c r="L1701" t="s">
        <v>3281</v>
      </c>
      <c r="M1701" t="s">
        <v>3228</v>
      </c>
      <c r="N1701" t="s">
        <v>1630</v>
      </c>
      <c r="O1701" s="4">
        <v>45695.7219212963</v>
      </c>
      <c r="P1701" t="s">
        <v>57</v>
      </c>
      <c r="Q1701" t="s">
        <v>1753</v>
      </c>
      <c r="R1701" t="s">
        <v>3394</v>
      </c>
      <c r="T1701" t="s">
        <v>57</v>
      </c>
    </row>
    <row r="1702" ht="25.5" customHeight="1" spans="1:20">
      <c r="A1702" t="s">
        <v>2400</v>
      </c>
      <c r="B1702" t="s">
        <v>56</v>
      </c>
      <c r="C1702" t="s">
        <v>4200</v>
      </c>
      <c r="D1702" s="3"/>
      <c r="E1702" s="2">
        <v>45696</v>
      </c>
      <c r="F1702">
        <v>165900</v>
      </c>
      <c r="G1702">
        <v>2152</v>
      </c>
      <c r="H1702">
        <v>40</v>
      </c>
      <c r="I1702">
        <v>0</v>
      </c>
      <c r="J1702">
        <v>15</v>
      </c>
      <c r="K1702">
        <v>0</v>
      </c>
      <c r="L1702" t="s">
        <v>3281</v>
      </c>
      <c r="M1702" t="s">
        <v>3228</v>
      </c>
      <c r="N1702" t="s">
        <v>1630</v>
      </c>
      <c r="O1702" s="4">
        <v>45696.4361921296</v>
      </c>
      <c r="P1702" t="s">
        <v>57</v>
      </c>
      <c r="Q1702" t="s">
        <v>1753</v>
      </c>
      <c r="R1702" t="s">
        <v>3394</v>
      </c>
      <c r="T1702" t="s">
        <v>57</v>
      </c>
    </row>
    <row r="1703" ht="25.5" customHeight="1" spans="1:20">
      <c r="A1703" t="s">
        <v>2984</v>
      </c>
      <c r="B1703" t="s">
        <v>56</v>
      </c>
      <c r="D1703" s="3"/>
      <c r="E1703" s="2"/>
      <c r="M1703" t="s">
        <v>3511</v>
      </c>
      <c r="N1703" t="s">
        <v>1645</v>
      </c>
      <c r="O1703" s="4">
        <v>45670.743587963</v>
      </c>
      <c r="P1703" t="s">
        <v>57</v>
      </c>
      <c r="R1703" t="s">
        <v>3133</v>
      </c>
      <c r="T1703" t="s">
        <v>57</v>
      </c>
    </row>
    <row r="1704" ht="25.5" customHeight="1" spans="1:20">
      <c r="A1704" t="s">
        <v>1733</v>
      </c>
      <c r="B1704" t="s">
        <v>56</v>
      </c>
      <c r="C1704" t="s">
        <v>4201</v>
      </c>
      <c r="D1704" s="3" t="str">
        <f>HYPERLINK("https://www.tiktok.com/@setups_ai","https://www.tiktok.com/@setups_ai")</f>
        <v>https://www.tiktok.com/@setups_ai</v>
      </c>
      <c r="E1704" s="2">
        <v>45666</v>
      </c>
      <c r="F1704">
        <v>792200</v>
      </c>
      <c r="G1704">
        <v>46600</v>
      </c>
      <c r="H1704">
        <v>2744</v>
      </c>
      <c r="I1704">
        <v>17</v>
      </c>
      <c r="J1704">
        <v>2408</v>
      </c>
      <c r="K1704">
        <v>313</v>
      </c>
      <c r="L1704" t="s">
        <v>3248</v>
      </c>
      <c r="M1704" t="s">
        <v>3414</v>
      </c>
      <c r="N1704" t="s">
        <v>1630</v>
      </c>
      <c r="O1704" s="4">
        <v>45670.8520601852</v>
      </c>
      <c r="P1704" t="s">
        <v>57</v>
      </c>
      <c r="Q1704" t="s">
        <v>1631</v>
      </c>
      <c r="R1704" t="s">
        <v>4202</v>
      </c>
      <c r="T1704" t="s">
        <v>57</v>
      </c>
    </row>
    <row r="1705" ht="25.5" customHeight="1" spans="1:20">
      <c r="A1705" t="s">
        <v>1733</v>
      </c>
      <c r="B1705" t="s">
        <v>56</v>
      </c>
      <c r="C1705" t="s">
        <v>4201</v>
      </c>
      <c r="D1705" s="3"/>
      <c r="E1705" s="2">
        <v>45671</v>
      </c>
      <c r="F1705">
        <v>793300</v>
      </c>
      <c r="G1705">
        <v>49400</v>
      </c>
      <c r="H1705">
        <v>2931</v>
      </c>
      <c r="I1705">
        <v>19</v>
      </c>
      <c r="J1705">
        <v>2560</v>
      </c>
      <c r="K1705">
        <v>337</v>
      </c>
      <c r="L1705" t="s">
        <v>3248</v>
      </c>
      <c r="M1705" t="s">
        <v>3414</v>
      </c>
      <c r="N1705" t="s">
        <v>1630</v>
      </c>
      <c r="O1705" s="4">
        <v>45672.5030092593</v>
      </c>
      <c r="P1705" t="s">
        <v>57</v>
      </c>
      <c r="Q1705" t="s">
        <v>1631</v>
      </c>
      <c r="R1705" t="s">
        <v>4203</v>
      </c>
      <c r="T1705" t="s">
        <v>57</v>
      </c>
    </row>
    <row r="1706" ht="25.5" customHeight="1" spans="1:20">
      <c r="A1706" t="s">
        <v>1733</v>
      </c>
      <c r="B1706" t="s">
        <v>56</v>
      </c>
      <c r="C1706" t="s">
        <v>4201</v>
      </c>
      <c r="D1706" s="3"/>
      <c r="E1706" s="2">
        <v>45672</v>
      </c>
      <c r="F1706">
        <v>794500</v>
      </c>
      <c r="G1706">
        <v>51700</v>
      </c>
      <c r="H1706">
        <v>3052</v>
      </c>
      <c r="I1706">
        <v>19</v>
      </c>
      <c r="J1706">
        <v>2652</v>
      </c>
      <c r="K1706">
        <v>354</v>
      </c>
      <c r="L1706" t="s">
        <v>3248</v>
      </c>
      <c r="M1706" t="s">
        <v>3414</v>
      </c>
      <c r="N1706" t="s">
        <v>1630</v>
      </c>
      <c r="O1706" s="4">
        <v>45672.5304861111</v>
      </c>
      <c r="P1706" t="s">
        <v>57</v>
      </c>
      <c r="Q1706" t="s">
        <v>1631</v>
      </c>
      <c r="R1706" t="s">
        <v>4204</v>
      </c>
      <c r="T1706" t="s">
        <v>57</v>
      </c>
    </row>
    <row r="1707" ht="25.5" customHeight="1" spans="1:20">
      <c r="A1707" t="s">
        <v>1733</v>
      </c>
      <c r="B1707" t="s">
        <v>56</v>
      </c>
      <c r="C1707" t="s">
        <v>4201</v>
      </c>
      <c r="D1707" s="3"/>
      <c r="E1707" s="2">
        <v>45673</v>
      </c>
      <c r="F1707">
        <v>795400</v>
      </c>
      <c r="G1707">
        <v>53800</v>
      </c>
      <c r="H1707">
        <v>3137</v>
      </c>
      <c r="I1707">
        <v>20</v>
      </c>
      <c r="J1707">
        <v>2737</v>
      </c>
      <c r="K1707">
        <v>368</v>
      </c>
      <c r="L1707" t="s">
        <v>3248</v>
      </c>
      <c r="M1707" t="s">
        <v>3414</v>
      </c>
      <c r="N1707" t="s">
        <v>1630</v>
      </c>
      <c r="O1707" s="4">
        <v>45673.618599537</v>
      </c>
      <c r="P1707" t="s">
        <v>57</v>
      </c>
      <c r="Q1707" t="s">
        <v>1631</v>
      </c>
      <c r="R1707" t="s">
        <v>4205</v>
      </c>
      <c r="T1707" t="s">
        <v>57</v>
      </c>
    </row>
    <row r="1708" ht="25.5" customHeight="1" spans="1:20">
      <c r="A1708" t="s">
        <v>1733</v>
      </c>
      <c r="B1708" t="s">
        <v>56</v>
      </c>
      <c r="C1708" t="s">
        <v>4201</v>
      </c>
      <c r="D1708" s="3"/>
      <c r="E1708" s="2">
        <v>45674</v>
      </c>
      <c r="F1708">
        <v>796200</v>
      </c>
      <c r="G1708">
        <v>55800</v>
      </c>
      <c r="H1708">
        <v>3254</v>
      </c>
      <c r="I1708">
        <v>22</v>
      </c>
      <c r="J1708">
        <v>2835</v>
      </c>
      <c r="K1708">
        <v>378</v>
      </c>
      <c r="L1708" t="s">
        <v>3248</v>
      </c>
      <c r="M1708" t="s">
        <v>3414</v>
      </c>
      <c r="N1708" t="s">
        <v>1630</v>
      </c>
      <c r="O1708" s="4">
        <v>45674.6769560185</v>
      </c>
      <c r="P1708" t="s">
        <v>57</v>
      </c>
      <c r="Q1708" t="s">
        <v>1631</v>
      </c>
      <c r="R1708" t="s">
        <v>4206</v>
      </c>
      <c r="T1708" t="s">
        <v>57</v>
      </c>
    </row>
    <row r="1709" ht="25.5" customHeight="1" spans="1:20">
      <c r="A1709" t="s">
        <v>1733</v>
      </c>
      <c r="B1709" t="s">
        <v>56</v>
      </c>
      <c r="C1709" t="s">
        <v>4201</v>
      </c>
      <c r="D1709" s="3"/>
      <c r="E1709" s="2">
        <v>45677</v>
      </c>
      <c r="F1709">
        <v>799000</v>
      </c>
      <c r="G1709">
        <v>60400</v>
      </c>
      <c r="H1709">
        <v>3478</v>
      </c>
      <c r="I1709">
        <v>22</v>
      </c>
      <c r="J1709">
        <v>3060</v>
      </c>
      <c r="K1709">
        <v>413</v>
      </c>
      <c r="L1709" t="s">
        <v>3258</v>
      </c>
      <c r="M1709" t="s">
        <v>3414</v>
      </c>
      <c r="N1709" t="s">
        <v>1630</v>
      </c>
      <c r="O1709" s="4">
        <v>45677.4360069444</v>
      </c>
      <c r="P1709" t="s">
        <v>57</v>
      </c>
      <c r="Q1709" t="s">
        <v>1631</v>
      </c>
      <c r="R1709" t="s">
        <v>4207</v>
      </c>
      <c r="T1709" t="s">
        <v>57</v>
      </c>
    </row>
    <row r="1710" ht="25.5" customHeight="1" spans="1:20">
      <c r="A1710" t="s">
        <v>1733</v>
      </c>
      <c r="B1710" t="s">
        <v>56</v>
      </c>
      <c r="C1710" t="s">
        <v>4201</v>
      </c>
      <c r="D1710" s="3"/>
      <c r="E1710" s="2">
        <v>45678</v>
      </c>
      <c r="F1710">
        <v>800800</v>
      </c>
      <c r="G1710">
        <v>62300</v>
      </c>
      <c r="H1710">
        <v>3569</v>
      </c>
      <c r="I1710">
        <v>22</v>
      </c>
      <c r="J1710">
        <v>3137</v>
      </c>
      <c r="K1710">
        <v>422</v>
      </c>
      <c r="L1710" t="s">
        <v>3258</v>
      </c>
      <c r="M1710" t="s">
        <v>3414</v>
      </c>
      <c r="N1710" t="s">
        <v>1630</v>
      </c>
      <c r="O1710" s="4">
        <v>45678.6514699074</v>
      </c>
      <c r="P1710" t="s">
        <v>57</v>
      </c>
      <c r="Q1710" t="s">
        <v>1631</v>
      </c>
      <c r="R1710" t="s">
        <v>4208</v>
      </c>
      <c r="T1710" t="s">
        <v>57</v>
      </c>
    </row>
    <row r="1711" ht="25.5" customHeight="1" spans="1:20">
      <c r="A1711" t="s">
        <v>1733</v>
      </c>
      <c r="B1711" t="s">
        <v>56</v>
      </c>
      <c r="C1711" t="s">
        <v>4201</v>
      </c>
      <c r="D1711" s="3"/>
      <c r="E1711" s="2">
        <v>45679</v>
      </c>
      <c r="F1711">
        <v>802400</v>
      </c>
      <c r="G1711">
        <v>64000</v>
      </c>
      <c r="H1711">
        <v>3676</v>
      </c>
      <c r="I1711">
        <v>24</v>
      </c>
      <c r="J1711">
        <v>3237</v>
      </c>
      <c r="K1711">
        <v>433</v>
      </c>
      <c r="L1711" t="s">
        <v>3258</v>
      </c>
      <c r="M1711" t="s">
        <v>3414</v>
      </c>
      <c r="N1711" t="s">
        <v>1630</v>
      </c>
      <c r="O1711" s="4">
        <v>45679.6977430556</v>
      </c>
      <c r="P1711" t="s">
        <v>57</v>
      </c>
      <c r="Q1711" t="s">
        <v>1631</v>
      </c>
      <c r="R1711" t="s">
        <v>4209</v>
      </c>
      <c r="T1711" t="s">
        <v>57</v>
      </c>
    </row>
    <row r="1712" ht="25.5" customHeight="1" spans="1:20">
      <c r="A1712" t="s">
        <v>1733</v>
      </c>
      <c r="B1712" t="s">
        <v>56</v>
      </c>
      <c r="C1712" t="s">
        <v>4201</v>
      </c>
      <c r="D1712" s="3"/>
      <c r="E1712" s="2">
        <v>45680</v>
      </c>
      <c r="F1712">
        <v>803600</v>
      </c>
      <c r="G1712">
        <v>65300</v>
      </c>
      <c r="H1712">
        <v>3753</v>
      </c>
      <c r="I1712">
        <v>24</v>
      </c>
      <c r="J1712">
        <v>3302</v>
      </c>
      <c r="K1712">
        <v>437</v>
      </c>
      <c r="L1712" t="s">
        <v>3258</v>
      </c>
      <c r="M1712" t="s">
        <v>3414</v>
      </c>
      <c r="N1712" t="s">
        <v>1630</v>
      </c>
      <c r="O1712" s="4">
        <v>45680.659375</v>
      </c>
      <c r="P1712" t="s">
        <v>57</v>
      </c>
      <c r="Q1712" t="s">
        <v>1631</v>
      </c>
      <c r="R1712" t="s">
        <v>4210</v>
      </c>
      <c r="T1712" t="s">
        <v>57</v>
      </c>
    </row>
    <row r="1713" ht="25.5" customHeight="1" spans="1:20">
      <c r="A1713" t="s">
        <v>1733</v>
      </c>
      <c r="B1713" t="s">
        <v>56</v>
      </c>
      <c r="C1713" t="s">
        <v>4201</v>
      </c>
      <c r="D1713" s="3"/>
      <c r="E1713" s="2">
        <v>45681</v>
      </c>
      <c r="F1713">
        <v>804800</v>
      </c>
      <c r="G1713">
        <v>66700</v>
      </c>
      <c r="H1713">
        <v>3823</v>
      </c>
      <c r="I1713">
        <v>23</v>
      </c>
      <c r="J1713">
        <v>3367</v>
      </c>
      <c r="K1713">
        <v>442</v>
      </c>
      <c r="L1713" t="s">
        <v>3258</v>
      </c>
      <c r="M1713" t="s">
        <v>3414</v>
      </c>
      <c r="N1713" t="s">
        <v>1630</v>
      </c>
      <c r="O1713" s="4">
        <v>45681.6437615741</v>
      </c>
      <c r="P1713" t="s">
        <v>57</v>
      </c>
      <c r="Q1713" t="s">
        <v>1631</v>
      </c>
      <c r="R1713" t="s">
        <v>4211</v>
      </c>
      <c r="T1713" t="s">
        <v>57</v>
      </c>
    </row>
    <row r="1714" ht="25.5" customHeight="1" spans="1:20">
      <c r="A1714" t="s">
        <v>1733</v>
      </c>
      <c r="B1714" t="s">
        <v>56</v>
      </c>
      <c r="C1714" t="s">
        <v>4201</v>
      </c>
      <c r="D1714" s="3"/>
      <c r="E1714" s="2">
        <v>45683</v>
      </c>
      <c r="F1714">
        <v>807700</v>
      </c>
      <c r="G1714">
        <v>68800</v>
      </c>
      <c r="H1714">
        <v>3933</v>
      </c>
      <c r="I1714">
        <v>24</v>
      </c>
      <c r="J1714">
        <v>3461</v>
      </c>
      <c r="K1714">
        <v>458</v>
      </c>
      <c r="L1714" t="s">
        <v>3258</v>
      </c>
      <c r="M1714" t="s">
        <v>3414</v>
      </c>
      <c r="N1714" t="s">
        <v>1630</v>
      </c>
      <c r="O1714" s="4">
        <v>45683.7741550926</v>
      </c>
      <c r="P1714" t="s">
        <v>57</v>
      </c>
      <c r="Q1714" t="s">
        <v>1631</v>
      </c>
      <c r="R1714" t="s">
        <v>4212</v>
      </c>
      <c r="T1714" t="s">
        <v>57</v>
      </c>
    </row>
    <row r="1715" ht="25.5" customHeight="1" spans="1:20">
      <c r="A1715" t="s">
        <v>1733</v>
      </c>
      <c r="B1715" t="s">
        <v>56</v>
      </c>
      <c r="C1715" t="s">
        <v>4201</v>
      </c>
      <c r="D1715" s="3"/>
      <c r="E1715" s="2">
        <v>45684</v>
      </c>
      <c r="F1715">
        <v>813500</v>
      </c>
      <c r="G1715">
        <v>70300</v>
      </c>
      <c r="H1715">
        <v>3996</v>
      </c>
      <c r="I1715">
        <v>24</v>
      </c>
      <c r="J1715">
        <v>3507</v>
      </c>
      <c r="K1715">
        <v>468</v>
      </c>
      <c r="L1715" t="s">
        <v>3258</v>
      </c>
      <c r="M1715" t="s">
        <v>3414</v>
      </c>
      <c r="N1715" t="s">
        <v>1630</v>
      </c>
      <c r="O1715" s="4">
        <v>45684.8618287037</v>
      </c>
      <c r="P1715" t="s">
        <v>57</v>
      </c>
      <c r="Q1715" t="s">
        <v>1631</v>
      </c>
      <c r="R1715" t="s">
        <v>4213</v>
      </c>
      <c r="T1715" t="s">
        <v>57</v>
      </c>
    </row>
    <row r="1716" ht="25.5" customHeight="1" spans="1:20">
      <c r="A1716" t="s">
        <v>1733</v>
      </c>
      <c r="B1716" t="s">
        <v>56</v>
      </c>
      <c r="C1716" t="s">
        <v>4201</v>
      </c>
      <c r="D1716" s="3"/>
      <c r="E1716" s="2">
        <v>45693</v>
      </c>
      <c r="F1716">
        <v>840000</v>
      </c>
      <c r="G1716">
        <v>82300</v>
      </c>
      <c r="H1716">
        <v>4643</v>
      </c>
      <c r="I1716">
        <v>28</v>
      </c>
      <c r="J1716">
        <v>4121</v>
      </c>
      <c r="K1716">
        <v>542</v>
      </c>
      <c r="L1716" t="s">
        <v>3258</v>
      </c>
      <c r="M1716" t="s">
        <v>3414</v>
      </c>
      <c r="N1716" t="s">
        <v>1630</v>
      </c>
      <c r="O1716" s="4">
        <v>45693.8270717593</v>
      </c>
      <c r="P1716" t="s">
        <v>57</v>
      </c>
      <c r="Q1716" t="s">
        <v>1631</v>
      </c>
      <c r="R1716" t="s">
        <v>4214</v>
      </c>
      <c r="T1716" t="s">
        <v>57</v>
      </c>
    </row>
    <row r="1717" ht="25.5" customHeight="1" spans="1:20">
      <c r="A1717" t="s">
        <v>1733</v>
      </c>
      <c r="B1717" t="s">
        <v>56</v>
      </c>
      <c r="C1717" t="s">
        <v>4201</v>
      </c>
      <c r="D1717" s="3"/>
      <c r="E1717" s="2">
        <v>45694</v>
      </c>
      <c r="F1717">
        <v>842500</v>
      </c>
      <c r="G1717">
        <v>83300</v>
      </c>
      <c r="H1717">
        <v>4705</v>
      </c>
      <c r="I1717">
        <v>29</v>
      </c>
      <c r="J1717">
        <v>4169</v>
      </c>
      <c r="K1717">
        <v>552</v>
      </c>
      <c r="L1717" t="s">
        <v>3258</v>
      </c>
      <c r="M1717" t="s">
        <v>3414</v>
      </c>
      <c r="N1717" t="s">
        <v>1630</v>
      </c>
      <c r="O1717" s="4">
        <v>45698.6216782407</v>
      </c>
      <c r="P1717" t="s">
        <v>57</v>
      </c>
      <c r="Q1717" t="s">
        <v>1631</v>
      </c>
      <c r="R1717" t="s">
        <v>4215</v>
      </c>
      <c r="S1717" t="s">
        <v>3169</v>
      </c>
      <c r="T1717" t="s">
        <v>57</v>
      </c>
    </row>
    <row r="1718" ht="25.5" customHeight="1" spans="1:20">
      <c r="A1718" t="s">
        <v>644</v>
      </c>
      <c r="B1718" t="s">
        <v>56</v>
      </c>
      <c r="C1718" t="s">
        <v>4216</v>
      </c>
      <c r="D1718" s="3"/>
      <c r="E1718" s="2">
        <v>45681</v>
      </c>
      <c r="F1718">
        <v>76200</v>
      </c>
      <c r="G1718">
        <v>2624</v>
      </c>
      <c r="H1718">
        <v>187</v>
      </c>
      <c r="I1718">
        <v>5</v>
      </c>
      <c r="J1718">
        <v>37</v>
      </c>
      <c r="K1718">
        <v>7</v>
      </c>
      <c r="L1718" t="s">
        <v>3317</v>
      </c>
      <c r="M1718" t="s">
        <v>3378</v>
      </c>
      <c r="N1718" t="s">
        <v>1630</v>
      </c>
      <c r="O1718" s="4">
        <v>45681.6467013889</v>
      </c>
      <c r="P1718" t="s">
        <v>57</v>
      </c>
      <c r="Q1718" t="s">
        <v>1887</v>
      </c>
      <c r="R1718" t="s">
        <v>3404</v>
      </c>
      <c r="T1718" t="s">
        <v>57</v>
      </c>
    </row>
    <row r="1719" ht="25.5" customHeight="1" spans="1:20">
      <c r="A1719" t="s">
        <v>644</v>
      </c>
      <c r="B1719" t="s">
        <v>56</v>
      </c>
      <c r="C1719" t="s">
        <v>4216</v>
      </c>
      <c r="D1719" s="3"/>
      <c r="E1719" s="2">
        <v>45683</v>
      </c>
      <c r="F1719">
        <v>76100</v>
      </c>
      <c r="G1719">
        <v>5399</v>
      </c>
      <c r="H1719">
        <v>368</v>
      </c>
      <c r="I1719">
        <v>11</v>
      </c>
      <c r="J1719">
        <v>88</v>
      </c>
      <c r="K1719">
        <v>8</v>
      </c>
      <c r="L1719" t="s">
        <v>3248</v>
      </c>
      <c r="M1719" t="s">
        <v>3378</v>
      </c>
      <c r="N1719" t="s">
        <v>1630</v>
      </c>
      <c r="O1719" s="4">
        <v>45683.7751388889</v>
      </c>
      <c r="P1719" t="s">
        <v>57</v>
      </c>
      <c r="Q1719" t="s">
        <v>1887</v>
      </c>
      <c r="R1719" t="s">
        <v>4217</v>
      </c>
      <c r="T1719" t="s">
        <v>57</v>
      </c>
    </row>
    <row r="1720" ht="25.5" customHeight="1" spans="1:20">
      <c r="A1720" t="s">
        <v>644</v>
      </c>
      <c r="B1720" t="s">
        <v>56</v>
      </c>
      <c r="C1720" t="s">
        <v>4216</v>
      </c>
      <c r="D1720" s="3"/>
      <c r="E1720" s="2">
        <v>45684</v>
      </c>
      <c r="F1720">
        <v>76100</v>
      </c>
      <c r="G1720">
        <v>5885</v>
      </c>
      <c r="H1720">
        <v>383</v>
      </c>
      <c r="I1720">
        <v>11</v>
      </c>
      <c r="J1720">
        <v>91</v>
      </c>
      <c r="K1720">
        <v>8</v>
      </c>
      <c r="L1720" t="s">
        <v>3248</v>
      </c>
      <c r="M1720" t="s">
        <v>3378</v>
      </c>
      <c r="N1720" t="s">
        <v>1630</v>
      </c>
      <c r="O1720" s="4">
        <v>45684.8644444444</v>
      </c>
      <c r="P1720" t="s">
        <v>57</v>
      </c>
      <c r="Q1720" t="s">
        <v>1887</v>
      </c>
      <c r="R1720" t="s">
        <v>4218</v>
      </c>
      <c r="T1720" t="s">
        <v>57</v>
      </c>
    </row>
    <row r="1721" ht="25.5" customHeight="1" spans="1:20">
      <c r="A1721" t="s">
        <v>644</v>
      </c>
      <c r="B1721" t="s">
        <v>56</v>
      </c>
      <c r="C1721" t="s">
        <v>4216</v>
      </c>
      <c r="D1721" s="3"/>
      <c r="E1721" s="2">
        <v>45693</v>
      </c>
      <c r="F1721">
        <v>76300</v>
      </c>
      <c r="G1721">
        <v>10000</v>
      </c>
      <c r="H1721">
        <v>490</v>
      </c>
      <c r="I1721">
        <v>14</v>
      </c>
      <c r="J1721">
        <v>128</v>
      </c>
      <c r="K1721">
        <v>16</v>
      </c>
      <c r="L1721" t="s">
        <v>3195</v>
      </c>
      <c r="M1721" t="s">
        <v>3378</v>
      </c>
      <c r="N1721" t="s">
        <v>1630</v>
      </c>
      <c r="O1721" s="4">
        <v>45693.8272916667</v>
      </c>
      <c r="P1721" t="s">
        <v>57</v>
      </c>
      <c r="Q1721" t="s">
        <v>1887</v>
      </c>
      <c r="R1721" t="s">
        <v>4219</v>
      </c>
      <c r="T1721" t="s">
        <v>57</v>
      </c>
    </row>
    <row r="1722" ht="25.5" customHeight="1" spans="1:20">
      <c r="A1722" t="s">
        <v>644</v>
      </c>
      <c r="B1722" t="s">
        <v>56</v>
      </c>
      <c r="C1722" t="s">
        <v>4216</v>
      </c>
      <c r="D1722" s="3"/>
      <c r="E1722" s="2">
        <v>45694</v>
      </c>
      <c r="F1722">
        <v>76300</v>
      </c>
      <c r="G1722">
        <v>10200</v>
      </c>
      <c r="H1722">
        <v>496</v>
      </c>
      <c r="I1722">
        <v>15</v>
      </c>
      <c r="J1722">
        <v>128</v>
      </c>
      <c r="K1722">
        <v>16</v>
      </c>
      <c r="L1722" t="s">
        <v>3195</v>
      </c>
      <c r="M1722" t="s">
        <v>3378</v>
      </c>
      <c r="N1722" t="s">
        <v>1630</v>
      </c>
      <c r="O1722" s="4">
        <v>45698.6216782407</v>
      </c>
      <c r="P1722" t="s">
        <v>57</v>
      </c>
      <c r="Q1722" t="s">
        <v>1887</v>
      </c>
      <c r="R1722" t="s">
        <v>4220</v>
      </c>
      <c r="S1722" t="s">
        <v>3245</v>
      </c>
      <c r="T1722" t="s">
        <v>57</v>
      </c>
    </row>
    <row r="1723" ht="25.5" customHeight="1" spans="1:20">
      <c r="A1723" t="s">
        <v>644</v>
      </c>
      <c r="B1723" t="s">
        <v>56</v>
      </c>
      <c r="C1723" t="s">
        <v>4216</v>
      </c>
      <c r="D1723" s="3"/>
      <c r="E1723" s="2">
        <v>45695</v>
      </c>
      <c r="F1723">
        <v>76300</v>
      </c>
      <c r="G1723">
        <v>10400</v>
      </c>
      <c r="H1723">
        <v>504</v>
      </c>
      <c r="I1723">
        <v>15</v>
      </c>
      <c r="J1723">
        <v>129</v>
      </c>
      <c r="K1723">
        <v>16</v>
      </c>
      <c r="L1723" t="s">
        <v>3195</v>
      </c>
      <c r="M1723" t="s">
        <v>3378</v>
      </c>
      <c r="N1723" t="s">
        <v>1630</v>
      </c>
      <c r="O1723" s="4">
        <v>45695.7222337963</v>
      </c>
      <c r="P1723" t="s">
        <v>57</v>
      </c>
      <c r="Q1723" t="s">
        <v>1887</v>
      </c>
      <c r="R1723" t="s">
        <v>3722</v>
      </c>
      <c r="T1723" t="s">
        <v>57</v>
      </c>
    </row>
    <row r="1724" ht="25.5" customHeight="1" spans="1:20">
      <c r="A1724" t="s">
        <v>644</v>
      </c>
      <c r="B1724" t="s">
        <v>56</v>
      </c>
      <c r="C1724" t="s">
        <v>4216</v>
      </c>
      <c r="D1724" s="3"/>
      <c r="E1724" s="2">
        <v>45696</v>
      </c>
      <c r="F1724">
        <v>76300</v>
      </c>
      <c r="G1724">
        <v>10500</v>
      </c>
      <c r="H1724">
        <v>506</v>
      </c>
      <c r="I1724">
        <v>15</v>
      </c>
      <c r="J1724">
        <v>130</v>
      </c>
      <c r="K1724">
        <v>16</v>
      </c>
      <c r="L1724" t="s">
        <v>3195</v>
      </c>
      <c r="M1724" t="s">
        <v>3378</v>
      </c>
      <c r="N1724" t="s">
        <v>1630</v>
      </c>
      <c r="O1724" s="4">
        <v>45696.4366782407</v>
      </c>
      <c r="P1724" t="s">
        <v>57</v>
      </c>
      <c r="Q1724" t="s">
        <v>1887</v>
      </c>
      <c r="R1724" t="s">
        <v>4221</v>
      </c>
      <c r="T1724" t="s">
        <v>57</v>
      </c>
    </row>
    <row r="1725" ht="25.5" customHeight="1" spans="1:20">
      <c r="A1725" t="s">
        <v>2357</v>
      </c>
      <c r="B1725" t="s">
        <v>65</v>
      </c>
      <c r="C1725" t="s">
        <v>4222</v>
      </c>
      <c r="D1725" s="3" t="str">
        <f>HYPERLINK("https://www.instagram.com/brandycreativa/reels/","https://www.instagram.com/brandycreativa/reels/")</f>
        <v>https://www.instagram.com/brandycreativa/reels/</v>
      </c>
      <c r="E1725" s="2">
        <v>45674</v>
      </c>
      <c r="F1725">
        <v>54800</v>
      </c>
      <c r="G1725">
        <v>8332</v>
      </c>
      <c r="H1725">
        <v>384</v>
      </c>
      <c r="I1725">
        <v>28</v>
      </c>
      <c r="L1725" t="s">
        <v>3331</v>
      </c>
      <c r="M1725" t="s">
        <v>3228</v>
      </c>
      <c r="N1725" t="s">
        <v>1630</v>
      </c>
      <c r="O1725" s="4">
        <v>45674.6383101852</v>
      </c>
      <c r="P1725" t="s">
        <v>116</v>
      </c>
      <c r="Q1725" t="s">
        <v>1652</v>
      </c>
      <c r="R1725" t="s">
        <v>4223</v>
      </c>
      <c r="T1725" t="s">
        <v>116</v>
      </c>
    </row>
    <row r="1726" ht="25.5" customHeight="1" spans="1:20">
      <c r="A1726" t="s">
        <v>2357</v>
      </c>
      <c r="B1726" t="s">
        <v>65</v>
      </c>
      <c r="C1726" t="s">
        <v>4222</v>
      </c>
      <c r="D1726" s="3"/>
      <c r="E1726" s="2">
        <v>45677</v>
      </c>
      <c r="F1726">
        <v>54800</v>
      </c>
      <c r="G1726">
        <v>15100</v>
      </c>
      <c r="H1726">
        <v>711</v>
      </c>
      <c r="I1726">
        <v>39</v>
      </c>
      <c r="L1726" t="s">
        <v>3331</v>
      </c>
      <c r="M1726" t="s">
        <v>3228</v>
      </c>
      <c r="N1726" t="s">
        <v>1630</v>
      </c>
      <c r="O1726" s="4">
        <v>45677.4076967593</v>
      </c>
      <c r="P1726" t="s">
        <v>116</v>
      </c>
      <c r="Q1726" t="s">
        <v>1652</v>
      </c>
      <c r="R1726" t="s">
        <v>4224</v>
      </c>
      <c r="T1726" t="s">
        <v>116</v>
      </c>
    </row>
    <row r="1727" ht="25.5" customHeight="1" spans="1:20">
      <c r="A1727" t="s">
        <v>2357</v>
      </c>
      <c r="B1727" t="s">
        <v>65</v>
      </c>
      <c r="C1727" t="s">
        <v>4222</v>
      </c>
      <c r="D1727" s="3"/>
      <c r="E1727" s="2">
        <v>45678</v>
      </c>
      <c r="F1727">
        <v>54800</v>
      </c>
      <c r="G1727">
        <v>16100</v>
      </c>
      <c r="H1727">
        <v>750</v>
      </c>
      <c r="I1727">
        <v>41</v>
      </c>
      <c r="L1727" t="s">
        <v>3331</v>
      </c>
      <c r="M1727" t="s">
        <v>3228</v>
      </c>
      <c r="N1727" t="s">
        <v>1630</v>
      </c>
      <c r="O1727" s="4">
        <v>45678.507349537</v>
      </c>
      <c r="P1727" t="s">
        <v>116</v>
      </c>
      <c r="Q1727" t="s">
        <v>1652</v>
      </c>
      <c r="R1727" t="s">
        <v>4225</v>
      </c>
      <c r="T1727" t="s">
        <v>116</v>
      </c>
    </row>
    <row r="1728" ht="25.5" customHeight="1" spans="1:20">
      <c r="A1728" t="s">
        <v>2357</v>
      </c>
      <c r="B1728" t="s">
        <v>65</v>
      </c>
      <c r="C1728" t="s">
        <v>4222</v>
      </c>
      <c r="D1728" s="3"/>
      <c r="E1728" s="2">
        <v>45679</v>
      </c>
      <c r="F1728">
        <v>54800</v>
      </c>
      <c r="G1728">
        <v>17100</v>
      </c>
      <c r="H1728">
        <v>779</v>
      </c>
      <c r="I1728">
        <v>41</v>
      </c>
      <c r="L1728" t="s">
        <v>3331</v>
      </c>
      <c r="M1728" t="s">
        <v>3228</v>
      </c>
      <c r="N1728" t="s">
        <v>1630</v>
      </c>
      <c r="O1728" s="4">
        <v>45679.6659490741</v>
      </c>
      <c r="P1728" t="s">
        <v>116</v>
      </c>
      <c r="Q1728" t="s">
        <v>1652</v>
      </c>
      <c r="R1728" t="s">
        <v>4226</v>
      </c>
      <c r="T1728" t="s">
        <v>116</v>
      </c>
    </row>
    <row r="1729" ht="25.5" customHeight="1" spans="1:20">
      <c r="A1729" t="s">
        <v>2357</v>
      </c>
      <c r="B1729" t="s">
        <v>65</v>
      </c>
      <c r="C1729" t="s">
        <v>4222</v>
      </c>
      <c r="D1729" s="3"/>
      <c r="E1729" s="2">
        <v>45680</v>
      </c>
      <c r="F1729">
        <v>54900</v>
      </c>
      <c r="G1729">
        <v>17700</v>
      </c>
      <c r="H1729">
        <v>795</v>
      </c>
      <c r="I1729">
        <v>41</v>
      </c>
      <c r="L1729" t="s">
        <v>3281</v>
      </c>
      <c r="M1729" t="s">
        <v>3228</v>
      </c>
      <c r="N1729" t="s">
        <v>1630</v>
      </c>
      <c r="O1729" s="4">
        <v>45680.5146296296</v>
      </c>
      <c r="P1729" t="s">
        <v>116</v>
      </c>
      <c r="Q1729" t="s">
        <v>1652</v>
      </c>
      <c r="R1729" t="s">
        <v>4227</v>
      </c>
      <c r="T1729" t="s">
        <v>116</v>
      </c>
    </row>
    <row r="1730" ht="25.5" customHeight="1" spans="1:20">
      <c r="A1730" t="s">
        <v>2357</v>
      </c>
      <c r="B1730" t="s">
        <v>65</v>
      </c>
      <c r="C1730" t="s">
        <v>4222</v>
      </c>
      <c r="D1730" s="3"/>
      <c r="E1730" s="2">
        <v>45681</v>
      </c>
      <c r="F1730">
        <v>54800</v>
      </c>
      <c r="G1730">
        <v>18200</v>
      </c>
      <c r="H1730">
        <v>822</v>
      </c>
      <c r="I1730">
        <v>41</v>
      </c>
      <c r="L1730" t="s">
        <v>3281</v>
      </c>
      <c r="M1730" t="s">
        <v>3228</v>
      </c>
      <c r="N1730" t="s">
        <v>1630</v>
      </c>
      <c r="O1730" s="4">
        <v>45681.5012152778</v>
      </c>
      <c r="P1730" t="s">
        <v>116</v>
      </c>
      <c r="Q1730" t="s">
        <v>1652</v>
      </c>
      <c r="R1730" t="s">
        <v>4228</v>
      </c>
      <c r="T1730" t="s">
        <v>116</v>
      </c>
    </row>
    <row r="1731" ht="25.5" customHeight="1" spans="1:20">
      <c r="A1731" t="s">
        <v>2357</v>
      </c>
      <c r="B1731" t="s">
        <v>65</v>
      </c>
      <c r="C1731" t="s">
        <v>4222</v>
      </c>
      <c r="D1731" s="3"/>
      <c r="E1731" s="2">
        <v>45683</v>
      </c>
      <c r="F1731">
        <v>54800</v>
      </c>
      <c r="G1731">
        <v>18900</v>
      </c>
      <c r="H1731">
        <v>852</v>
      </c>
      <c r="I1731">
        <v>41</v>
      </c>
      <c r="L1731" t="s">
        <v>3281</v>
      </c>
      <c r="M1731" t="s">
        <v>3228</v>
      </c>
      <c r="N1731" t="s">
        <v>1630</v>
      </c>
      <c r="O1731" s="4">
        <v>45683.725625</v>
      </c>
      <c r="P1731" t="s">
        <v>116</v>
      </c>
      <c r="Q1731" t="s">
        <v>1652</v>
      </c>
      <c r="R1731" t="s">
        <v>4229</v>
      </c>
      <c r="T1731" t="s">
        <v>116</v>
      </c>
    </row>
    <row r="1732" ht="25.5" customHeight="1" spans="1:20">
      <c r="A1732" t="s">
        <v>2357</v>
      </c>
      <c r="B1732" t="s">
        <v>65</v>
      </c>
      <c r="C1732" t="s">
        <v>4222</v>
      </c>
      <c r="D1732" s="3"/>
      <c r="E1732" s="2">
        <v>45684</v>
      </c>
      <c r="F1732">
        <v>54800</v>
      </c>
      <c r="G1732">
        <v>19300</v>
      </c>
      <c r="H1732">
        <v>860</v>
      </c>
      <c r="I1732">
        <v>41</v>
      </c>
      <c r="L1732" t="s">
        <v>3281</v>
      </c>
      <c r="M1732" t="s">
        <v>3228</v>
      </c>
      <c r="N1732" t="s">
        <v>1630</v>
      </c>
      <c r="O1732" s="4">
        <v>45684.7808680556</v>
      </c>
      <c r="P1732" t="s">
        <v>116</v>
      </c>
      <c r="Q1732" t="s">
        <v>1652</v>
      </c>
      <c r="R1732" t="s">
        <v>4230</v>
      </c>
      <c r="T1732" t="s">
        <v>116</v>
      </c>
    </row>
    <row r="1733" ht="25.5" customHeight="1" spans="1:20">
      <c r="A1733" t="s">
        <v>2357</v>
      </c>
      <c r="B1733" t="s">
        <v>65</v>
      </c>
      <c r="C1733" t="s">
        <v>4222</v>
      </c>
      <c r="D1733" s="3"/>
      <c r="E1733" s="2">
        <v>45693</v>
      </c>
      <c r="F1733">
        <v>54800</v>
      </c>
      <c r="G1733">
        <v>20000</v>
      </c>
      <c r="H1733">
        <v>926</v>
      </c>
      <c r="I1733">
        <v>43</v>
      </c>
      <c r="L1733" t="s">
        <v>3281</v>
      </c>
      <c r="M1733" t="s">
        <v>3228</v>
      </c>
      <c r="N1733" t="s">
        <v>1630</v>
      </c>
      <c r="O1733" s="4">
        <v>45693.7801157407</v>
      </c>
      <c r="P1733" t="s">
        <v>116</v>
      </c>
      <c r="Q1733" t="s">
        <v>1652</v>
      </c>
      <c r="R1733" t="s">
        <v>4231</v>
      </c>
      <c r="T1733" t="s">
        <v>116</v>
      </c>
    </row>
    <row r="1734" ht="25.5" customHeight="1" spans="1:20">
      <c r="A1734" t="s">
        <v>2357</v>
      </c>
      <c r="B1734" t="s">
        <v>65</v>
      </c>
      <c r="C1734" t="s">
        <v>4222</v>
      </c>
      <c r="D1734" s="3"/>
      <c r="E1734" s="2">
        <v>45694</v>
      </c>
      <c r="F1734">
        <v>54700</v>
      </c>
      <c r="G1734">
        <v>20900</v>
      </c>
      <c r="H1734">
        <v>933</v>
      </c>
      <c r="I1734">
        <v>43</v>
      </c>
      <c r="L1734" t="s">
        <v>3281</v>
      </c>
      <c r="M1734" t="s">
        <v>3228</v>
      </c>
      <c r="N1734" t="s">
        <v>1630</v>
      </c>
      <c r="O1734" s="4">
        <v>45698.6216782407</v>
      </c>
      <c r="P1734" t="s">
        <v>116</v>
      </c>
      <c r="Q1734" t="s">
        <v>1652</v>
      </c>
      <c r="R1734" t="s">
        <v>4232</v>
      </c>
      <c r="S1734" t="s">
        <v>3180</v>
      </c>
      <c r="T1734" t="s">
        <v>116</v>
      </c>
    </row>
    <row r="1735" ht="25.5" customHeight="1" spans="1:20">
      <c r="A1735" t="s">
        <v>2357</v>
      </c>
      <c r="B1735" t="s">
        <v>65</v>
      </c>
      <c r="C1735" t="s">
        <v>4222</v>
      </c>
      <c r="D1735" s="3"/>
      <c r="E1735" s="2">
        <v>45695</v>
      </c>
      <c r="F1735">
        <v>54700</v>
      </c>
      <c r="G1735">
        <v>21000</v>
      </c>
      <c r="H1735">
        <v>935</v>
      </c>
      <c r="I1735">
        <v>43</v>
      </c>
      <c r="L1735" t="s">
        <v>3281</v>
      </c>
      <c r="M1735" t="s">
        <v>3228</v>
      </c>
      <c r="N1735" t="s">
        <v>1630</v>
      </c>
      <c r="O1735" s="4">
        <v>45695.4907638889</v>
      </c>
      <c r="P1735" t="s">
        <v>116</v>
      </c>
      <c r="Q1735" t="s">
        <v>1652</v>
      </c>
      <c r="R1735" t="s">
        <v>4233</v>
      </c>
      <c r="T1735" t="s">
        <v>116</v>
      </c>
    </row>
    <row r="1736" ht="25.5" customHeight="1" spans="1:20">
      <c r="A1736" t="s">
        <v>2357</v>
      </c>
      <c r="B1736" t="s">
        <v>65</v>
      </c>
      <c r="C1736" t="s">
        <v>4222</v>
      </c>
      <c r="D1736" s="3"/>
      <c r="E1736" s="2">
        <v>45696</v>
      </c>
      <c r="F1736">
        <v>54700</v>
      </c>
      <c r="G1736">
        <v>21000</v>
      </c>
      <c r="H1736">
        <v>937</v>
      </c>
      <c r="I1736">
        <v>43</v>
      </c>
      <c r="L1736" t="s">
        <v>3281</v>
      </c>
      <c r="M1736" t="s">
        <v>3228</v>
      </c>
      <c r="N1736" t="s">
        <v>1630</v>
      </c>
      <c r="O1736" s="4">
        <v>45696.4507407407</v>
      </c>
      <c r="P1736" t="s">
        <v>116</v>
      </c>
      <c r="Q1736" t="s">
        <v>1652</v>
      </c>
      <c r="R1736" t="s">
        <v>4234</v>
      </c>
      <c r="T1736" t="s">
        <v>116</v>
      </c>
    </row>
    <row r="1737" ht="25.5" customHeight="1" spans="1:20">
      <c r="A1737" t="s">
        <v>2686</v>
      </c>
      <c r="B1737" t="s">
        <v>56</v>
      </c>
      <c r="D1737" s="3"/>
      <c r="E1737" s="2"/>
      <c r="M1737" t="s">
        <v>3249</v>
      </c>
      <c r="N1737" t="s">
        <v>1645</v>
      </c>
      <c r="O1737" s="4">
        <v>45670.743587963</v>
      </c>
      <c r="P1737" t="s">
        <v>57</v>
      </c>
      <c r="Q1737" t="s">
        <v>1703</v>
      </c>
      <c r="R1737" t="s">
        <v>3133</v>
      </c>
      <c r="T1737" t="s">
        <v>57</v>
      </c>
    </row>
    <row r="1738" ht="25.5" customHeight="1" spans="1:20">
      <c r="A1738" t="s">
        <v>1377</v>
      </c>
      <c r="B1738" t="s">
        <v>56</v>
      </c>
      <c r="C1738" t="s">
        <v>4235</v>
      </c>
      <c r="D1738" s="3"/>
      <c r="E1738" s="2">
        <v>45671</v>
      </c>
      <c r="F1738">
        <v>374800</v>
      </c>
      <c r="G1738">
        <v>16000</v>
      </c>
      <c r="H1738">
        <v>1752</v>
      </c>
      <c r="I1738">
        <v>19</v>
      </c>
      <c r="J1738">
        <v>841</v>
      </c>
      <c r="K1738">
        <v>71</v>
      </c>
      <c r="L1738" t="s">
        <v>3612</v>
      </c>
      <c r="M1738" t="s">
        <v>4005</v>
      </c>
      <c r="N1738" t="s">
        <v>1630</v>
      </c>
      <c r="O1738" s="4">
        <v>45672.7182291667</v>
      </c>
      <c r="P1738" t="s">
        <v>57</v>
      </c>
      <c r="Q1738" t="s">
        <v>1789</v>
      </c>
      <c r="R1738" t="s">
        <v>4236</v>
      </c>
      <c r="T1738" t="s">
        <v>57</v>
      </c>
    </row>
    <row r="1739" ht="25.5" customHeight="1" spans="1:20">
      <c r="A1739" t="s">
        <v>1377</v>
      </c>
      <c r="B1739" t="s">
        <v>56</v>
      </c>
      <c r="C1739" t="s">
        <v>4235</v>
      </c>
      <c r="D1739" s="3"/>
      <c r="E1739" s="2">
        <v>45673</v>
      </c>
      <c r="F1739">
        <v>374900</v>
      </c>
      <c r="G1739">
        <v>49100</v>
      </c>
      <c r="H1739">
        <v>1904</v>
      </c>
      <c r="I1739">
        <v>22</v>
      </c>
      <c r="J1739">
        <v>944</v>
      </c>
      <c r="K1739">
        <v>82</v>
      </c>
      <c r="L1739" t="s">
        <v>3208</v>
      </c>
      <c r="M1739" t="s">
        <v>4005</v>
      </c>
      <c r="N1739" t="s">
        <v>1630</v>
      </c>
      <c r="O1739" s="4">
        <v>45673.6188657407</v>
      </c>
      <c r="P1739" t="s">
        <v>57</v>
      </c>
      <c r="Q1739" t="s">
        <v>1789</v>
      </c>
      <c r="R1739" t="s">
        <v>4237</v>
      </c>
      <c r="T1739" t="s">
        <v>57</v>
      </c>
    </row>
    <row r="1740" ht="25.5" customHeight="1" spans="1:20">
      <c r="A1740" t="s">
        <v>1377</v>
      </c>
      <c r="B1740" t="s">
        <v>56</v>
      </c>
      <c r="C1740" t="s">
        <v>4235</v>
      </c>
      <c r="D1740" s="3"/>
      <c r="E1740" s="2">
        <v>45674</v>
      </c>
      <c r="F1740">
        <v>374900</v>
      </c>
      <c r="G1740">
        <v>63600</v>
      </c>
      <c r="H1740">
        <v>1919</v>
      </c>
      <c r="I1740">
        <v>27</v>
      </c>
      <c r="J1740">
        <v>955</v>
      </c>
      <c r="K1740">
        <v>84</v>
      </c>
      <c r="L1740" t="s">
        <v>3284</v>
      </c>
      <c r="M1740" t="s">
        <v>4005</v>
      </c>
      <c r="N1740" t="s">
        <v>1630</v>
      </c>
      <c r="O1740" s="4">
        <v>45674.6771643519</v>
      </c>
      <c r="P1740" t="s">
        <v>57</v>
      </c>
      <c r="Q1740" t="s">
        <v>1789</v>
      </c>
      <c r="R1740" t="s">
        <v>4238</v>
      </c>
      <c r="T1740" t="s">
        <v>57</v>
      </c>
    </row>
    <row r="1741" ht="25.5" customHeight="1" spans="1:20">
      <c r="A1741" t="s">
        <v>1377</v>
      </c>
      <c r="B1741" t="s">
        <v>56</v>
      </c>
      <c r="C1741" t="s">
        <v>4235</v>
      </c>
      <c r="D1741" s="3"/>
      <c r="E1741" s="2">
        <v>45677</v>
      </c>
      <c r="F1741">
        <v>374900</v>
      </c>
      <c r="G1741">
        <v>64600</v>
      </c>
      <c r="H1741">
        <v>1958</v>
      </c>
      <c r="I1741">
        <v>27</v>
      </c>
      <c r="J1741">
        <v>967</v>
      </c>
      <c r="K1741">
        <v>84</v>
      </c>
      <c r="L1741" t="s">
        <v>3284</v>
      </c>
      <c r="M1741" t="s">
        <v>4005</v>
      </c>
      <c r="N1741" t="s">
        <v>1630</v>
      </c>
      <c r="O1741" s="4">
        <v>45677.4363541667</v>
      </c>
      <c r="P1741" t="s">
        <v>57</v>
      </c>
      <c r="Q1741" t="s">
        <v>1789</v>
      </c>
      <c r="R1741" t="s">
        <v>4239</v>
      </c>
      <c r="T1741" t="s">
        <v>57</v>
      </c>
    </row>
    <row r="1742" ht="25.5" customHeight="1" spans="1:20">
      <c r="A1742" t="s">
        <v>1377</v>
      </c>
      <c r="B1742" t="s">
        <v>56</v>
      </c>
      <c r="C1742" t="s">
        <v>4235</v>
      </c>
      <c r="D1742" s="3"/>
      <c r="E1742" s="2">
        <v>45678</v>
      </c>
      <c r="F1742">
        <v>375000</v>
      </c>
      <c r="G1742">
        <v>65000</v>
      </c>
      <c r="H1742">
        <v>1978</v>
      </c>
      <c r="I1742">
        <v>28</v>
      </c>
      <c r="J1742">
        <v>977</v>
      </c>
      <c r="K1742">
        <v>84</v>
      </c>
      <c r="L1742" t="s">
        <v>3284</v>
      </c>
      <c r="M1742" t="s">
        <v>4005</v>
      </c>
      <c r="N1742" t="s">
        <v>1630</v>
      </c>
      <c r="O1742" s="4">
        <v>45678.6517476852</v>
      </c>
      <c r="P1742" t="s">
        <v>57</v>
      </c>
      <c r="Q1742" t="s">
        <v>1789</v>
      </c>
      <c r="R1742" t="s">
        <v>4240</v>
      </c>
      <c r="T1742" t="s">
        <v>57</v>
      </c>
    </row>
    <row r="1743" ht="25.5" customHeight="1" spans="1:20">
      <c r="A1743" t="s">
        <v>1377</v>
      </c>
      <c r="B1743" t="s">
        <v>56</v>
      </c>
      <c r="C1743" t="s">
        <v>4235</v>
      </c>
      <c r="D1743" s="3"/>
      <c r="E1743" s="2">
        <v>45679</v>
      </c>
      <c r="F1743">
        <v>375000</v>
      </c>
      <c r="G1743">
        <v>65300</v>
      </c>
      <c r="H1743">
        <v>1995</v>
      </c>
      <c r="I1743">
        <v>28</v>
      </c>
      <c r="J1743">
        <v>986</v>
      </c>
      <c r="K1743">
        <v>86</v>
      </c>
      <c r="L1743" t="s">
        <v>3284</v>
      </c>
      <c r="M1743" t="s">
        <v>4005</v>
      </c>
      <c r="N1743" t="s">
        <v>1630</v>
      </c>
      <c r="O1743" s="4">
        <v>45679.6979513889</v>
      </c>
      <c r="P1743" t="s">
        <v>57</v>
      </c>
      <c r="Q1743" t="s">
        <v>1789</v>
      </c>
      <c r="R1743" t="s">
        <v>4241</v>
      </c>
      <c r="T1743" t="s">
        <v>57</v>
      </c>
    </row>
    <row r="1744" ht="25.5" customHeight="1" spans="1:20">
      <c r="A1744" t="s">
        <v>1377</v>
      </c>
      <c r="B1744" t="s">
        <v>56</v>
      </c>
      <c r="C1744" t="s">
        <v>4235</v>
      </c>
      <c r="D1744" s="3"/>
      <c r="E1744" s="2">
        <v>45680</v>
      </c>
      <c r="F1744">
        <v>375000</v>
      </c>
      <c r="G1744">
        <v>65600</v>
      </c>
      <c r="H1744">
        <v>2011</v>
      </c>
      <c r="I1744">
        <v>28</v>
      </c>
      <c r="J1744">
        <v>992</v>
      </c>
      <c r="K1744">
        <v>87</v>
      </c>
      <c r="L1744" t="s">
        <v>3284</v>
      </c>
      <c r="M1744" t="s">
        <v>4005</v>
      </c>
      <c r="N1744" t="s">
        <v>1630</v>
      </c>
      <c r="O1744" s="4">
        <v>45680.6596064815</v>
      </c>
      <c r="P1744" t="s">
        <v>57</v>
      </c>
      <c r="Q1744" t="s">
        <v>1789</v>
      </c>
      <c r="R1744" t="s">
        <v>4242</v>
      </c>
      <c r="T1744" t="s">
        <v>57</v>
      </c>
    </row>
    <row r="1745" ht="25.5" customHeight="1" spans="1:20">
      <c r="A1745" t="s">
        <v>1377</v>
      </c>
      <c r="B1745" t="s">
        <v>56</v>
      </c>
      <c r="C1745" t="s">
        <v>4235</v>
      </c>
      <c r="D1745" s="3"/>
      <c r="E1745" s="2">
        <v>45681</v>
      </c>
      <c r="F1745">
        <v>375100</v>
      </c>
      <c r="G1745">
        <v>65900</v>
      </c>
      <c r="H1745">
        <v>2029</v>
      </c>
      <c r="I1745">
        <v>28</v>
      </c>
      <c r="J1745">
        <v>999</v>
      </c>
      <c r="K1745">
        <v>87</v>
      </c>
      <c r="L1745" t="s">
        <v>3284</v>
      </c>
      <c r="M1745" t="s">
        <v>4005</v>
      </c>
      <c r="N1745" t="s">
        <v>1630</v>
      </c>
      <c r="O1745" s="4">
        <v>45681.6440972222</v>
      </c>
      <c r="P1745" t="s">
        <v>57</v>
      </c>
      <c r="Q1745" t="s">
        <v>1789</v>
      </c>
      <c r="R1745" t="s">
        <v>4243</v>
      </c>
      <c r="T1745" t="s">
        <v>57</v>
      </c>
    </row>
    <row r="1746" ht="25.5" customHeight="1" spans="1:20">
      <c r="A1746" t="s">
        <v>1377</v>
      </c>
      <c r="B1746" t="s">
        <v>56</v>
      </c>
      <c r="C1746" t="s">
        <v>4235</v>
      </c>
      <c r="D1746" s="3"/>
      <c r="E1746" s="2">
        <v>45683</v>
      </c>
      <c r="F1746">
        <v>375300</v>
      </c>
      <c r="G1746">
        <v>66500</v>
      </c>
      <c r="H1746">
        <v>2063</v>
      </c>
      <c r="I1746">
        <v>30</v>
      </c>
      <c r="J1746">
        <v>1016</v>
      </c>
      <c r="K1746">
        <v>88</v>
      </c>
      <c r="L1746" t="s">
        <v>3284</v>
      </c>
      <c r="M1746" t="s">
        <v>4005</v>
      </c>
      <c r="N1746" t="s">
        <v>1630</v>
      </c>
      <c r="O1746" s="4">
        <v>45683.7754282407</v>
      </c>
      <c r="P1746" t="s">
        <v>57</v>
      </c>
      <c r="Q1746" t="s">
        <v>1789</v>
      </c>
      <c r="R1746" t="s">
        <v>4244</v>
      </c>
      <c r="T1746" t="s">
        <v>57</v>
      </c>
    </row>
    <row r="1747" ht="25.5" customHeight="1" spans="1:20">
      <c r="A1747" t="s">
        <v>1377</v>
      </c>
      <c r="B1747" t="s">
        <v>56</v>
      </c>
      <c r="C1747" t="s">
        <v>4235</v>
      </c>
      <c r="D1747" s="3"/>
      <c r="E1747" s="2">
        <v>45684</v>
      </c>
      <c r="F1747">
        <v>375300</v>
      </c>
      <c r="G1747">
        <v>66800</v>
      </c>
      <c r="H1747">
        <v>2074</v>
      </c>
      <c r="I1747">
        <v>30</v>
      </c>
      <c r="J1747">
        <v>1022</v>
      </c>
      <c r="K1747">
        <v>88</v>
      </c>
      <c r="L1747" t="s">
        <v>3284</v>
      </c>
      <c r="M1747" t="s">
        <v>4005</v>
      </c>
      <c r="N1747" t="s">
        <v>1630</v>
      </c>
      <c r="O1747" s="4">
        <v>45684.8646180556</v>
      </c>
      <c r="P1747" t="s">
        <v>57</v>
      </c>
      <c r="Q1747" t="s">
        <v>1789</v>
      </c>
      <c r="R1747" t="s">
        <v>4245</v>
      </c>
      <c r="T1747" t="s">
        <v>57</v>
      </c>
    </row>
    <row r="1748" ht="25.5" customHeight="1" spans="1:20">
      <c r="A1748" t="s">
        <v>1377</v>
      </c>
      <c r="B1748" t="s">
        <v>56</v>
      </c>
      <c r="C1748" t="s">
        <v>4235</v>
      </c>
      <c r="D1748" s="3"/>
      <c r="E1748" s="2">
        <v>45693</v>
      </c>
      <c r="F1748">
        <v>375600</v>
      </c>
      <c r="G1748">
        <v>69900</v>
      </c>
      <c r="H1748">
        <v>2296</v>
      </c>
      <c r="I1748">
        <v>30</v>
      </c>
      <c r="J1748">
        <v>1134</v>
      </c>
      <c r="K1748">
        <v>93</v>
      </c>
      <c r="L1748" t="s">
        <v>3284</v>
      </c>
      <c r="M1748" t="s">
        <v>4005</v>
      </c>
      <c r="N1748" t="s">
        <v>1630</v>
      </c>
      <c r="O1748" s="4">
        <v>45693.8274884259</v>
      </c>
      <c r="P1748" t="s">
        <v>57</v>
      </c>
      <c r="Q1748" t="s">
        <v>1789</v>
      </c>
      <c r="R1748" t="s">
        <v>4246</v>
      </c>
      <c r="T1748" t="s">
        <v>57</v>
      </c>
    </row>
    <row r="1749" ht="25.5" customHeight="1" spans="1:20">
      <c r="A1749" t="s">
        <v>1377</v>
      </c>
      <c r="B1749" t="s">
        <v>56</v>
      </c>
      <c r="C1749" t="s">
        <v>4235</v>
      </c>
      <c r="D1749" s="3"/>
      <c r="E1749" s="2">
        <v>45694</v>
      </c>
      <c r="F1749">
        <v>375600</v>
      </c>
      <c r="G1749">
        <v>70200</v>
      </c>
      <c r="H1749">
        <v>2304</v>
      </c>
      <c r="I1749">
        <v>31</v>
      </c>
      <c r="J1749">
        <v>1143</v>
      </c>
      <c r="K1749">
        <v>94</v>
      </c>
      <c r="L1749" t="s">
        <v>3284</v>
      </c>
      <c r="M1749" t="s">
        <v>4005</v>
      </c>
      <c r="N1749" t="s">
        <v>1630</v>
      </c>
      <c r="O1749" s="4">
        <v>45698.6216782407</v>
      </c>
      <c r="P1749" t="s">
        <v>57</v>
      </c>
      <c r="Q1749" t="s">
        <v>1789</v>
      </c>
      <c r="R1749" t="s">
        <v>4247</v>
      </c>
      <c r="S1749" t="s">
        <v>3245</v>
      </c>
      <c r="T1749" t="s">
        <v>57</v>
      </c>
    </row>
    <row r="1750" ht="25.5" customHeight="1" spans="1:20">
      <c r="A1750" t="s">
        <v>1377</v>
      </c>
      <c r="B1750" t="s">
        <v>56</v>
      </c>
      <c r="C1750" t="s">
        <v>4235</v>
      </c>
      <c r="D1750" s="3"/>
      <c r="E1750" s="2">
        <v>45695</v>
      </c>
      <c r="F1750">
        <v>375600</v>
      </c>
      <c r="G1750">
        <v>70500</v>
      </c>
      <c r="H1750">
        <v>2325</v>
      </c>
      <c r="I1750">
        <v>31</v>
      </c>
      <c r="J1750">
        <v>1149</v>
      </c>
      <c r="K1750">
        <v>94</v>
      </c>
      <c r="L1750" t="s">
        <v>3284</v>
      </c>
      <c r="M1750" t="s">
        <v>4005</v>
      </c>
      <c r="N1750" t="s">
        <v>1630</v>
      </c>
      <c r="O1750" s="4">
        <v>45695.7227314815</v>
      </c>
      <c r="P1750" t="s">
        <v>57</v>
      </c>
      <c r="Q1750" t="s">
        <v>1789</v>
      </c>
      <c r="R1750" t="s">
        <v>4248</v>
      </c>
      <c r="T1750" t="s">
        <v>57</v>
      </c>
    </row>
    <row r="1751" ht="25.5" customHeight="1" spans="1:20">
      <c r="A1751" t="s">
        <v>2993</v>
      </c>
      <c r="B1751" t="s">
        <v>56</v>
      </c>
      <c r="C1751" t="s">
        <v>4249</v>
      </c>
      <c r="D1751" s="3" t="str">
        <f>HYPERLINK("https://www.tiktok.com/@sonnictech","https://www.tiktok.com/@sonnictech")</f>
        <v>https://www.tiktok.com/@sonnictech</v>
      </c>
      <c r="E1751" s="2">
        <v>45669</v>
      </c>
      <c r="F1751">
        <v>43300</v>
      </c>
      <c r="G1751">
        <v>3350</v>
      </c>
      <c r="H1751">
        <v>616</v>
      </c>
      <c r="I1751">
        <v>1</v>
      </c>
      <c r="J1751">
        <v>57</v>
      </c>
      <c r="K1751">
        <v>7</v>
      </c>
      <c r="L1751" t="s">
        <v>4170</v>
      </c>
      <c r="M1751" t="s">
        <v>3485</v>
      </c>
      <c r="N1751" t="s">
        <v>1630</v>
      </c>
      <c r="O1751" s="4">
        <v>45670.8515740741</v>
      </c>
      <c r="P1751" t="s">
        <v>57</v>
      </c>
      <c r="Q1751" t="s">
        <v>1753</v>
      </c>
      <c r="R1751" t="s">
        <v>4250</v>
      </c>
      <c r="T1751" t="s">
        <v>57</v>
      </c>
    </row>
    <row r="1752" ht="25.5" customHeight="1" spans="1:20">
      <c r="A1752" t="s">
        <v>2993</v>
      </c>
      <c r="B1752" t="s">
        <v>56</v>
      </c>
      <c r="C1752" t="s">
        <v>4249</v>
      </c>
      <c r="D1752" s="3"/>
      <c r="E1752" s="2">
        <v>45671</v>
      </c>
      <c r="F1752">
        <v>43400</v>
      </c>
      <c r="G1752">
        <v>3428</v>
      </c>
      <c r="H1752">
        <v>618</v>
      </c>
      <c r="I1752">
        <v>1</v>
      </c>
      <c r="J1752">
        <v>59</v>
      </c>
      <c r="K1752">
        <v>8</v>
      </c>
      <c r="L1752" t="s">
        <v>3513</v>
      </c>
      <c r="M1752" t="s">
        <v>3485</v>
      </c>
      <c r="N1752" t="s">
        <v>1630</v>
      </c>
      <c r="O1752" s="4">
        <v>45672.5030092593</v>
      </c>
      <c r="P1752" t="s">
        <v>57</v>
      </c>
      <c r="Q1752" t="s">
        <v>1753</v>
      </c>
      <c r="R1752" t="s">
        <v>4251</v>
      </c>
      <c r="T1752" t="s">
        <v>57</v>
      </c>
    </row>
    <row r="1753" ht="25.5" customHeight="1" spans="1:20">
      <c r="A1753" t="s">
        <v>2993</v>
      </c>
      <c r="B1753" t="s">
        <v>56</v>
      </c>
      <c r="C1753" t="s">
        <v>4249</v>
      </c>
      <c r="D1753" s="3"/>
      <c r="E1753" s="2">
        <v>45672</v>
      </c>
      <c r="F1753">
        <v>43800</v>
      </c>
      <c r="G1753">
        <v>3545</v>
      </c>
      <c r="H1753">
        <v>623</v>
      </c>
      <c r="I1753">
        <v>1</v>
      </c>
      <c r="J1753">
        <v>62</v>
      </c>
      <c r="K1753">
        <v>9</v>
      </c>
      <c r="L1753" t="s">
        <v>3513</v>
      </c>
      <c r="M1753" t="s">
        <v>3485</v>
      </c>
      <c r="N1753" t="s">
        <v>1630</v>
      </c>
      <c r="O1753" s="4">
        <v>45672.530787037</v>
      </c>
      <c r="P1753" t="s">
        <v>57</v>
      </c>
      <c r="Q1753" t="s">
        <v>1753</v>
      </c>
      <c r="R1753" t="s">
        <v>4252</v>
      </c>
      <c r="T1753" t="s">
        <v>57</v>
      </c>
    </row>
    <row r="1754" ht="25.5" customHeight="1" spans="1:20">
      <c r="A1754" t="s">
        <v>2993</v>
      </c>
      <c r="B1754" t="s">
        <v>56</v>
      </c>
      <c r="C1754" t="s">
        <v>4249</v>
      </c>
      <c r="D1754" s="3"/>
      <c r="E1754" s="2">
        <v>45673</v>
      </c>
      <c r="F1754">
        <v>44200</v>
      </c>
      <c r="G1754">
        <v>3687</v>
      </c>
      <c r="H1754">
        <v>627</v>
      </c>
      <c r="I1754">
        <v>3</v>
      </c>
      <c r="J1754">
        <v>65</v>
      </c>
      <c r="K1754">
        <v>12</v>
      </c>
      <c r="L1754" t="s">
        <v>4028</v>
      </c>
      <c r="M1754" t="s">
        <v>3485</v>
      </c>
      <c r="N1754" t="s">
        <v>1630</v>
      </c>
      <c r="O1754" s="4">
        <v>45673.6190740741</v>
      </c>
      <c r="P1754" t="s">
        <v>57</v>
      </c>
      <c r="Q1754" t="s">
        <v>1753</v>
      </c>
      <c r="R1754" t="s">
        <v>4253</v>
      </c>
      <c r="T1754" t="s">
        <v>57</v>
      </c>
    </row>
    <row r="1755" ht="25.5" customHeight="1" spans="1:20">
      <c r="A1755" t="s">
        <v>2993</v>
      </c>
      <c r="B1755" t="s">
        <v>56</v>
      </c>
      <c r="C1755" t="s">
        <v>4249</v>
      </c>
      <c r="D1755" s="3"/>
      <c r="E1755" s="2">
        <v>45674</v>
      </c>
      <c r="F1755">
        <v>44500</v>
      </c>
      <c r="G1755">
        <v>3807</v>
      </c>
      <c r="H1755">
        <v>632</v>
      </c>
      <c r="I1755">
        <v>5</v>
      </c>
      <c r="J1755">
        <v>68</v>
      </c>
      <c r="K1755">
        <v>12</v>
      </c>
      <c r="L1755" t="s">
        <v>4028</v>
      </c>
      <c r="M1755" t="s">
        <v>3485</v>
      </c>
      <c r="N1755" t="s">
        <v>1630</v>
      </c>
      <c r="O1755" s="4">
        <v>45674.6775925926</v>
      </c>
      <c r="P1755" t="s">
        <v>57</v>
      </c>
      <c r="Q1755" t="s">
        <v>1753</v>
      </c>
      <c r="R1755" t="s">
        <v>4254</v>
      </c>
      <c r="T1755" t="s">
        <v>57</v>
      </c>
    </row>
    <row r="1756" ht="25.5" customHeight="1" spans="1:20">
      <c r="A1756" t="s">
        <v>2993</v>
      </c>
      <c r="B1756" t="s">
        <v>56</v>
      </c>
      <c r="C1756" t="s">
        <v>4249</v>
      </c>
      <c r="D1756" s="3"/>
      <c r="E1756" s="2">
        <v>45677</v>
      </c>
      <c r="F1756">
        <v>44700</v>
      </c>
      <c r="G1756">
        <v>3981</v>
      </c>
      <c r="H1756">
        <v>637</v>
      </c>
      <c r="I1756">
        <v>5</v>
      </c>
      <c r="J1756">
        <v>71</v>
      </c>
      <c r="K1756">
        <v>13</v>
      </c>
      <c r="L1756" t="s">
        <v>3213</v>
      </c>
      <c r="M1756" t="s">
        <v>3485</v>
      </c>
      <c r="N1756" t="s">
        <v>1630</v>
      </c>
      <c r="O1756" s="4">
        <v>45677.4365277778</v>
      </c>
      <c r="P1756" t="s">
        <v>57</v>
      </c>
      <c r="Q1756" t="s">
        <v>1753</v>
      </c>
      <c r="R1756" t="s">
        <v>3746</v>
      </c>
      <c r="T1756" t="s">
        <v>57</v>
      </c>
    </row>
    <row r="1757" ht="25.5" customHeight="1" spans="1:20">
      <c r="A1757" t="s">
        <v>2993</v>
      </c>
      <c r="B1757" t="s">
        <v>56</v>
      </c>
      <c r="C1757" t="s">
        <v>4249</v>
      </c>
      <c r="D1757" s="3"/>
      <c r="E1757" s="2">
        <v>45678</v>
      </c>
      <c r="F1757">
        <v>44800</v>
      </c>
      <c r="G1757">
        <v>4017</v>
      </c>
      <c r="H1757">
        <v>638</v>
      </c>
      <c r="I1757">
        <v>5</v>
      </c>
      <c r="J1757">
        <v>71</v>
      </c>
      <c r="K1757">
        <v>13</v>
      </c>
      <c r="L1757" t="s">
        <v>3213</v>
      </c>
      <c r="M1757" t="s">
        <v>3485</v>
      </c>
      <c r="N1757" t="s">
        <v>1630</v>
      </c>
      <c r="O1757" s="4">
        <v>45678.6575</v>
      </c>
      <c r="P1757" t="s">
        <v>57</v>
      </c>
      <c r="Q1757" t="s">
        <v>1753</v>
      </c>
      <c r="R1757" t="s">
        <v>4255</v>
      </c>
      <c r="T1757" t="s">
        <v>57</v>
      </c>
    </row>
    <row r="1758" ht="25.5" customHeight="1" spans="1:20">
      <c r="A1758" t="s">
        <v>2993</v>
      </c>
      <c r="B1758" t="s">
        <v>56</v>
      </c>
      <c r="C1758" t="s">
        <v>4249</v>
      </c>
      <c r="D1758" s="3"/>
      <c r="E1758" s="2">
        <v>45679</v>
      </c>
      <c r="F1758">
        <v>44800</v>
      </c>
      <c r="G1758">
        <v>4044</v>
      </c>
      <c r="H1758">
        <v>638</v>
      </c>
      <c r="I1758">
        <v>5</v>
      </c>
      <c r="J1758">
        <v>71</v>
      </c>
      <c r="K1758">
        <v>13</v>
      </c>
      <c r="L1758" t="s">
        <v>3213</v>
      </c>
      <c r="M1758" t="s">
        <v>3485</v>
      </c>
      <c r="N1758" t="s">
        <v>1630</v>
      </c>
      <c r="O1758" s="4">
        <v>45679.6981134259</v>
      </c>
      <c r="P1758" t="s">
        <v>57</v>
      </c>
      <c r="Q1758" t="s">
        <v>1753</v>
      </c>
      <c r="R1758" t="s">
        <v>4255</v>
      </c>
      <c r="T1758" t="s">
        <v>57</v>
      </c>
    </row>
    <row r="1759" ht="25.5" customHeight="1" spans="1:20">
      <c r="A1759" t="s">
        <v>2993</v>
      </c>
      <c r="B1759" t="s">
        <v>56</v>
      </c>
      <c r="C1759" t="s">
        <v>4249</v>
      </c>
      <c r="D1759" s="3"/>
      <c r="E1759" s="2">
        <v>45680</v>
      </c>
      <c r="F1759">
        <v>44900</v>
      </c>
      <c r="G1759">
        <v>4069</v>
      </c>
      <c r="H1759">
        <v>638</v>
      </c>
      <c r="I1759">
        <v>5</v>
      </c>
      <c r="J1759">
        <v>71</v>
      </c>
      <c r="K1759">
        <v>13</v>
      </c>
      <c r="L1759" t="s">
        <v>3213</v>
      </c>
      <c r="M1759" t="s">
        <v>3485</v>
      </c>
      <c r="N1759" t="s">
        <v>1630</v>
      </c>
      <c r="O1759" s="4">
        <v>45680.6598148148</v>
      </c>
      <c r="P1759" t="s">
        <v>57</v>
      </c>
      <c r="Q1759" t="s">
        <v>1753</v>
      </c>
      <c r="R1759" t="s">
        <v>4255</v>
      </c>
      <c r="T1759" t="s">
        <v>57</v>
      </c>
    </row>
    <row r="1760" ht="25.5" customHeight="1" spans="1:20">
      <c r="A1760" t="s">
        <v>2993</v>
      </c>
      <c r="B1760" t="s">
        <v>56</v>
      </c>
      <c r="C1760" t="s">
        <v>4249</v>
      </c>
      <c r="D1760" s="3"/>
      <c r="E1760" s="2">
        <v>45681</v>
      </c>
      <c r="F1760">
        <v>44900</v>
      </c>
      <c r="G1760">
        <v>4096</v>
      </c>
      <c r="H1760">
        <v>638</v>
      </c>
      <c r="I1760">
        <v>5</v>
      </c>
      <c r="J1760">
        <v>71</v>
      </c>
      <c r="K1760">
        <v>13</v>
      </c>
      <c r="L1760" t="s">
        <v>3213</v>
      </c>
      <c r="M1760" t="s">
        <v>3485</v>
      </c>
      <c r="N1760" t="s">
        <v>1630</v>
      </c>
      <c r="O1760" s="4">
        <v>45681.6446759259</v>
      </c>
      <c r="P1760" t="s">
        <v>57</v>
      </c>
      <c r="Q1760" t="s">
        <v>1753</v>
      </c>
      <c r="R1760" t="s">
        <v>4255</v>
      </c>
      <c r="T1760" t="s">
        <v>57</v>
      </c>
    </row>
    <row r="1761" ht="25.5" customHeight="1" spans="1:20">
      <c r="A1761" t="s">
        <v>2993</v>
      </c>
      <c r="B1761" t="s">
        <v>56</v>
      </c>
      <c r="C1761" t="s">
        <v>4249</v>
      </c>
      <c r="D1761" s="3"/>
      <c r="E1761" s="2">
        <v>45683</v>
      </c>
      <c r="F1761">
        <v>45000</v>
      </c>
      <c r="G1761">
        <v>4163</v>
      </c>
      <c r="H1761">
        <v>639</v>
      </c>
      <c r="I1761">
        <v>5</v>
      </c>
      <c r="J1761">
        <v>71</v>
      </c>
      <c r="K1761">
        <v>13</v>
      </c>
      <c r="L1761" t="s">
        <v>3213</v>
      </c>
      <c r="M1761" t="s">
        <v>3485</v>
      </c>
      <c r="N1761" t="s">
        <v>1630</v>
      </c>
      <c r="O1761" s="4">
        <v>45683.7756597222</v>
      </c>
      <c r="P1761" t="s">
        <v>57</v>
      </c>
      <c r="Q1761" t="s">
        <v>1753</v>
      </c>
      <c r="R1761" t="s">
        <v>4256</v>
      </c>
      <c r="T1761" t="s">
        <v>57</v>
      </c>
    </row>
    <row r="1762" ht="25.5" customHeight="1" spans="1:20">
      <c r="A1762" t="s">
        <v>2993</v>
      </c>
      <c r="B1762" t="s">
        <v>56</v>
      </c>
      <c r="C1762" t="s">
        <v>4249</v>
      </c>
      <c r="D1762" s="3"/>
      <c r="E1762" s="2">
        <v>45684</v>
      </c>
      <c r="F1762">
        <v>45100</v>
      </c>
      <c r="G1762">
        <v>4186</v>
      </c>
      <c r="H1762">
        <v>641</v>
      </c>
      <c r="I1762">
        <v>5</v>
      </c>
      <c r="J1762">
        <v>71</v>
      </c>
      <c r="K1762">
        <v>13</v>
      </c>
      <c r="L1762" t="s">
        <v>3213</v>
      </c>
      <c r="M1762" t="s">
        <v>3485</v>
      </c>
      <c r="N1762" t="s">
        <v>1630</v>
      </c>
      <c r="O1762" s="4">
        <v>45684.8648032407</v>
      </c>
      <c r="P1762" t="s">
        <v>57</v>
      </c>
      <c r="Q1762" t="s">
        <v>1753</v>
      </c>
      <c r="R1762" t="s">
        <v>3802</v>
      </c>
      <c r="T1762" t="s">
        <v>57</v>
      </c>
    </row>
    <row r="1763" ht="25.5" customHeight="1" spans="1:20">
      <c r="A1763" t="s">
        <v>2993</v>
      </c>
      <c r="B1763" t="s">
        <v>56</v>
      </c>
      <c r="C1763" t="s">
        <v>4249</v>
      </c>
      <c r="D1763" s="3"/>
      <c r="E1763" s="2">
        <v>45693</v>
      </c>
      <c r="F1763">
        <v>45500</v>
      </c>
      <c r="G1763">
        <v>4329</v>
      </c>
      <c r="H1763">
        <v>648</v>
      </c>
      <c r="I1763">
        <v>5</v>
      </c>
      <c r="J1763">
        <v>71</v>
      </c>
      <c r="K1763">
        <v>13</v>
      </c>
      <c r="L1763" t="s">
        <v>3220</v>
      </c>
      <c r="M1763" t="s">
        <v>3485</v>
      </c>
      <c r="N1763" t="s">
        <v>1630</v>
      </c>
      <c r="O1763" s="4">
        <v>45693.8276736111</v>
      </c>
      <c r="P1763" t="s">
        <v>57</v>
      </c>
      <c r="Q1763" t="s">
        <v>1753</v>
      </c>
      <c r="R1763" t="s">
        <v>4257</v>
      </c>
      <c r="T1763" t="s">
        <v>57</v>
      </c>
    </row>
    <row r="1764" ht="25.5" customHeight="1" spans="1:20">
      <c r="A1764" t="s">
        <v>2993</v>
      </c>
      <c r="B1764" t="s">
        <v>56</v>
      </c>
      <c r="C1764" t="s">
        <v>4249</v>
      </c>
      <c r="D1764" s="3"/>
      <c r="E1764" s="2">
        <v>45694</v>
      </c>
      <c r="F1764">
        <v>45600</v>
      </c>
      <c r="G1764">
        <v>4349</v>
      </c>
      <c r="H1764">
        <v>648</v>
      </c>
      <c r="I1764">
        <v>5</v>
      </c>
      <c r="J1764">
        <v>71</v>
      </c>
      <c r="K1764">
        <v>13</v>
      </c>
      <c r="L1764" t="s">
        <v>3220</v>
      </c>
      <c r="M1764" t="s">
        <v>3485</v>
      </c>
      <c r="N1764" t="s">
        <v>1630</v>
      </c>
      <c r="O1764" s="4">
        <v>45698.6216782407</v>
      </c>
      <c r="P1764" t="s">
        <v>57</v>
      </c>
      <c r="Q1764" t="s">
        <v>1753</v>
      </c>
      <c r="R1764" t="s">
        <v>4257</v>
      </c>
      <c r="S1764" t="s">
        <v>3180</v>
      </c>
      <c r="T1764" t="s">
        <v>57</v>
      </c>
    </row>
    <row r="1765" ht="25.5" customHeight="1" spans="1:20">
      <c r="A1765" t="s">
        <v>2218</v>
      </c>
      <c r="B1765" t="s">
        <v>65</v>
      </c>
      <c r="C1765" t="s">
        <v>4258</v>
      </c>
      <c r="D1765" s="3" t="str">
        <f>HYPERLINK("https://www.instagram.com/s.studybee/reels/","https://www.instagram.com/s.studybee/reels/")</f>
        <v>https://www.instagram.com/s.studybee/reels/</v>
      </c>
      <c r="E1765" s="2">
        <v>45669</v>
      </c>
      <c r="F1765">
        <v>128000</v>
      </c>
      <c r="G1765">
        <v>22600</v>
      </c>
      <c r="H1765">
        <v>516</v>
      </c>
      <c r="I1765">
        <v>108</v>
      </c>
      <c r="L1765" t="s">
        <v>3138</v>
      </c>
      <c r="M1765" t="s">
        <v>4259</v>
      </c>
      <c r="N1765" t="s">
        <v>1630</v>
      </c>
      <c r="O1765" s="4">
        <v>45670.779837963</v>
      </c>
      <c r="P1765" t="s">
        <v>116</v>
      </c>
      <c r="Q1765" t="s">
        <v>1631</v>
      </c>
      <c r="R1765" t="s">
        <v>4260</v>
      </c>
      <c r="T1765" t="s">
        <v>116</v>
      </c>
    </row>
    <row r="1766" ht="25.5" customHeight="1" spans="1:20">
      <c r="A1766" t="s">
        <v>2218</v>
      </c>
      <c r="B1766" t="s">
        <v>65</v>
      </c>
      <c r="C1766" t="s">
        <v>4258</v>
      </c>
      <c r="D1766" s="3"/>
      <c r="E1766" s="2">
        <v>45671</v>
      </c>
      <c r="F1766">
        <v>128000</v>
      </c>
      <c r="G1766">
        <v>24300</v>
      </c>
      <c r="H1766">
        <v>571</v>
      </c>
      <c r="I1766">
        <v>123</v>
      </c>
      <c r="L1766" t="s">
        <v>3331</v>
      </c>
      <c r="M1766" t="s">
        <v>4259</v>
      </c>
      <c r="N1766" t="s">
        <v>1630</v>
      </c>
      <c r="O1766" s="4">
        <v>45672.5030092593</v>
      </c>
      <c r="P1766" t="s">
        <v>116</v>
      </c>
      <c r="Q1766" t="s">
        <v>1631</v>
      </c>
      <c r="R1766" t="s">
        <v>4261</v>
      </c>
      <c r="T1766" t="s">
        <v>116</v>
      </c>
    </row>
    <row r="1767" ht="25.5" customHeight="1" spans="1:20">
      <c r="A1767" t="s">
        <v>2218</v>
      </c>
      <c r="B1767" t="s">
        <v>65</v>
      </c>
      <c r="C1767" t="s">
        <v>4258</v>
      </c>
      <c r="D1767" s="3"/>
      <c r="E1767" s="2">
        <v>45672</v>
      </c>
      <c r="F1767">
        <v>128000</v>
      </c>
      <c r="G1767">
        <v>25300</v>
      </c>
      <c r="H1767">
        <v>600</v>
      </c>
      <c r="I1767">
        <v>129</v>
      </c>
      <c r="L1767" t="s">
        <v>3331</v>
      </c>
      <c r="M1767" t="s">
        <v>4259</v>
      </c>
      <c r="N1767" t="s">
        <v>1630</v>
      </c>
      <c r="O1767" s="4">
        <v>45672.5109606481</v>
      </c>
      <c r="P1767" t="s">
        <v>116</v>
      </c>
      <c r="Q1767" t="s">
        <v>1631</v>
      </c>
      <c r="R1767" t="s">
        <v>3801</v>
      </c>
      <c r="T1767" t="s">
        <v>116</v>
      </c>
    </row>
    <row r="1768" ht="25.5" customHeight="1" spans="1:20">
      <c r="A1768" t="s">
        <v>2218</v>
      </c>
      <c r="B1768" t="s">
        <v>65</v>
      </c>
      <c r="C1768" t="s">
        <v>4258</v>
      </c>
      <c r="D1768" s="3"/>
      <c r="E1768" s="2">
        <v>45673</v>
      </c>
      <c r="F1768">
        <v>129000</v>
      </c>
      <c r="G1768">
        <v>26200</v>
      </c>
      <c r="H1768">
        <v>631</v>
      </c>
      <c r="I1768">
        <v>141</v>
      </c>
      <c r="L1768" t="s">
        <v>3331</v>
      </c>
      <c r="M1768" t="s">
        <v>4259</v>
      </c>
      <c r="N1768" t="s">
        <v>1630</v>
      </c>
      <c r="O1768" s="4">
        <v>45673.4917939815</v>
      </c>
      <c r="P1768" t="s">
        <v>116</v>
      </c>
      <c r="Q1768" t="s">
        <v>1631</v>
      </c>
      <c r="R1768" t="s">
        <v>4262</v>
      </c>
      <c r="T1768" t="s">
        <v>116</v>
      </c>
    </row>
    <row r="1769" ht="25.5" customHeight="1" spans="1:20">
      <c r="A1769" t="s">
        <v>2218</v>
      </c>
      <c r="B1769" t="s">
        <v>65</v>
      </c>
      <c r="C1769" t="s">
        <v>4258</v>
      </c>
      <c r="D1769" s="3"/>
      <c r="E1769" s="2">
        <v>45674</v>
      </c>
      <c r="F1769">
        <v>129000</v>
      </c>
      <c r="G1769">
        <v>26900</v>
      </c>
      <c r="H1769">
        <v>654</v>
      </c>
      <c r="I1769">
        <v>48</v>
      </c>
      <c r="L1769" t="s">
        <v>3331</v>
      </c>
      <c r="M1769" t="s">
        <v>4259</v>
      </c>
      <c r="N1769" t="s">
        <v>1630</v>
      </c>
      <c r="O1769" s="4">
        <v>45674.6386342593</v>
      </c>
      <c r="P1769" t="s">
        <v>116</v>
      </c>
      <c r="Q1769" t="s">
        <v>1631</v>
      </c>
      <c r="R1769" t="s">
        <v>4263</v>
      </c>
      <c r="T1769" t="s">
        <v>116</v>
      </c>
    </row>
    <row r="1770" ht="25.5" customHeight="1" spans="1:20">
      <c r="A1770" t="s">
        <v>2218</v>
      </c>
      <c r="B1770" t="s">
        <v>65</v>
      </c>
      <c r="C1770" t="s">
        <v>4258</v>
      </c>
      <c r="D1770" s="3"/>
      <c r="E1770" s="2">
        <v>45677</v>
      </c>
      <c r="F1770">
        <v>129000</v>
      </c>
      <c r="G1770">
        <v>28700</v>
      </c>
      <c r="H1770">
        <v>705</v>
      </c>
      <c r="I1770">
        <v>160</v>
      </c>
      <c r="L1770" t="s">
        <v>3331</v>
      </c>
      <c r="M1770" t="s">
        <v>4259</v>
      </c>
      <c r="N1770" t="s">
        <v>1630</v>
      </c>
      <c r="O1770" s="4">
        <v>45677.4084259259</v>
      </c>
      <c r="P1770" t="s">
        <v>116</v>
      </c>
      <c r="Q1770" t="s">
        <v>1631</v>
      </c>
      <c r="R1770" t="s">
        <v>4264</v>
      </c>
      <c r="T1770" t="s">
        <v>116</v>
      </c>
    </row>
    <row r="1771" ht="25.5" customHeight="1" spans="1:20">
      <c r="A1771" t="s">
        <v>2218</v>
      </c>
      <c r="B1771" t="s">
        <v>65</v>
      </c>
      <c r="C1771" t="s">
        <v>4258</v>
      </c>
      <c r="D1771" s="3"/>
      <c r="E1771" s="2">
        <v>45678</v>
      </c>
      <c r="F1771">
        <v>130000</v>
      </c>
      <c r="G1771">
        <v>29300</v>
      </c>
      <c r="H1771">
        <v>729</v>
      </c>
      <c r="I1771">
        <v>162</v>
      </c>
      <c r="L1771" t="s">
        <v>3331</v>
      </c>
      <c r="M1771" t="s">
        <v>4259</v>
      </c>
      <c r="N1771" t="s">
        <v>1630</v>
      </c>
      <c r="O1771" s="4">
        <v>45678.50875</v>
      </c>
      <c r="P1771" t="s">
        <v>116</v>
      </c>
      <c r="Q1771" t="s">
        <v>1631</v>
      </c>
      <c r="R1771" t="s">
        <v>3387</v>
      </c>
      <c r="T1771" t="s">
        <v>116</v>
      </c>
    </row>
    <row r="1772" ht="25.5" customHeight="1" spans="1:20">
      <c r="A1772" t="s">
        <v>2218</v>
      </c>
      <c r="B1772" t="s">
        <v>65</v>
      </c>
      <c r="C1772" t="s">
        <v>4258</v>
      </c>
      <c r="D1772" s="3"/>
      <c r="E1772" s="2">
        <v>45679</v>
      </c>
      <c r="F1772">
        <v>130000</v>
      </c>
      <c r="G1772">
        <v>29900</v>
      </c>
      <c r="H1772">
        <v>749</v>
      </c>
      <c r="I1772">
        <v>164</v>
      </c>
      <c r="L1772" t="s">
        <v>3331</v>
      </c>
      <c r="M1772" t="s">
        <v>4259</v>
      </c>
      <c r="N1772" t="s">
        <v>1630</v>
      </c>
      <c r="O1772" s="4">
        <v>45679.6663310185</v>
      </c>
      <c r="P1772" t="s">
        <v>116</v>
      </c>
      <c r="Q1772" t="s">
        <v>1631</v>
      </c>
      <c r="R1772" t="s">
        <v>3675</v>
      </c>
      <c r="T1772" t="s">
        <v>116</v>
      </c>
    </row>
    <row r="1773" ht="25.5" customHeight="1" spans="1:20">
      <c r="A1773" t="s">
        <v>2218</v>
      </c>
      <c r="B1773" t="s">
        <v>65</v>
      </c>
      <c r="C1773" t="s">
        <v>4258</v>
      </c>
      <c r="D1773" s="3"/>
      <c r="E1773" s="2">
        <v>45680</v>
      </c>
      <c r="F1773">
        <v>130000</v>
      </c>
      <c r="G1773">
        <v>30300</v>
      </c>
      <c r="H1773">
        <v>759</v>
      </c>
      <c r="I1773">
        <v>171</v>
      </c>
      <c r="L1773" t="s">
        <v>3331</v>
      </c>
      <c r="M1773" t="s">
        <v>4259</v>
      </c>
      <c r="N1773" t="s">
        <v>1630</v>
      </c>
      <c r="O1773" s="4">
        <v>45680.5153125</v>
      </c>
      <c r="P1773" t="s">
        <v>116</v>
      </c>
      <c r="Q1773" t="s">
        <v>1631</v>
      </c>
      <c r="R1773" t="s">
        <v>4107</v>
      </c>
      <c r="T1773" t="s">
        <v>116</v>
      </c>
    </row>
    <row r="1774" ht="25.5" customHeight="1" spans="1:20">
      <c r="A1774" t="s">
        <v>2218</v>
      </c>
      <c r="B1774" t="s">
        <v>65</v>
      </c>
      <c r="C1774" t="s">
        <v>4258</v>
      </c>
      <c r="D1774" s="3"/>
      <c r="E1774" s="2">
        <v>45681</v>
      </c>
      <c r="F1774">
        <v>130000</v>
      </c>
      <c r="G1774">
        <v>30700</v>
      </c>
      <c r="H1774">
        <v>773</v>
      </c>
      <c r="I1774">
        <v>173</v>
      </c>
      <c r="L1774" t="s">
        <v>3331</v>
      </c>
      <c r="M1774" t="s">
        <v>4259</v>
      </c>
      <c r="N1774" t="s">
        <v>1630</v>
      </c>
      <c r="O1774" s="4">
        <v>45681.5025462963</v>
      </c>
      <c r="P1774" t="s">
        <v>116</v>
      </c>
      <c r="Q1774" t="s">
        <v>1631</v>
      </c>
      <c r="R1774" t="s">
        <v>4265</v>
      </c>
      <c r="T1774" t="s">
        <v>116</v>
      </c>
    </row>
    <row r="1775" ht="25.5" customHeight="1" spans="1:20">
      <c r="A1775" t="s">
        <v>2218</v>
      </c>
      <c r="B1775" t="s">
        <v>65</v>
      </c>
      <c r="C1775" t="s">
        <v>4258</v>
      </c>
      <c r="D1775" s="3"/>
      <c r="E1775" s="2">
        <v>45683</v>
      </c>
      <c r="F1775">
        <v>130000</v>
      </c>
      <c r="G1775">
        <v>31500</v>
      </c>
      <c r="H1775">
        <v>791</v>
      </c>
      <c r="I1775">
        <v>179</v>
      </c>
      <c r="L1775" t="s">
        <v>3331</v>
      </c>
      <c r="M1775" t="s">
        <v>4259</v>
      </c>
      <c r="N1775" t="s">
        <v>1630</v>
      </c>
      <c r="O1775" s="4">
        <v>45683.7259606481</v>
      </c>
      <c r="P1775" t="s">
        <v>116</v>
      </c>
      <c r="Q1775" t="s">
        <v>1631</v>
      </c>
      <c r="R1775" t="s">
        <v>4266</v>
      </c>
      <c r="T1775" t="s">
        <v>116</v>
      </c>
    </row>
    <row r="1776" ht="25.5" customHeight="1" spans="1:20">
      <c r="A1776" t="s">
        <v>2218</v>
      </c>
      <c r="B1776" t="s">
        <v>65</v>
      </c>
      <c r="C1776" t="s">
        <v>4258</v>
      </c>
      <c r="D1776" s="3"/>
      <c r="E1776" s="2">
        <v>45684</v>
      </c>
      <c r="F1776">
        <v>130000</v>
      </c>
      <c r="G1776">
        <v>31700</v>
      </c>
      <c r="H1776">
        <v>799</v>
      </c>
      <c r="I1776">
        <v>179</v>
      </c>
      <c r="L1776" t="s">
        <v>3331</v>
      </c>
      <c r="M1776" t="s">
        <v>4259</v>
      </c>
      <c r="N1776" t="s">
        <v>1630</v>
      </c>
      <c r="O1776" s="4">
        <v>45684.7811458333</v>
      </c>
      <c r="P1776" t="s">
        <v>116</v>
      </c>
      <c r="Q1776" t="s">
        <v>1631</v>
      </c>
      <c r="R1776" t="s">
        <v>4233</v>
      </c>
      <c r="T1776" t="s">
        <v>116</v>
      </c>
    </row>
    <row r="1777" ht="25.5" customHeight="1" spans="1:20">
      <c r="A1777" t="s">
        <v>2218</v>
      </c>
      <c r="B1777" t="s">
        <v>65</v>
      </c>
      <c r="C1777" t="s">
        <v>4258</v>
      </c>
      <c r="D1777" s="3"/>
      <c r="E1777" s="2">
        <v>45693</v>
      </c>
      <c r="F1777">
        <v>131000</v>
      </c>
      <c r="G1777">
        <v>32000</v>
      </c>
      <c r="H1777">
        <v>818</v>
      </c>
      <c r="I1777">
        <v>182</v>
      </c>
      <c r="L1777" t="s">
        <v>3331</v>
      </c>
      <c r="M1777" t="s">
        <v>4259</v>
      </c>
      <c r="N1777" t="s">
        <v>1630</v>
      </c>
      <c r="O1777" s="4">
        <v>45693.7819675926</v>
      </c>
      <c r="P1777" t="s">
        <v>116</v>
      </c>
      <c r="Q1777" t="s">
        <v>1631</v>
      </c>
      <c r="R1777" t="s">
        <v>4267</v>
      </c>
      <c r="T1777" t="s">
        <v>116</v>
      </c>
    </row>
    <row r="1778" ht="25.5" customHeight="1" spans="1:20">
      <c r="A1778" t="s">
        <v>2218</v>
      </c>
      <c r="B1778" t="s">
        <v>65</v>
      </c>
      <c r="C1778" t="s">
        <v>4258</v>
      </c>
      <c r="D1778" s="3"/>
      <c r="E1778" s="2">
        <v>45694</v>
      </c>
      <c r="F1778">
        <v>131000</v>
      </c>
      <c r="G1778">
        <v>32500</v>
      </c>
      <c r="H1778">
        <v>818</v>
      </c>
      <c r="I1778">
        <v>184</v>
      </c>
      <c r="L1778" t="s">
        <v>3331</v>
      </c>
      <c r="M1778" t="s">
        <v>4259</v>
      </c>
      <c r="N1778" t="s">
        <v>1630</v>
      </c>
      <c r="O1778" s="4">
        <v>45698.6216782407</v>
      </c>
      <c r="P1778" t="s">
        <v>116</v>
      </c>
      <c r="Q1778" t="s">
        <v>1631</v>
      </c>
      <c r="R1778" t="s">
        <v>4268</v>
      </c>
      <c r="S1778" t="s">
        <v>3245</v>
      </c>
      <c r="T1778" t="s">
        <v>116</v>
      </c>
    </row>
    <row r="1779" ht="25.5" customHeight="1" spans="1:20">
      <c r="A1779" t="s">
        <v>2218</v>
      </c>
      <c r="B1779" t="s">
        <v>65</v>
      </c>
      <c r="C1779" t="s">
        <v>4258</v>
      </c>
      <c r="D1779" s="3"/>
      <c r="E1779" s="2">
        <v>45695</v>
      </c>
      <c r="F1779">
        <v>131000</v>
      </c>
      <c r="G1779">
        <v>32500</v>
      </c>
      <c r="H1779">
        <v>818</v>
      </c>
      <c r="I1779">
        <v>184</v>
      </c>
      <c r="L1779" t="s">
        <v>3331</v>
      </c>
      <c r="M1779" t="s">
        <v>4259</v>
      </c>
      <c r="N1779" t="s">
        <v>1630</v>
      </c>
      <c r="O1779" s="4">
        <v>45695.4908449074</v>
      </c>
      <c r="P1779" t="s">
        <v>116</v>
      </c>
      <c r="Q1779" t="s">
        <v>1631</v>
      </c>
      <c r="R1779" t="s">
        <v>4268</v>
      </c>
      <c r="T1779" t="s">
        <v>116</v>
      </c>
    </row>
    <row r="1780" ht="25.5" customHeight="1" spans="1:20">
      <c r="A1780" t="s">
        <v>2218</v>
      </c>
      <c r="B1780" t="s">
        <v>65</v>
      </c>
      <c r="C1780" t="s">
        <v>4258</v>
      </c>
      <c r="D1780" s="3"/>
      <c r="E1780" s="2">
        <v>45697</v>
      </c>
      <c r="F1780">
        <v>131000</v>
      </c>
      <c r="G1780">
        <v>32500</v>
      </c>
      <c r="H1780">
        <v>818</v>
      </c>
      <c r="I1780">
        <v>184</v>
      </c>
      <c r="L1780" t="s">
        <v>3331</v>
      </c>
      <c r="M1780" t="s">
        <v>4259</v>
      </c>
      <c r="N1780" t="s">
        <v>1630</v>
      </c>
      <c r="O1780" s="4">
        <v>45695.4914583333</v>
      </c>
      <c r="P1780" t="s">
        <v>116</v>
      </c>
      <c r="Q1780" t="s">
        <v>1631</v>
      </c>
      <c r="R1780" t="s">
        <v>4268</v>
      </c>
      <c r="T1780" t="s">
        <v>116</v>
      </c>
    </row>
    <row r="1781" ht="25.5" customHeight="1" spans="1:20">
      <c r="A1781" t="s">
        <v>3069</v>
      </c>
      <c r="B1781" t="s">
        <v>56</v>
      </c>
      <c r="C1781" t="s">
        <v>4269</v>
      </c>
      <c r="D1781" s="3" t="str">
        <f>HYPERLINK("https://www.tiktok.com/@s.studybee","https://www.tiktok.com/@s.studybee")</f>
        <v>https://www.tiktok.com/@s.studybee</v>
      </c>
      <c r="E1781" s="2">
        <v>45669</v>
      </c>
      <c r="F1781">
        <v>71800</v>
      </c>
      <c r="G1781">
        <v>1288</v>
      </c>
      <c r="H1781">
        <v>94</v>
      </c>
      <c r="I1781">
        <v>1</v>
      </c>
      <c r="J1781">
        <v>10</v>
      </c>
      <c r="K1781">
        <v>2</v>
      </c>
      <c r="L1781" t="s">
        <v>3317</v>
      </c>
      <c r="M1781" t="s">
        <v>4270</v>
      </c>
      <c r="N1781" t="s">
        <v>1630</v>
      </c>
      <c r="O1781" s="4">
        <v>45670.8512731481</v>
      </c>
      <c r="P1781" t="s">
        <v>57</v>
      </c>
      <c r="Q1781" t="s">
        <v>1631</v>
      </c>
      <c r="R1781" t="s">
        <v>3364</v>
      </c>
      <c r="T1781" t="s">
        <v>57</v>
      </c>
    </row>
    <row r="1782" ht="25.5" customHeight="1" spans="1:20">
      <c r="A1782" t="s">
        <v>3069</v>
      </c>
      <c r="B1782" t="s">
        <v>56</v>
      </c>
      <c r="C1782" t="s">
        <v>4269</v>
      </c>
      <c r="D1782" s="3"/>
      <c r="E1782" s="2">
        <v>45671</v>
      </c>
      <c r="F1782">
        <v>71800</v>
      </c>
      <c r="G1782">
        <v>1348</v>
      </c>
      <c r="H1782">
        <v>98</v>
      </c>
      <c r="I1782">
        <v>1</v>
      </c>
      <c r="J1782">
        <v>10</v>
      </c>
      <c r="K1782">
        <v>2</v>
      </c>
      <c r="L1782" t="s">
        <v>3248</v>
      </c>
      <c r="M1782" t="s">
        <v>4270</v>
      </c>
      <c r="N1782" t="s">
        <v>1630</v>
      </c>
      <c r="O1782" s="4">
        <v>45672.5030092593</v>
      </c>
      <c r="P1782" t="s">
        <v>57</v>
      </c>
      <c r="Q1782" t="s">
        <v>1631</v>
      </c>
      <c r="R1782" t="s">
        <v>3365</v>
      </c>
      <c r="T1782" t="s">
        <v>57</v>
      </c>
    </row>
    <row r="1783" ht="25.5" customHeight="1" spans="1:20">
      <c r="A1783" t="s">
        <v>3069</v>
      </c>
      <c r="B1783" t="s">
        <v>56</v>
      </c>
      <c r="C1783" t="s">
        <v>4269</v>
      </c>
      <c r="D1783" s="3"/>
      <c r="E1783" s="2">
        <v>45672</v>
      </c>
      <c r="F1783">
        <v>71800</v>
      </c>
      <c r="G1783">
        <v>1393</v>
      </c>
      <c r="H1783">
        <v>104</v>
      </c>
      <c r="I1783">
        <v>1</v>
      </c>
      <c r="J1783">
        <v>13</v>
      </c>
      <c r="K1783">
        <v>2</v>
      </c>
      <c r="L1783" t="s">
        <v>3317</v>
      </c>
      <c r="M1783" t="s">
        <v>4270</v>
      </c>
      <c r="N1783" t="s">
        <v>1630</v>
      </c>
      <c r="O1783" s="4">
        <v>45672.5312615741</v>
      </c>
      <c r="P1783" t="s">
        <v>57</v>
      </c>
      <c r="Q1783" t="s">
        <v>1631</v>
      </c>
      <c r="R1783" t="s">
        <v>4271</v>
      </c>
      <c r="T1783" t="s">
        <v>57</v>
      </c>
    </row>
    <row r="1784" ht="25.5" customHeight="1" spans="1:20">
      <c r="A1784" t="s">
        <v>3069</v>
      </c>
      <c r="B1784" t="s">
        <v>56</v>
      </c>
      <c r="C1784" t="s">
        <v>4269</v>
      </c>
      <c r="D1784" s="3"/>
      <c r="E1784" s="2">
        <v>45673</v>
      </c>
      <c r="F1784">
        <v>71800</v>
      </c>
      <c r="G1784">
        <v>1434</v>
      </c>
      <c r="H1784">
        <v>110</v>
      </c>
      <c r="I1784">
        <v>1</v>
      </c>
      <c r="J1784">
        <v>15</v>
      </c>
      <c r="K1784">
        <v>2</v>
      </c>
      <c r="L1784" t="s">
        <v>3317</v>
      </c>
      <c r="M1784" t="s">
        <v>4270</v>
      </c>
      <c r="N1784" t="s">
        <v>1630</v>
      </c>
      <c r="O1784" s="4">
        <v>45673.6219212963</v>
      </c>
      <c r="P1784" t="s">
        <v>57</v>
      </c>
      <c r="Q1784" t="s">
        <v>1631</v>
      </c>
      <c r="R1784" t="s">
        <v>4272</v>
      </c>
      <c r="T1784" t="s">
        <v>57</v>
      </c>
    </row>
    <row r="1785" ht="25.5" customHeight="1" spans="1:20">
      <c r="A1785" t="s">
        <v>3069</v>
      </c>
      <c r="B1785" t="s">
        <v>56</v>
      </c>
      <c r="C1785" t="s">
        <v>4269</v>
      </c>
      <c r="D1785" s="3"/>
      <c r="E1785" s="2">
        <v>45674</v>
      </c>
      <c r="F1785">
        <v>71800</v>
      </c>
      <c r="G1785">
        <v>1465</v>
      </c>
      <c r="H1785">
        <v>111</v>
      </c>
      <c r="I1785">
        <v>1</v>
      </c>
      <c r="J1785">
        <v>15</v>
      </c>
      <c r="K1785">
        <v>2</v>
      </c>
      <c r="L1785" t="s">
        <v>3317</v>
      </c>
      <c r="M1785" t="s">
        <v>4270</v>
      </c>
      <c r="N1785" t="s">
        <v>1630</v>
      </c>
      <c r="O1785" s="4">
        <v>45674.6778125</v>
      </c>
      <c r="P1785" t="s">
        <v>57</v>
      </c>
      <c r="Q1785" t="s">
        <v>1631</v>
      </c>
      <c r="R1785" t="s">
        <v>4273</v>
      </c>
      <c r="T1785" t="s">
        <v>57</v>
      </c>
    </row>
    <row r="1786" ht="25.5" customHeight="1" spans="1:20">
      <c r="A1786" t="s">
        <v>3069</v>
      </c>
      <c r="B1786" t="s">
        <v>56</v>
      </c>
      <c r="C1786" t="s">
        <v>4269</v>
      </c>
      <c r="D1786" s="3"/>
      <c r="E1786" s="2">
        <v>45677</v>
      </c>
      <c r="F1786">
        <v>71800</v>
      </c>
      <c r="G1786">
        <v>1555</v>
      </c>
      <c r="H1786">
        <v>116</v>
      </c>
      <c r="I1786">
        <v>1</v>
      </c>
      <c r="J1786">
        <v>16</v>
      </c>
      <c r="K1786">
        <v>2</v>
      </c>
      <c r="L1786" t="s">
        <v>3317</v>
      </c>
      <c r="M1786" t="s">
        <v>4270</v>
      </c>
      <c r="N1786" t="s">
        <v>1630</v>
      </c>
      <c r="O1786" s="4">
        <v>45677.4366898148</v>
      </c>
      <c r="P1786" t="s">
        <v>57</v>
      </c>
      <c r="Q1786" t="s">
        <v>1631</v>
      </c>
      <c r="R1786" t="s">
        <v>3369</v>
      </c>
      <c r="T1786" t="s">
        <v>57</v>
      </c>
    </row>
    <row r="1787" ht="25.5" customHeight="1" spans="1:20">
      <c r="A1787" t="s">
        <v>3069</v>
      </c>
      <c r="B1787" t="s">
        <v>56</v>
      </c>
      <c r="C1787" t="s">
        <v>4269</v>
      </c>
      <c r="D1787" s="3"/>
      <c r="E1787" s="2">
        <v>45678</v>
      </c>
      <c r="F1787">
        <v>71800</v>
      </c>
      <c r="G1787">
        <v>1586</v>
      </c>
      <c r="H1787">
        <v>117</v>
      </c>
      <c r="I1787">
        <v>1</v>
      </c>
      <c r="J1787">
        <v>16</v>
      </c>
      <c r="K1787">
        <v>2</v>
      </c>
      <c r="L1787" t="s">
        <v>3317</v>
      </c>
      <c r="M1787" t="s">
        <v>4270</v>
      </c>
      <c r="N1787" t="s">
        <v>1630</v>
      </c>
      <c r="O1787" s="4">
        <v>45678.6584143518</v>
      </c>
      <c r="P1787" t="s">
        <v>57</v>
      </c>
      <c r="Q1787" t="s">
        <v>1631</v>
      </c>
      <c r="R1787" t="s">
        <v>3255</v>
      </c>
      <c r="T1787" t="s">
        <v>57</v>
      </c>
    </row>
    <row r="1788" ht="25.5" customHeight="1" spans="1:20">
      <c r="A1788" t="s">
        <v>3069</v>
      </c>
      <c r="B1788" t="s">
        <v>56</v>
      </c>
      <c r="C1788" t="s">
        <v>4269</v>
      </c>
      <c r="D1788" s="3"/>
      <c r="E1788" s="2">
        <v>45679</v>
      </c>
      <c r="F1788">
        <v>71800</v>
      </c>
      <c r="G1788">
        <v>1599</v>
      </c>
      <c r="H1788">
        <v>119</v>
      </c>
      <c r="I1788">
        <v>1</v>
      </c>
      <c r="J1788">
        <v>16</v>
      </c>
      <c r="K1788">
        <v>2</v>
      </c>
      <c r="L1788" t="s">
        <v>3317</v>
      </c>
      <c r="M1788" t="s">
        <v>4270</v>
      </c>
      <c r="N1788" t="s">
        <v>1630</v>
      </c>
      <c r="O1788" s="4">
        <v>45679.6982638889</v>
      </c>
      <c r="P1788" t="s">
        <v>57</v>
      </c>
      <c r="Q1788" t="s">
        <v>1631</v>
      </c>
      <c r="R1788" t="s">
        <v>4022</v>
      </c>
      <c r="T1788" t="s">
        <v>57</v>
      </c>
    </row>
    <row r="1789" ht="25.5" customHeight="1" spans="1:20">
      <c r="A1789" t="s">
        <v>3069</v>
      </c>
      <c r="B1789" t="s">
        <v>56</v>
      </c>
      <c r="C1789" t="s">
        <v>4269</v>
      </c>
      <c r="D1789" s="3"/>
      <c r="E1789" s="2">
        <v>45680</v>
      </c>
      <c r="F1789">
        <v>71800</v>
      </c>
      <c r="G1789">
        <v>1618</v>
      </c>
      <c r="H1789">
        <v>120</v>
      </c>
      <c r="I1789">
        <v>1</v>
      </c>
      <c r="J1789">
        <v>16</v>
      </c>
      <c r="K1789">
        <v>2</v>
      </c>
      <c r="L1789" t="s">
        <v>3317</v>
      </c>
      <c r="M1789" t="s">
        <v>4270</v>
      </c>
      <c r="N1789" t="s">
        <v>1630</v>
      </c>
      <c r="O1789" s="4">
        <v>45680.6600115741</v>
      </c>
      <c r="P1789" t="s">
        <v>57</v>
      </c>
      <c r="Q1789" t="s">
        <v>1631</v>
      </c>
      <c r="R1789" t="s">
        <v>3303</v>
      </c>
      <c r="T1789" t="s">
        <v>57</v>
      </c>
    </row>
    <row r="1790" ht="25.5" customHeight="1" spans="1:20">
      <c r="A1790" t="s">
        <v>3069</v>
      </c>
      <c r="B1790" t="s">
        <v>56</v>
      </c>
      <c r="C1790" t="s">
        <v>4269</v>
      </c>
      <c r="D1790" s="3"/>
      <c r="E1790" s="2">
        <v>45681</v>
      </c>
      <c r="F1790">
        <v>71800</v>
      </c>
      <c r="G1790">
        <v>1646</v>
      </c>
      <c r="H1790">
        <v>121</v>
      </c>
      <c r="I1790">
        <v>1</v>
      </c>
      <c r="J1790">
        <v>17</v>
      </c>
      <c r="K1790">
        <v>2</v>
      </c>
      <c r="L1790" t="s">
        <v>3317</v>
      </c>
      <c r="M1790" t="s">
        <v>4270</v>
      </c>
      <c r="N1790" t="s">
        <v>1630</v>
      </c>
      <c r="O1790" s="4">
        <v>45683.7779861111</v>
      </c>
      <c r="P1790" t="s">
        <v>57</v>
      </c>
      <c r="Q1790" t="s">
        <v>1631</v>
      </c>
      <c r="R1790" t="s">
        <v>3256</v>
      </c>
      <c r="T1790" t="s">
        <v>57</v>
      </c>
    </row>
    <row r="1791" ht="25.5" customHeight="1" spans="1:20">
      <c r="A1791" t="s">
        <v>3069</v>
      </c>
      <c r="B1791" t="s">
        <v>56</v>
      </c>
      <c r="C1791" t="s">
        <v>4269</v>
      </c>
      <c r="D1791" s="3"/>
      <c r="E1791" s="2">
        <v>45683</v>
      </c>
      <c r="F1791">
        <v>71700</v>
      </c>
      <c r="G1791">
        <v>1689</v>
      </c>
      <c r="H1791">
        <v>124</v>
      </c>
      <c r="I1791">
        <v>1</v>
      </c>
      <c r="J1791">
        <v>17</v>
      </c>
      <c r="K1791">
        <v>2</v>
      </c>
      <c r="L1791" t="s">
        <v>3317</v>
      </c>
      <c r="M1791" t="s">
        <v>4270</v>
      </c>
      <c r="N1791" t="s">
        <v>1630</v>
      </c>
      <c r="O1791" s="4">
        <v>45683.7780555556</v>
      </c>
      <c r="P1791" t="s">
        <v>57</v>
      </c>
      <c r="Q1791" t="s">
        <v>1631</v>
      </c>
      <c r="R1791" t="s">
        <v>3429</v>
      </c>
      <c r="T1791" t="s">
        <v>57</v>
      </c>
    </row>
    <row r="1792" ht="25.5" customHeight="1" spans="1:20">
      <c r="A1792" t="s">
        <v>3069</v>
      </c>
      <c r="B1792" t="s">
        <v>56</v>
      </c>
      <c r="C1792" t="s">
        <v>4269</v>
      </c>
      <c r="D1792" s="3"/>
      <c r="E1792" s="2">
        <v>45684</v>
      </c>
      <c r="F1792">
        <v>71700</v>
      </c>
      <c r="G1792">
        <v>1757</v>
      </c>
      <c r="H1792">
        <v>127</v>
      </c>
      <c r="I1792">
        <v>1</v>
      </c>
      <c r="J1792">
        <v>17</v>
      </c>
      <c r="K1792">
        <v>2</v>
      </c>
      <c r="L1792" t="s">
        <v>3248</v>
      </c>
      <c r="M1792" t="s">
        <v>4270</v>
      </c>
      <c r="N1792" t="s">
        <v>1630</v>
      </c>
      <c r="O1792" s="4">
        <v>45684.8649537037</v>
      </c>
      <c r="P1792" t="s">
        <v>57</v>
      </c>
      <c r="Q1792" t="s">
        <v>1631</v>
      </c>
      <c r="R1792" t="s">
        <v>3182</v>
      </c>
      <c r="T1792" t="s">
        <v>57</v>
      </c>
    </row>
    <row r="1793" ht="25.5" customHeight="1" spans="1:20">
      <c r="A1793" t="s">
        <v>3069</v>
      </c>
      <c r="B1793" t="s">
        <v>56</v>
      </c>
      <c r="C1793" t="s">
        <v>4269</v>
      </c>
      <c r="D1793" s="3"/>
      <c r="E1793" s="2">
        <v>45693</v>
      </c>
      <c r="F1793">
        <v>71700</v>
      </c>
      <c r="G1793">
        <v>1967</v>
      </c>
      <c r="H1793">
        <v>130</v>
      </c>
      <c r="I1793">
        <v>1</v>
      </c>
      <c r="J1793">
        <v>17</v>
      </c>
      <c r="K1793">
        <v>2</v>
      </c>
      <c r="L1793" t="s">
        <v>3248</v>
      </c>
      <c r="M1793" t="s">
        <v>4270</v>
      </c>
      <c r="N1793" t="s">
        <v>1630</v>
      </c>
      <c r="O1793" s="4">
        <v>45693.8278356481</v>
      </c>
      <c r="P1793" t="s">
        <v>57</v>
      </c>
      <c r="Q1793" t="s">
        <v>1631</v>
      </c>
      <c r="R1793" t="s">
        <v>3924</v>
      </c>
      <c r="T1793" t="s">
        <v>57</v>
      </c>
    </row>
    <row r="1794" ht="25.5" customHeight="1" spans="1:20">
      <c r="A1794" t="s">
        <v>3069</v>
      </c>
      <c r="B1794" t="s">
        <v>56</v>
      </c>
      <c r="C1794" t="s">
        <v>4269</v>
      </c>
      <c r="D1794" s="3"/>
      <c r="E1794" s="2">
        <v>45694</v>
      </c>
      <c r="F1794">
        <v>71700</v>
      </c>
      <c r="G1794">
        <v>1986</v>
      </c>
      <c r="H1794">
        <v>131</v>
      </c>
      <c r="I1794">
        <v>1</v>
      </c>
      <c r="J1794">
        <v>17</v>
      </c>
      <c r="K1794">
        <v>2</v>
      </c>
      <c r="L1794" t="s">
        <v>3248</v>
      </c>
      <c r="M1794" t="s">
        <v>4270</v>
      </c>
      <c r="N1794" t="s">
        <v>1630</v>
      </c>
      <c r="O1794" s="4">
        <v>45698.6216782407</v>
      </c>
      <c r="P1794" t="s">
        <v>57</v>
      </c>
      <c r="Q1794" t="s">
        <v>1631</v>
      </c>
      <c r="R1794" t="s">
        <v>3930</v>
      </c>
      <c r="S1794" t="s">
        <v>3245</v>
      </c>
      <c r="T1794" t="s">
        <v>57</v>
      </c>
    </row>
    <row r="1795" ht="25.5" customHeight="1" spans="1:20">
      <c r="A1795" t="s">
        <v>2806</v>
      </c>
      <c r="B1795" t="s">
        <v>56</v>
      </c>
      <c r="C1795" t="s">
        <v>4274</v>
      </c>
      <c r="D1795" s="3"/>
      <c r="E1795" s="2">
        <v>45672</v>
      </c>
      <c r="F1795">
        <v>34100</v>
      </c>
      <c r="G1795">
        <v>5604</v>
      </c>
      <c r="H1795">
        <v>242</v>
      </c>
      <c r="I1795">
        <v>4</v>
      </c>
      <c r="J1795">
        <v>8</v>
      </c>
      <c r="K1795">
        <v>4</v>
      </c>
      <c r="L1795" t="s">
        <v>3208</v>
      </c>
      <c r="M1795" t="s">
        <v>3666</v>
      </c>
      <c r="N1795" t="s">
        <v>1630</v>
      </c>
      <c r="O1795" s="4">
        <v>45672.5340277778</v>
      </c>
      <c r="P1795" t="s">
        <v>57</v>
      </c>
      <c r="Q1795" t="s">
        <v>2510</v>
      </c>
      <c r="R1795" t="s">
        <v>4275</v>
      </c>
      <c r="T1795" t="s">
        <v>57</v>
      </c>
    </row>
    <row r="1796" ht="25.5" customHeight="1" spans="1:20">
      <c r="A1796" t="s">
        <v>2806</v>
      </c>
      <c r="B1796" t="s">
        <v>56</v>
      </c>
      <c r="C1796" t="s">
        <v>4274</v>
      </c>
      <c r="D1796" s="3"/>
      <c r="E1796" s="2">
        <v>45673</v>
      </c>
      <c r="F1796">
        <v>34100</v>
      </c>
      <c r="G1796">
        <v>15700</v>
      </c>
      <c r="H1796">
        <v>685</v>
      </c>
      <c r="I1796">
        <v>4</v>
      </c>
      <c r="J1796">
        <v>20</v>
      </c>
      <c r="K1796">
        <v>8</v>
      </c>
      <c r="L1796" t="s">
        <v>3208</v>
      </c>
      <c r="M1796" t="s">
        <v>3666</v>
      </c>
      <c r="N1796" t="s">
        <v>1630</v>
      </c>
      <c r="O1796" s="4">
        <v>45673.6222685185</v>
      </c>
      <c r="P1796" t="s">
        <v>57</v>
      </c>
      <c r="Q1796" t="s">
        <v>2510</v>
      </c>
      <c r="R1796" t="s">
        <v>4254</v>
      </c>
      <c r="T1796" t="s">
        <v>57</v>
      </c>
    </row>
    <row r="1797" ht="25.5" customHeight="1" spans="1:20">
      <c r="A1797" t="s">
        <v>2806</v>
      </c>
      <c r="B1797" t="s">
        <v>56</v>
      </c>
      <c r="C1797" t="s">
        <v>4274</v>
      </c>
      <c r="D1797" s="3"/>
      <c r="E1797" s="2">
        <v>45674</v>
      </c>
      <c r="F1797">
        <v>34100</v>
      </c>
      <c r="G1797">
        <v>15700</v>
      </c>
      <c r="H1797">
        <v>685</v>
      </c>
      <c r="I1797">
        <v>4</v>
      </c>
      <c r="J1797">
        <v>20</v>
      </c>
      <c r="K1797">
        <v>8</v>
      </c>
      <c r="L1797" t="s">
        <v>3208</v>
      </c>
      <c r="M1797" t="s">
        <v>3666</v>
      </c>
      <c r="N1797" t="s">
        <v>1630</v>
      </c>
      <c r="O1797" s="4">
        <v>45674.6779398148</v>
      </c>
      <c r="P1797" t="s">
        <v>57</v>
      </c>
      <c r="Q1797" t="s">
        <v>2510</v>
      </c>
      <c r="R1797" t="s">
        <v>4254</v>
      </c>
      <c r="T1797" t="s">
        <v>57</v>
      </c>
    </row>
    <row r="1798" ht="25.5" customHeight="1" spans="1:20">
      <c r="A1798" t="s">
        <v>2806</v>
      </c>
      <c r="B1798" t="s">
        <v>56</v>
      </c>
      <c r="C1798" t="s">
        <v>4274</v>
      </c>
      <c r="D1798" s="3"/>
      <c r="E1798" s="2">
        <v>45677</v>
      </c>
      <c r="F1798">
        <v>34100</v>
      </c>
      <c r="G1798">
        <v>15700</v>
      </c>
      <c r="H1798">
        <v>685</v>
      </c>
      <c r="I1798">
        <v>4</v>
      </c>
      <c r="J1798">
        <v>20</v>
      </c>
      <c r="K1798">
        <v>8</v>
      </c>
      <c r="L1798" t="s">
        <v>3208</v>
      </c>
      <c r="M1798" t="s">
        <v>3666</v>
      </c>
      <c r="N1798" t="s">
        <v>1630</v>
      </c>
      <c r="O1798" s="4">
        <v>45677.4368634259</v>
      </c>
      <c r="P1798" t="s">
        <v>57</v>
      </c>
      <c r="Q1798" t="s">
        <v>2510</v>
      </c>
      <c r="R1798" t="s">
        <v>4254</v>
      </c>
      <c r="T1798" t="s">
        <v>57</v>
      </c>
    </row>
    <row r="1799" ht="25.5" customHeight="1" spans="1:20">
      <c r="A1799" t="s">
        <v>2806</v>
      </c>
      <c r="B1799" t="s">
        <v>56</v>
      </c>
      <c r="C1799" t="s">
        <v>4274</v>
      </c>
      <c r="D1799" s="3"/>
      <c r="E1799" s="2">
        <v>45678</v>
      </c>
      <c r="F1799">
        <v>34100</v>
      </c>
      <c r="G1799">
        <v>15700</v>
      </c>
      <c r="H1799">
        <v>685</v>
      </c>
      <c r="I1799">
        <v>4</v>
      </c>
      <c r="J1799">
        <v>20</v>
      </c>
      <c r="K1799">
        <v>8</v>
      </c>
      <c r="L1799" t="s">
        <v>3208</v>
      </c>
      <c r="M1799" t="s">
        <v>3666</v>
      </c>
      <c r="N1799" t="s">
        <v>1630</v>
      </c>
      <c r="O1799" s="4">
        <v>45678.6585416667</v>
      </c>
      <c r="P1799" t="s">
        <v>57</v>
      </c>
      <c r="Q1799" t="s">
        <v>2510</v>
      </c>
      <c r="R1799" t="s">
        <v>4254</v>
      </c>
      <c r="T1799" t="s">
        <v>57</v>
      </c>
    </row>
    <row r="1800" ht="25.5" customHeight="1" spans="1:20">
      <c r="A1800" t="s">
        <v>2806</v>
      </c>
      <c r="B1800" t="s">
        <v>56</v>
      </c>
      <c r="C1800" t="s">
        <v>4274</v>
      </c>
      <c r="D1800" s="3"/>
      <c r="E1800" s="2">
        <v>45679</v>
      </c>
      <c r="F1800">
        <v>34100</v>
      </c>
      <c r="G1800">
        <v>15700</v>
      </c>
      <c r="H1800">
        <v>684</v>
      </c>
      <c r="I1800">
        <v>4</v>
      </c>
      <c r="J1800">
        <v>20</v>
      </c>
      <c r="K1800">
        <v>8</v>
      </c>
      <c r="L1800" t="s">
        <v>3208</v>
      </c>
      <c r="M1800" t="s">
        <v>3666</v>
      </c>
      <c r="N1800" t="s">
        <v>1630</v>
      </c>
      <c r="O1800" s="4">
        <v>45679.6983912037</v>
      </c>
      <c r="P1800" t="s">
        <v>57</v>
      </c>
      <c r="Q1800" t="s">
        <v>2510</v>
      </c>
      <c r="R1800" t="s">
        <v>4276</v>
      </c>
      <c r="T1800" t="s">
        <v>57</v>
      </c>
    </row>
    <row r="1801" ht="25.5" customHeight="1" spans="1:20">
      <c r="A1801" t="s">
        <v>2806</v>
      </c>
      <c r="B1801" t="s">
        <v>56</v>
      </c>
      <c r="C1801" t="s">
        <v>4274</v>
      </c>
      <c r="D1801" s="3"/>
      <c r="E1801" s="2">
        <v>45680</v>
      </c>
      <c r="F1801">
        <v>34100</v>
      </c>
      <c r="G1801">
        <v>15700</v>
      </c>
      <c r="H1801">
        <v>684</v>
      </c>
      <c r="I1801">
        <v>4</v>
      </c>
      <c r="J1801">
        <v>20</v>
      </c>
      <c r="K1801">
        <v>8</v>
      </c>
      <c r="L1801" t="s">
        <v>3208</v>
      </c>
      <c r="M1801" t="s">
        <v>3666</v>
      </c>
      <c r="N1801" t="s">
        <v>1630</v>
      </c>
      <c r="O1801" s="4">
        <v>45680.6600694444</v>
      </c>
      <c r="P1801" t="s">
        <v>57</v>
      </c>
      <c r="Q1801" t="s">
        <v>2510</v>
      </c>
      <c r="R1801" t="s">
        <v>4276</v>
      </c>
      <c r="T1801" t="s">
        <v>57</v>
      </c>
    </row>
    <row r="1802" ht="25.5" customHeight="1" spans="1:20">
      <c r="A1802" t="s">
        <v>2806</v>
      </c>
      <c r="B1802" t="s">
        <v>56</v>
      </c>
      <c r="C1802" t="s">
        <v>4274</v>
      </c>
      <c r="D1802" s="3"/>
      <c r="E1802" s="2">
        <v>45681</v>
      </c>
      <c r="F1802">
        <v>34100</v>
      </c>
      <c r="G1802">
        <v>15700</v>
      </c>
      <c r="H1802">
        <v>684</v>
      </c>
      <c r="I1802">
        <v>4</v>
      </c>
      <c r="J1802">
        <v>20</v>
      </c>
      <c r="K1802">
        <v>8</v>
      </c>
      <c r="L1802" t="s">
        <v>3208</v>
      </c>
      <c r="M1802" t="s">
        <v>3666</v>
      </c>
      <c r="N1802" t="s">
        <v>1630</v>
      </c>
      <c r="O1802" s="4">
        <v>45681.645</v>
      </c>
      <c r="P1802" t="s">
        <v>57</v>
      </c>
      <c r="Q1802" t="s">
        <v>2510</v>
      </c>
      <c r="R1802" t="s">
        <v>4276</v>
      </c>
      <c r="T1802" t="s">
        <v>57</v>
      </c>
    </row>
    <row r="1803" ht="25.5" customHeight="1" spans="1:20">
      <c r="A1803" t="s">
        <v>2806</v>
      </c>
      <c r="B1803" t="s">
        <v>56</v>
      </c>
      <c r="C1803" t="s">
        <v>4274</v>
      </c>
      <c r="D1803" s="3"/>
      <c r="E1803" s="2">
        <v>45683</v>
      </c>
      <c r="F1803">
        <v>34000</v>
      </c>
      <c r="G1803">
        <v>15700</v>
      </c>
      <c r="H1803">
        <v>684</v>
      </c>
      <c r="I1803">
        <v>4</v>
      </c>
      <c r="J1803">
        <v>20</v>
      </c>
      <c r="K1803">
        <v>8</v>
      </c>
      <c r="L1803" t="s">
        <v>3208</v>
      </c>
      <c r="M1803" t="s">
        <v>3666</v>
      </c>
      <c r="N1803" t="s">
        <v>1630</v>
      </c>
      <c r="O1803" s="4">
        <v>45683.7784027778</v>
      </c>
      <c r="P1803" t="s">
        <v>57</v>
      </c>
      <c r="Q1803" t="s">
        <v>2510</v>
      </c>
      <c r="R1803" t="s">
        <v>4276</v>
      </c>
      <c r="T1803" t="s">
        <v>57</v>
      </c>
    </row>
    <row r="1804" ht="25.5" customHeight="1" spans="1:20">
      <c r="A1804" t="s">
        <v>2806</v>
      </c>
      <c r="B1804" t="s">
        <v>56</v>
      </c>
      <c r="C1804" t="s">
        <v>4274</v>
      </c>
      <c r="D1804" s="3"/>
      <c r="E1804" s="2">
        <v>45684</v>
      </c>
      <c r="F1804">
        <v>34000</v>
      </c>
      <c r="G1804">
        <v>15700</v>
      </c>
      <c r="H1804">
        <v>684</v>
      </c>
      <c r="I1804">
        <v>4</v>
      </c>
      <c r="J1804">
        <v>20</v>
      </c>
      <c r="K1804">
        <v>8</v>
      </c>
      <c r="L1804" t="s">
        <v>3208</v>
      </c>
      <c r="M1804" t="s">
        <v>3666</v>
      </c>
      <c r="N1804" t="s">
        <v>1630</v>
      </c>
      <c r="O1804" s="4">
        <v>45684.8650231482</v>
      </c>
      <c r="P1804" t="s">
        <v>57</v>
      </c>
      <c r="Q1804" t="s">
        <v>2510</v>
      </c>
      <c r="R1804" t="s">
        <v>4276</v>
      </c>
      <c r="T1804" t="s">
        <v>57</v>
      </c>
    </row>
    <row r="1805" ht="25.5" customHeight="1" spans="1:20">
      <c r="A1805" t="s">
        <v>2806</v>
      </c>
      <c r="B1805" t="s">
        <v>56</v>
      </c>
      <c r="C1805" t="s">
        <v>4274</v>
      </c>
      <c r="D1805" s="3"/>
      <c r="E1805" s="2">
        <v>45693</v>
      </c>
      <c r="F1805">
        <v>34000</v>
      </c>
      <c r="G1805">
        <v>15800</v>
      </c>
      <c r="H1805">
        <v>684</v>
      </c>
      <c r="I1805">
        <v>4</v>
      </c>
      <c r="J1805">
        <v>20</v>
      </c>
      <c r="K1805">
        <v>8</v>
      </c>
      <c r="L1805" t="s">
        <v>3208</v>
      </c>
      <c r="M1805" t="s">
        <v>3666</v>
      </c>
      <c r="N1805" t="s">
        <v>1630</v>
      </c>
      <c r="O1805" s="4">
        <v>45693.8284490741</v>
      </c>
      <c r="P1805" t="s">
        <v>57</v>
      </c>
      <c r="Q1805" t="s">
        <v>2510</v>
      </c>
      <c r="R1805" t="s">
        <v>4276</v>
      </c>
      <c r="T1805" t="s">
        <v>57</v>
      </c>
    </row>
    <row r="1806" ht="25.5" customHeight="1" spans="1:20">
      <c r="A1806" t="s">
        <v>2806</v>
      </c>
      <c r="B1806" t="s">
        <v>56</v>
      </c>
      <c r="C1806" t="s">
        <v>4274</v>
      </c>
      <c r="D1806" s="3"/>
      <c r="E1806" s="2">
        <v>45694</v>
      </c>
      <c r="F1806">
        <v>34000</v>
      </c>
      <c r="G1806">
        <v>15800</v>
      </c>
      <c r="H1806">
        <v>684</v>
      </c>
      <c r="I1806">
        <v>4</v>
      </c>
      <c r="J1806">
        <v>20</v>
      </c>
      <c r="K1806">
        <v>8</v>
      </c>
      <c r="L1806" t="s">
        <v>3208</v>
      </c>
      <c r="M1806" t="s">
        <v>3666</v>
      </c>
      <c r="N1806" t="s">
        <v>1630</v>
      </c>
      <c r="O1806" s="4">
        <v>45698.6216782407</v>
      </c>
      <c r="P1806" t="s">
        <v>57</v>
      </c>
      <c r="Q1806" t="s">
        <v>2510</v>
      </c>
      <c r="R1806" t="s">
        <v>4276</v>
      </c>
      <c r="S1806" t="s">
        <v>3180</v>
      </c>
      <c r="T1806" t="s">
        <v>57</v>
      </c>
    </row>
    <row r="1807" ht="25.5" customHeight="1" spans="1:20">
      <c r="A1807" t="s">
        <v>2806</v>
      </c>
      <c r="B1807" t="s">
        <v>56</v>
      </c>
      <c r="C1807" t="s">
        <v>4274</v>
      </c>
      <c r="D1807" s="3"/>
      <c r="E1807" s="2">
        <v>45695</v>
      </c>
      <c r="F1807">
        <v>34000</v>
      </c>
      <c r="G1807">
        <v>15800</v>
      </c>
      <c r="H1807">
        <v>684</v>
      </c>
      <c r="I1807">
        <v>4</v>
      </c>
      <c r="J1807">
        <v>20</v>
      </c>
      <c r="K1807">
        <v>8</v>
      </c>
      <c r="L1807" t="s">
        <v>3208</v>
      </c>
      <c r="M1807" t="s">
        <v>3666</v>
      </c>
      <c r="N1807" t="s">
        <v>1630</v>
      </c>
      <c r="O1807" s="4">
        <v>45695.7228587963</v>
      </c>
      <c r="P1807" t="s">
        <v>57</v>
      </c>
      <c r="Q1807" t="s">
        <v>2510</v>
      </c>
      <c r="R1807" t="s">
        <v>4276</v>
      </c>
      <c r="T1807" t="s">
        <v>57</v>
      </c>
    </row>
    <row r="1808" ht="25.5" customHeight="1" spans="1:20">
      <c r="A1808" t="s">
        <v>2806</v>
      </c>
      <c r="B1808" t="s">
        <v>56</v>
      </c>
      <c r="C1808" t="s">
        <v>4274</v>
      </c>
      <c r="D1808" s="3"/>
      <c r="E1808" s="2">
        <v>45696</v>
      </c>
      <c r="F1808">
        <v>34000</v>
      </c>
      <c r="G1808">
        <v>15800</v>
      </c>
      <c r="H1808">
        <v>684</v>
      </c>
      <c r="I1808">
        <v>4</v>
      </c>
      <c r="J1808">
        <v>20</v>
      </c>
      <c r="K1808">
        <v>8</v>
      </c>
      <c r="L1808" t="s">
        <v>3208</v>
      </c>
      <c r="M1808" t="s">
        <v>3666</v>
      </c>
      <c r="N1808" t="s">
        <v>1630</v>
      </c>
      <c r="O1808" s="4">
        <v>45696.4368402778</v>
      </c>
      <c r="P1808" t="s">
        <v>57</v>
      </c>
      <c r="Q1808" t="s">
        <v>2510</v>
      </c>
      <c r="R1808" t="s">
        <v>4276</v>
      </c>
      <c r="T1808" t="s">
        <v>57</v>
      </c>
    </row>
    <row r="1809" ht="25.5" customHeight="1" spans="1:20">
      <c r="A1809" t="s">
        <v>2553</v>
      </c>
      <c r="B1809" t="s">
        <v>1816</v>
      </c>
      <c r="C1809" t="s">
        <v>4277</v>
      </c>
      <c r="D1809" s="3"/>
      <c r="E1809" s="2">
        <v>45664</v>
      </c>
      <c r="F1809">
        <v>294600</v>
      </c>
      <c r="G1809">
        <v>59600</v>
      </c>
      <c r="H1809">
        <v>150</v>
      </c>
      <c r="I1809">
        <v>15</v>
      </c>
      <c r="J1809">
        <v>181</v>
      </c>
      <c r="K1809">
        <v>44</v>
      </c>
      <c r="L1809" t="s">
        <v>3138</v>
      </c>
      <c r="M1809" t="s">
        <v>4278</v>
      </c>
      <c r="N1809" t="s">
        <v>1630</v>
      </c>
      <c r="O1809" s="4">
        <v>45670.7574652778</v>
      </c>
      <c r="P1809" t="s">
        <v>1817</v>
      </c>
      <c r="Q1809" t="s">
        <v>1631</v>
      </c>
      <c r="R1809" t="s">
        <v>4279</v>
      </c>
      <c r="T1809" t="s">
        <v>1817</v>
      </c>
    </row>
    <row r="1810" ht="25.5" customHeight="1" spans="1:20">
      <c r="A1810" t="s">
        <v>2553</v>
      </c>
      <c r="B1810" t="s">
        <v>1816</v>
      </c>
      <c r="C1810" t="s">
        <v>4277</v>
      </c>
      <c r="D1810" s="3"/>
      <c r="E1810" s="2">
        <v>45665</v>
      </c>
      <c r="F1810">
        <v>294700</v>
      </c>
      <c r="G1810">
        <v>69100</v>
      </c>
      <c r="H1810">
        <v>165</v>
      </c>
      <c r="I1810">
        <v>18</v>
      </c>
      <c r="J1810">
        <v>218</v>
      </c>
      <c r="K1810">
        <v>43</v>
      </c>
      <c r="L1810" t="s">
        <v>3138</v>
      </c>
      <c r="M1810" t="s">
        <v>4278</v>
      </c>
      <c r="N1810" t="s">
        <v>1630</v>
      </c>
      <c r="O1810" s="4">
        <v>45672.5030092593</v>
      </c>
      <c r="P1810" t="s">
        <v>1817</v>
      </c>
      <c r="Q1810" t="s">
        <v>1631</v>
      </c>
      <c r="R1810" t="s">
        <v>3919</v>
      </c>
      <c r="T1810" t="s">
        <v>1817</v>
      </c>
    </row>
    <row r="1811" ht="25.5" customHeight="1" spans="1:20">
      <c r="A1811" t="s">
        <v>2553</v>
      </c>
      <c r="B1811" t="s">
        <v>1816</v>
      </c>
      <c r="C1811" t="s">
        <v>4277</v>
      </c>
      <c r="D1811" s="3"/>
      <c r="E1811" s="2">
        <v>45670</v>
      </c>
      <c r="F1811">
        <v>295000</v>
      </c>
      <c r="G1811">
        <v>73900</v>
      </c>
      <c r="H1811">
        <v>176</v>
      </c>
      <c r="I1811">
        <v>18</v>
      </c>
      <c r="J1811">
        <v>234</v>
      </c>
      <c r="K1811">
        <v>37</v>
      </c>
      <c r="L1811" t="s">
        <v>3138</v>
      </c>
      <c r="M1811" t="s">
        <v>4278</v>
      </c>
      <c r="N1811" t="s">
        <v>1630</v>
      </c>
      <c r="O1811" s="4">
        <v>45672.5030092593</v>
      </c>
      <c r="P1811" t="s">
        <v>1817</v>
      </c>
      <c r="Q1811" t="s">
        <v>1631</v>
      </c>
      <c r="R1811" t="s">
        <v>4280</v>
      </c>
      <c r="T1811" t="s">
        <v>1817</v>
      </c>
    </row>
    <row r="1812" ht="25.5" customHeight="1" spans="1:20">
      <c r="A1812" t="s">
        <v>2553</v>
      </c>
      <c r="B1812" t="s">
        <v>1816</v>
      </c>
      <c r="C1812" t="s">
        <v>4277</v>
      </c>
      <c r="D1812" s="3"/>
      <c r="E1812" s="2">
        <v>45671</v>
      </c>
      <c r="F1812">
        <v>295300</v>
      </c>
      <c r="G1812">
        <v>74100</v>
      </c>
      <c r="H1812">
        <v>176</v>
      </c>
      <c r="I1812">
        <v>18</v>
      </c>
      <c r="J1812">
        <v>234</v>
      </c>
      <c r="K1812">
        <v>37</v>
      </c>
      <c r="L1812" t="s">
        <v>3138</v>
      </c>
      <c r="M1812" t="s">
        <v>4278</v>
      </c>
      <c r="N1812" t="s">
        <v>1630</v>
      </c>
      <c r="O1812" s="4">
        <v>45672.5030092593</v>
      </c>
      <c r="P1812" t="s">
        <v>1817</v>
      </c>
      <c r="Q1812" t="s">
        <v>1631</v>
      </c>
      <c r="R1812" t="s">
        <v>4280</v>
      </c>
      <c r="T1812" t="s">
        <v>1817</v>
      </c>
    </row>
    <row r="1813" ht="25.5" customHeight="1" spans="1:20">
      <c r="A1813" t="s">
        <v>2553</v>
      </c>
      <c r="B1813" t="s">
        <v>1816</v>
      </c>
      <c r="C1813" t="s">
        <v>4277</v>
      </c>
      <c r="D1813" s="3"/>
      <c r="E1813" s="2">
        <v>45672</v>
      </c>
      <c r="F1813">
        <v>295400</v>
      </c>
      <c r="G1813">
        <v>74100</v>
      </c>
      <c r="H1813">
        <v>175</v>
      </c>
      <c r="I1813">
        <v>18</v>
      </c>
      <c r="J1813">
        <v>234</v>
      </c>
      <c r="K1813">
        <v>37</v>
      </c>
      <c r="L1813" t="s">
        <v>3138</v>
      </c>
      <c r="M1813" t="s">
        <v>4278</v>
      </c>
      <c r="N1813" t="s">
        <v>1630</v>
      </c>
      <c r="O1813" s="4">
        <v>45672.7156018519</v>
      </c>
      <c r="P1813" t="s">
        <v>1817</v>
      </c>
      <c r="Q1813" t="s">
        <v>1631</v>
      </c>
      <c r="R1813" t="s">
        <v>4281</v>
      </c>
      <c r="T1813" t="s">
        <v>1817</v>
      </c>
    </row>
    <row r="1814" ht="25.5" customHeight="1" spans="1:20">
      <c r="A1814" t="s">
        <v>2553</v>
      </c>
      <c r="B1814" t="s">
        <v>1816</v>
      </c>
      <c r="C1814" t="s">
        <v>4277</v>
      </c>
      <c r="D1814" s="3"/>
      <c r="E1814" s="2">
        <v>45673</v>
      </c>
      <c r="F1814">
        <v>295600</v>
      </c>
      <c r="G1814">
        <v>74200</v>
      </c>
      <c r="H1814">
        <v>175</v>
      </c>
      <c r="I1814">
        <v>18</v>
      </c>
      <c r="J1814">
        <v>233</v>
      </c>
      <c r="K1814">
        <v>36</v>
      </c>
      <c r="L1814" t="s">
        <v>3138</v>
      </c>
      <c r="M1814" t="s">
        <v>4278</v>
      </c>
      <c r="N1814" t="s">
        <v>1630</v>
      </c>
      <c r="O1814" s="4">
        <v>45673.6291203704</v>
      </c>
      <c r="P1814" t="s">
        <v>1817</v>
      </c>
      <c r="Q1814" t="s">
        <v>1631</v>
      </c>
      <c r="R1814" t="s">
        <v>4282</v>
      </c>
      <c r="T1814" t="s">
        <v>1817</v>
      </c>
    </row>
    <row r="1815" ht="25.5" customHeight="1" spans="1:20">
      <c r="A1815" t="s">
        <v>2553</v>
      </c>
      <c r="B1815" t="s">
        <v>1816</v>
      </c>
      <c r="C1815" t="s">
        <v>4277</v>
      </c>
      <c r="D1815" s="3"/>
      <c r="E1815" s="2">
        <v>45674</v>
      </c>
      <c r="F1815">
        <v>295700</v>
      </c>
      <c r="G1815">
        <v>74300</v>
      </c>
      <c r="H1815">
        <v>177</v>
      </c>
      <c r="I1815">
        <v>18</v>
      </c>
      <c r="J1815">
        <v>233</v>
      </c>
      <c r="K1815">
        <v>36</v>
      </c>
      <c r="L1815" t="s">
        <v>3138</v>
      </c>
      <c r="M1815" t="s">
        <v>4278</v>
      </c>
      <c r="N1815" t="s">
        <v>1630</v>
      </c>
      <c r="O1815" s="4">
        <v>45674.6838078704</v>
      </c>
      <c r="P1815" t="s">
        <v>1817</v>
      </c>
      <c r="Q1815" t="s">
        <v>1631</v>
      </c>
      <c r="R1815" t="s">
        <v>4281</v>
      </c>
      <c r="T1815" t="s">
        <v>1817</v>
      </c>
    </row>
    <row r="1816" ht="25.5" customHeight="1" spans="1:20">
      <c r="A1816" t="s">
        <v>2553</v>
      </c>
      <c r="B1816" t="s">
        <v>1816</v>
      </c>
      <c r="C1816" t="s">
        <v>4277</v>
      </c>
      <c r="D1816" s="3"/>
      <c r="E1816" s="2">
        <v>45677</v>
      </c>
      <c r="F1816">
        <v>296000</v>
      </c>
      <c r="G1816">
        <v>74400</v>
      </c>
      <c r="H1816">
        <v>177</v>
      </c>
      <c r="I1816">
        <v>18</v>
      </c>
      <c r="J1816">
        <v>232</v>
      </c>
      <c r="K1816">
        <v>36</v>
      </c>
      <c r="L1816" t="s">
        <v>3138</v>
      </c>
      <c r="M1816" t="s">
        <v>4278</v>
      </c>
      <c r="N1816" t="s">
        <v>1630</v>
      </c>
      <c r="O1816" s="4">
        <v>45677.4428472222</v>
      </c>
      <c r="P1816" t="s">
        <v>1817</v>
      </c>
      <c r="Q1816" t="s">
        <v>1631</v>
      </c>
      <c r="R1816" t="s">
        <v>3145</v>
      </c>
      <c r="T1816" t="s">
        <v>1817</v>
      </c>
    </row>
    <row r="1817" ht="25.5" customHeight="1" spans="1:20">
      <c r="A1817" t="s">
        <v>2553</v>
      </c>
      <c r="B1817" t="s">
        <v>1816</v>
      </c>
      <c r="C1817" t="s">
        <v>4277</v>
      </c>
      <c r="D1817" s="3"/>
      <c r="E1817" s="2">
        <v>45678</v>
      </c>
      <c r="F1817">
        <v>296000</v>
      </c>
      <c r="G1817">
        <v>74400</v>
      </c>
      <c r="H1817">
        <v>176</v>
      </c>
      <c r="I1817">
        <v>18</v>
      </c>
      <c r="J1817">
        <v>232</v>
      </c>
      <c r="K1817">
        <v>36</v>
      </c>
      <c r="L1817" t="s">
        <v>3138</v>
      </c>
      <c r="M1817" t="s">
        <v>4278</v>
      </c>
      <c r="N1817" t="s">
        <v>1630</v>
      </c>
      <c r="O1817" s="4">
        <v>45678.66875</v>
      </c>
      <c r="P1817" t="s">
        <v>1817</v>
      </c>
      <c r="Q1817" t="s">
        <v>1631</v>
      </c>
      <c r="R1817" t="s">
        <v>4282</v>
      </c>
      <c r="T1817" t="s">
        <v>1817</v>
      </c>
    </row>
    <row r="1818" ht="25.5" customHeight="1" spans="1:20">
      <c r="A1818" t="s">
        <v>2553</v>
      </c>
      <c r="B1818" t="s">
        <v>1816</v>
      </c>
      <c r="C1818" t="s">
        <v>4277</v>
      </c>
      <c r="D1818" s="3"/>
      <c r="E1818" s="2">
        <v>45679</v>
      </c>
      <c r="F1818">
        <v>296000</v>
      </c>
      <c r="G1818">
        <v>74400</v>
      </c>
      <c r="H1818">
        <v>175</v>
      </c>
      <c r="I1818">
        <v>18</v>
      </c>
      <c r="J1818">
        <v>232</v>
      </c>
      <c r="K1818">
        <v>36</v>
      </c>
      <c r="L1818" t="s">
        <v>3138</v>
      </c>
      <c r="M1818" t="s">
        <v>4278</v>
      </c>
      <c r="N1818" t="s">
        <v>1630</v>
      </c>
      <c r="O1818" s="4">
        <v>45679.6534143519</v>
      </c>
      <c r="P1818" t="s">
        <v>1817</v>
      </c>
      <c r="Q1818" t="s">
        <v>1631</v>
      </c>
      <c r="R1818" t="s">
        <v>4283</v>
      </c>
      <c r="T1818" t="s">
        <v>1817</v>
      </c>
    </row>
    <row r="1819" ht="25.5" customHeight="1" spans="1:20">
      <c r="A1819" t="s">
        <v>2553</v>
      </c>
      <c r="B1819" t="s">
        <v>1816</v>
      </c>
      <c r="C1819" t="s">
        <v>4277</v>
      </c>
      <c r="D1819" s="3"/>
      <c r="E1819" s="2">
        <v>45680</v>
      </c>
      <c r="F1819">
        <v>296100</v>
      </c>
      <c r="G1819">
        <v>74500</v>
      </c>
      <c r="H1819">
        <v>176</v>
      </c>
      <c r="I1819">
        <v>18</v>
      </c>
      <c r="J1819">
        <v>232</v>
      </c>
      <c r="K1819">
        <v>36</v>
      </c>
      <c r="L1819" t="s">
        <v>3138</v>
      </c>
      <c r="M1819" t="s">
        <v>4278</v>
      </c>
      <c r="N1819" t="s">
        <v>1630</v>
      </c>
      <c r="O1819" s="4">
        <v>45680.6692013889</v>
      </c>
      <c r="P1819" t="s">
        <v>1817</v>
      </c>
      <c r="Q1819" t="s">
        <v>1631</v>
      </c>
      <c r="R1819" t="s">
        <v>4282</v>
      </c>
      <c r="T1819" t="s">
        <v>1817</v>
      </c>
    </row>
    <row r="1820" ht="25.5" customHeight="1" spans="1:20">
      <c r="A1820" t="s">
        <v>2553</v>
      </c>
      <c r="B1820" t="s">
        <v>1816</v>
      </c>
      <c r="C1820" t="s">
        <v>4277</v>
      </c>
      <c r="D1820" s="3"/>
      <c r="E1820" s="2">
        <v>45681</v>
      </c>
      <c r="F1820">
        <v>296200</v>
      </c>
      <c r="G1820">
        <v>74500</v>
      </c>
      <c r="H1820">
        <v>176</v>
      </c>
      <c r="I1820">
        <v>18</v>
      </c>
      <c r="J1820">
        <v>232</v>
      </c>
      <c r="K1820">
        <v>36</v>
      </c>
      <c r="L1820" t="s">
        <v>3138</v>
      </c>
      <c r="M1820" t="s">
        <v>4278</v>
      </c>
      <c r="N1820" t="s">
        <v>1630</v>
      </c>
      <c r="O1820" s="4">
        <v>45681.6545601852</v>
      </c>
      <c r="P1820" t="s">
        <v>1817</v>
      </c>
      <c r="Q1820" t="s">
        <v>1631</v>
      </c>
      <c r="R1820" t="s">
        <v>4282</v>
      </c>
      <c r="T1820" t="s">
        <v>1817</v>
      </c>
    </row>
    <row r="1821" ht="25.5" customHeight="1" spans="1:20">
      <c r="A1821" t="s">
        <v>2553</v>
      </c>
      <c r="B1821" t="s">
        <v>1816</v>
      </c>
      <c r="C1821" t="s">
        <v>4277</v>
      </c>
      <c r="D1821" s="3"/>
      <c r="E1821" s="2">
        <v>45683</v>
      </c>
      <c r="F1821">
        <v>296400</v>
      </c>
      <c r="G1821">
        <v>74500</v>
      </c>
      <c r="H1821">
        <v>176</v>
      </c>
      <c r="I1821">
        <v>18</v>
      </c>
      <c r="J1821">
        <v>228</v>
      </c>
      <c r="K1821">
        <v>36</v>
      </c>
      <c r="L1821" t="s">
        <v>3138</v>
      </c>
      <c r="M1821" t="s">
        <v>4278</v>
      </c>
      <c r="N1821" t="s">
        <v>1630</v>
      </c>
      <c r="O1821" s="4">
        <v>45683.7965162037</v>
      </c>
      <c r="P1821" t="s">
        <v>1817</v>
      </c>
      <c r="Q1821" t="s">
        <v>1631</v>
      </c>
      <c r="R1821" t="s">
        <v>4284</v>
      </c>
      <c r="T1821" t="s">
        <v>1817</v>
      </c>
    </row>
    <row r="1822" ht="25.5" customHeight="1" spans="1:20">
      <c r="A1822" t="s">
        <v>2553</v>
      </c>
      <c r="B1822" t="s">
        <v>1816</v>
      </c>
      <c r="C1822" t="s">
        <v>4277</v>
      </c>
      <c r="D1822" s="3"/>
      <c r="E1822" s="2">
        <v>45684</v>
      </c>
      <c r="F1822">
        <v>296400</v>
      </c>
      <c r="G1822">
        <v>74500</v>
      </c>
      <c r="H1822">
        <v>176</v>
      </c>
      <c r="I1822">
        <v>18</v>
      </c>
      <c r="J1822">
        <v>228</v>
      </c>
      <c r="K1822">
        <v>36</v>
      </c>
      <c r="L1822" t="s">
        <v>3138</v>
      </c>
      <c r="M1822" t="s">
        <v>4278</v>
      </c>
      <c r="N1822" t="s">
        <v>1630</v>
      </c>
      <c r="O1822" s="4">
        <v>45684.7594791667</v>
      </c>
      <c r="P1822" t="s">
        <v>1817</v>
      </c>
      <c r="Q1822" t="s">
        <v>1631</v>
      </c>
      <c r="R1822" t="s">
        <v>4284</v>
      </c>
      <c r="T1822" t="s">
        <v>1817</v>
      </c>
    </row>
    <row r="1823" ht="25.5" customHeight="1" spans="1:20">
      <c r="A1823" t="s">
        <v>2553</v>
      </c>
      <c r="B1823" t="s">
        <v>1816</v>
      </c>
      <c r="C1823" t="s">
        <v>4277</v>
      </c>
      <c r="D1823" s="3"/>
      <c r="E1823" s="2">
        <v>45693</v>
      </c>
      <c r="F1823">
        <v>297300</v>
      </c>
      <c r="G1823">
        <v>74700</v>
      </c>
      <c r="H1823">
        <v>176</v>
      </c>
      <c r="I1823">
        <v>18</v>
      </c>
      <c r="J1823">
        <v>227</v>
      </c>
      <c r="K1823">
        <v>36</v>
      </c>
      <c r="L1823" t="s">
        <v>3138</v>
      </c>
      <c r="M1823" t="s">
        <v>4278</v>
      </c>
      <c r="N1823" t="s">
        <v>1630</v>
      </c>
      <c r="O1823" s="4">
        <v>45693.8378935185</v>
      </c>
      <c r="P1823" t="s">
        <v>1817</v>
      </c>
      <c r="Q1823" t="s">
        <v>1631</v>
      </c>
      <c r="R1823" t="s">
        <v>4285</v>
      </c>
      <c r="T1823" t="s">
        <v>1817</v>
      </c>
    </row>
    <row r="1824" ht="25.5" customHeight="1" spans="1:20">
      <c r="A1824" t="s">
        <v>2553</v>
      </c>
      <c r="B1824" t="s">
        <v>1816</v>
      </c>
      <c r="C1824" t="s">
        <v>4277</v>
      </c>
      <c r="D1824" s="3"/>
      <c r="E1824" s="2">
        <v>45694</v>
      </c>
      <c r="F1824">
        <v>297400</v>
      </c>
      <c r="G1824">
        <v>74700</v>
      </c>
      <c r="H1824">
        <v>176</v>
      </c>
      <c r="I1824">
        <v>18</v>
      </c>
      <c r="J1824">
        <v>227</v>
      </c>
      <c r="K1824">
        <v>36</v>
      </c>
      <c r="L1824" t="s">
        <v>3138</v>
      </c>
      <c r="M1824" t="s">
        <v>4278</v>
      </c>
      <c r="N1824" t="s">
        <v>1630</v>
      </c>
      <c r="O1824" s="4">
        <v>45698.6216782407</v>
      </c>
      <c r="P1824" t="s">
        <v>1817</v>
      </c>
      <c r="Q1824" t="s">
        <v>1631</v>
      </c>
      <c r="R1824" t="s">
        <v>4285</v>
      </c>
      <c r="S1824" t="s">
        <v>3245</v>
      </c>
      <c r="T1824" t="s">
        <v>1817</v>
      </c>
    </row>
    <row r="1825" ht="25.5" customHeight="1" spans="1:20">
      <c r="A1825" t="s">
        <v>1505</v>
      </c>
      <c r="B1825" t="s">
        <v>56</v>
      </c>
      <c r="C1825" t="s">
        <v>4286</v>
      </c>
      <c r="D1825" s="3"/>
      <c r="E1825" s="2">
        <v>45677</v>
      </c>
      <c r="F1825">
        <v>328900</v>
      </c>
      <c r="G1825">
        <v>6073</v>
      </c>
      <c r="H1825">
        <v>182</v>
      </c>
      <c r="I1825">
        <v>5</v>
      </c>
      <c r="J1825">
        <v>120</v>
      </c>
      <c r="K1825">
        <v>15</v>
      </c>
      <c r="L1825" t="s">
        <v>3284</v>
      </c>
      <c r="M1825" t="s">
        <v>3378</v>
      </c>
      <c r="N1825" t="s">
        <v>1630</v>
      </c>
      <c r="O1825" s="4">
        <v>45677.7258217593</v>
      </c>
      <c r="P1825" t="s">
        <v>57</v>
      </c>
      <c r="Q1825" t="s">
        <v>97</v>
      </c>
      <c r="R1825" t="s">
        <v>4127</v>
      </c>
      <c r="T1825" t="s">
        <v>57</v>
      </c>
    </row>
    <row r="1826" ht="25.5" customHeight="1" spans="1:20">
      <c r="A1826" t="s">
        <v>1505</v>
      </c>
      <c r="B1826" t="s">
        <v>56</v>
      </c>
      <c r="C1826" t="s">
        <v>4286</v>
      </c>
      <c r="D1826" s="3"/>
      <c r="E1826" s="2">
        <v>45678</v>
      </c>
      <c r="F1826">
        <v>329400</v>
      </c>
      <c r="G1826">
        <v>6450</v>
      </c>
      <c r="H1826">
        <v>187</v>
      </c>
      <c r="I1826">
        <v>6</v>
      </c>
      <c r="J1826">
        <v>124</v>
      </c>
      <c r="K1826">
        <v>15</v>
      </c>
      <c r="L1826" t="s">
        <v>3284</v>
      </c>
      <c r="M1826" t="s">
        <v>3378</v>
      </c>
      <c r="N1826" t="s">
        <v>1630</v>
      </c>
      <c r="O1826" s="4">
        <v>45678.6587615741</v>
      </c>
      <c r="P1826" t="s">
        <v>57</v>
      </c>
      <c r="Q1826" t="s">
        <v>97</v>
      </c>
      <c r="R1826" t="s">
        <v>4287</v>
      </c>
      <c r="T1826" t="s">
        <v>57</v>
      </c>
    </row>
    <row r="1827" ht="25.5" customHeight="1" spans="1:20">
      <c r="A1827" t="s">
        <v>1505</v>
      </c>
      <c r="B1827" t="s">
        <v>56</v>
      </c>
      <c r="C1827" t="s">
        <v>4286</v>
      </c>
      <c r="D1827" s="3"/>
      <c r="E1827" s="2">
        <v>45679</v>
      </c>
      <c r="F1827">
        <v>329900</v>
      </c>
      <c r="G1827">
        <v>6791</v>
      </c>
      <c r="H1827">
        <v>200</v>
      </c>
      <c r="I1827">
        <v>6</v>
      </c>
      <c r="J1827">
        <v>127</v>
      </c>
      <c r="K1827">
        <v>15</v>
      </c>
      <c r="L1827" t="s">
        <v>3284</v>
      </c>
      <c r="M1827" t="s">
        <v>3378</v>
      </c>
      <c r="N1827" t="s">
        <v>1630</v>
      </c>
      <c r="O1827" s="4">
        <v>45679.6985648148</v>
      </c>
      <c r="P1827" t="s">
        <v>57</v>
      </c>
      <c r="Q1827" t="s">
        <v>97</v>
      </c>
      <c r="R1827" t="s">
        <v>4288</v>
      </c>
      <c r="T1827" t="s">
        <v>57</v>
      </c>
    </row>
    <row r="1828" ht="25.5" customHeight="1" spans="1:20">
      <c r="A1828" t="s">
        <v>1505</v>
      </c>
      <c r="B1828" t="s">
        <v>56</v>
      </c>
      <c r="C1828" t="s">
        <v>4286</v>
      </c>
      <c r="D1828" s="3"/>
      <c r="E1828" s="2">
        <v>45680</v>
      </c>
      <c r="F1828">
        <v>330400</v>
      </c>
      <c r="G1828">
        <v>7118</v>
      </c>
      <c r="H1828">
        <v>208</v>
      </c>
      <c r="I1828">
        <v>6</v>
      </c>
      <c r="J1828">
        <v>133</v>
      </c>
      <c r="K1828">
        <v>16</v>
      </c>
      <c r="L1828" t="s">
        <v>3284</v>
      </c>
      <c r="M1828" t="s">
        <v>3378</v>
      </c>
      <c r="N1828" t="s">
        <v>1630</v>
      </c>
      <c r="O1828" s="4">
        <v>45680.6604513889</v>
      </c>
      <c r="P1828" t="s">
        <v>57</v>
      </c>
      <c r="Q1828" t="s">
        <v>97</v>
      </c>
      <c r="R1828" t="s">
        <v>4008</v>
      </c>
      <c r="T1828" t="s">
        <v>57</v>
      </c>
    </row>
    <row r="1829" ht="25.5" customHeight="1" spans="1:20">
      <c r="A1829" t="s">
        <v>1505</v>
      </c>
      <c r="B1829" t="s">
        <v>56</v>
      </c>
      <c r="C1829" t="s">
        <v>4286</v>
      </c>
      <c r="D1829" s="3"/>
      <c r="E1829" s="2">
        <v>45681</v>
      </c>
      <c r="F1829">
        <v>331000</v>
      </c>
      <c r="G1829">
        <v>7419</v>
      </c>
      <c r="H1829">
        <v>215</v>
      </c>
      <c r="I1829">
        <v>6</v>
      </c>
      <c r="J1829">
        <v>139</v>
      </c>
      <c r="K1829">
        <v>16</v>
      </c>
      <c r="L1829" t="s">
        <v>3284</v>
      </c>
      <c r="M1829" t="s">
        <v>3378</v>
      </c>
      <c r="N1829" t="s">
        <v>1630</v>
      </c>
      <c r="O1829" s="4">
        <v>45681.6456712963</v>
      </c>
      <c r="P1829" t="s">
        <v>57</v>
      </c>
      <c r="Q1829" t="s">
        <v>97</v>
      </c>
      <c r="R1829" t="s">
        <v>4289</v>
      </c>
      <c r="T1829" t="s">
        <v>57</v>
      </c>
    </row>
    <row r="1830" ht="25.5" customHeight="1" spans="1:20">
      <c r="A1830" t="s">
        <v>1505</v>
      </c>
      <c r="B1830" t="s">
        <v>56</v>
      </c>
      <c r="C1830" t="s">
        <v>4286</v>
      </c>
      <c r="D1830" s="3"/>
      <c r="E1830" s="2">
        <v>45683</v>
      </c>
      <c r="F1830">
        <v>332700</v>
      </c>
      <c r="G1830">
        <v>8254</v>
      </c>
      <c r="H1830">
        <v>232</v>
      </c>
      <c r="I1830">
        <v>6</v>
      </c>
      <c r="J1830">
        <v>152</v>
      </c>
      <c r="K1830">
        <v>20</v>
      </c>
      <c r="L1830" t="s">
        <v>3284</v>
      </c>
      <c r="M1830" t="s">
        <v>3378</v>
      </c>
      <c r="N1830" t="s">
        <v>1630</v>
      </c>
      <c r="O1830" s="4">
        <v>45683.7786921296</v>
      </c>
      <c r="P1830" t="s">
        <v>57</v>
      </c>
      <c r="Q1830" t="s">
        <v>97</v>
      </c>
      <c r="R1830" t="s">
        <v>3379</v>
      </c>
      <c r="T1830" t="s">
        <v>57</v>
      </c>
    </row>
    <row r="1831" ht="25.5" customHeight="1" spans="1:20">
      <c r="A1831" t="s">
        <v>1505</v>
      </c>
      <c r="B1831" t="s">
        <v>56</v>
      </c>
      <c r="C1831" t="s">
        <v>4286</v>
      </c>
      <c r="D1831" s="3"/>
      <c r="E1831" s="2">
        <v>45684</v>
      </c>
      <c r="F1831">
        <v>333500</v>
      </c>
      <c r="G1831">
        <v>8749</v>
      </c>
      <c r="H1831">
        <v>241</v>
      </c>
      <c r="I1831">
        <v>6</v>
      </c>
      <c r="J1831">
        <v>162</v>
      </c>
      <c r="K1831">
        <v>20</v>
      </c>
      <c r="L1831" t="s">
        <v>3284</v>
      </c>
      <c r="M1831" t="s">
        <v>3378</v>
      </c>
      <c r="N1831" t="s">
        <v>1630</v>
      </c>
      <c r="O1831" s="4">
        <v>45684.8652893519</v>
      </c>
      <c r="P1831" t="s">
        <v>57</v>
      </c>
      <c r="Q1831" t="s">
        <v>97</v>
      </c>
      <c r="R1831" t="s">
        <v>4290</v>
      </c>
      <c r="T1831" t="s">
        <v>57</v>
      </c>
    </row>
    <row r="1832" ht="25.5" customHeight="1" spans="1:20">
      <c r="A1832" t="s">
        <v>1505</v>
      </c>
      <c r="B1832" t="s">
        <v>56</v>
      </c>
      <c r="C1832" t="s">
        <v>4286</v>
      </c>
      <c r="D1832" s="3"/>
      <c r="E1832" s="2">
        <v>45693</v>
      </c>
      <c r="F1832">
        <v>337600</v>
      </c>
      <c r="G1832">
        <v>11100</v>
      </c>
      <c r="H1832">
        <v>296</v>
      </c>
      <c r="I1832">
        <v>6</v>
      </c>
      <c r="J1832">
        <v>184</v>
      </c>
      <c r="K1832">
        <v>29</v>
      </c>
      <c r="L1832" t="s">
        <v>3284</v>
      </c>
      <c r="M1832" t="s">
        <v>3378</v>
      </c>
      <c r="N1832" t="s">
        <v>1630</v>
      </c>
      <c r="O1832" s="4">
        <v>45693.8286342593</v>
      </c>
      <c r="P1832" t="s">
        <v>57</v>
      </c>
      <c r="Q1832" t="s">
        <v>97</v>
      </c>
      <c r="R1832" t="s">
        <v>4291</v>
      </c>
      <c r="T1832" t="s">
        <v>57</v>
      </c>
    </row>
    <row r="1833" ht="25.5" customHeight="1" spans="1:20">
      <c r="A1833" t="s">
        <v>1505</v>
      </c>
      <c r="B1833" t="s">
        <v>56</v>
      </c>
      <c r="C1833" t="s">
        <v>4286</v>
      </c>
      <c r="D1833" s="3"/>
      <c r="E1833" s="2">
        <v>45694</v>
      </c>
      <c r="F1833">
        <v>337800</v>
      </c>
      <c r="G1833">
        <v>11200</v>
      </c>
      <c r="H1833">
        <v>298</v>
      </c>
      <c r="I1833">
        <v>6</v>
      </c>
      <c r="J1833">
        <v>184</v>
      </c>
      <c r="K1833">
        <v>29</v>
      </c>
      <c r="L1833" t="s">
        <v>3284</v>
      </c>
      <c r="M1833" t="s">
        <v>3378</v>
      </c>
      <c r="N1833" t="s">
        <v>1630</v>
      </c>
      <c r="O1833" s="4">
        <v>45698.6216782407</v>
      </c>
      <c r="P1833" t="s">
        <v>57</v>
      </c>
      <c r="Q1833" t="s">
        <v>97</v>
      </c>
      <c r="R1833" t="s">
        <v>4292</v>
      </c>
      <c r="S1833" t="s">
        <v>3245</v>
      </c>
      <c r="T1833" t="s">
        <v>57</v>
      </c>
    </row>
    <row r="1834" ht="25.5" customHeight="1" spans="1:20">
      <c r="A1834" t="s">
        <v>1505</v>
      </c>
      <c r="B1834" t="s">
        <v>56</v>
      </c>
      <c r="C1834" t="s">
        <v>4286</v>
      </c>
      <c r="D1834" s="3"/>
      <c r="E1834" s="2">
        <v>45695</v>
      </c>
      <c r="F1834">
        <v>338100</v>
      </c>
      <c r="G1834">
        <v>11400</v>
      </c>
      <c r="H1834">
        <v>303</v>
      </c>
      <c r="I1834">
        <v>6</v>
      </c>
      <c r="J1834">
        <v>185</v>
      </c>
      <c r="K1834">
        <v>29</v>
      </c>
      <c r="L1834" t="s">
        <v>3284</v>
      </c>
      <c r="M1834" t="s">
        <v>3378</v>
      </c>
      <c r="N1834" t="s">
        <v>1630</v>
      </c>
      <c r="O1834" s="4">
        <v>45695.7231597222</v>
      </c>
      <c r="P1834" t="s">
        <v>57</v>
      </c>
      <c r="Q1834" t="s">
        <v>97</v>
      </c>
      <c r="R1834" t="s">
        <v>4293</v>
      </c>
      <c r="T1834" t="s">
        <v>57</v>
      </c>
    </row>
    <row r="1835" ht="25.5" customHeight="1" spans="1:20">
      <c r="A1835" t="s">
        <v>1505</v>
      </c>
      <c r="B1835" t="s">
        <v>56</v>
      </c>
      <c r="C1835" t="s">
        <v>4286</v>
      </c>
      <c r="D1835" s="3"/>
      <c r="E1835" s="2">
        <v>45696</v>
      </c>
      <c r="F1835">
        <v>338400</v>
      </c>
      <c r="G1835">
        <v>11600</v>
      </c>
      <c r="H1835">
        <v>309</v>
      </c>
      <c r="I1835">
        <v>6</v>
      </c>
      <c r="J1835">
        <v>187</v>
      </c>
      <c r="K1835">
        <v>31</v>
      </c>
      <c r="L1835" t="s">
        <v>3284</v>
      </c>
      <c r="M1835" t="s">
        <v>3378</v>
      </c>
      <c r="N1835" t="s">
        <v>1630</v>
      </c>
      <c r="O1835" s="4">
        <v>45696.437025463</v>
      </c>
      <c r="P1835" t="s">
        <v>57</v>
      </c>
      <c r="Q1835" t="s">
        <v>97</v>
      </c>
      <c r="R1835" t="s">
        <v>4036</v>
      </c>
      <c r="T1835" t="s">
        <v>57</v>
      </c>
    </row>
    <row r="1836" ht="25.5" customHeight="1" spans="1:20">
      <c r="A1836" t="s">
        <v>2913</v>
      </c>
      <c r="B1836" t="s">
        <v>65</v>
      </c>
      <c r="C1836" t="s">
        <v>4294</v>
      </c>
      <c r="D1836" s="3"/>
      <c r="E1836" s="2">
        <v>45683</v>
      </c>
      <c r="F1836">
        <v>141000</v>
      </c>
      <c r="H1836">
        <v>12</v>
      </c>
      <c r="I1836">
        <v>0</v>
      </c>
      <c r="L1836" t="s">
        <v>3138</v>
      </c>
      <c r="M1836" t="s">
        <v>3270</v>
      </c>
      <c r="N1836" t="s">
        <v>1630</v>
      </c>
      <c r="O1836" s="4">
        <v>45683.7325694444</v>
      </c>
      <c r="P1836" t="s">
        <v>66</v>
      </c>
      <c r="Q1836" t="s">
        <v>97</v>
      </c>
      <c r="R1836" t="s">
        <v>3859</v>
      </c>
      <c r="T1836" t="s">
        <v>66</v>
      </c>
    </row>
    <row r="1837" ht="25.5" customHeight="1" spans="1:20">
      <c r="A1837" t="s">
        <v>2913</v>
      </c>
      <c r="B1837" t="s">
        <v>65</v>
      </c>
      <c r="C1837" t="s">
        <v>4294</v>
      </c>
      <c r="D1837" s="3"/>
      <c r="E1837" s="2">
        <v>45684</v>
      </c>
      <c r="F1837">
        <v>141000</v>
      </c>
      <c r="H1837">
        <v>12</v>
      </c>
      <c r="I1837">
        <v>0</v>
      </c>
      <c r="L1837" t="s">
        <v>3138</v>
      </c>
      <c r="M1837" t="s">
        <v>3270</v>
      </c>
      <c r="N1837" t="s">
        <v>1630</v>
      </c>
      <c r="O1837" s="4">
        <v>45684.7818055556</v>
      </c>
      <c r="P1837" t="s">
        <v>66</v>
      </c>
      <c r="Q1837" t="s">
        <v>97</v>
      </c>
      <c r="R1837" t="s">
        <v>3859</v>
      </c>
      <c r="T1837" t="s">
        <v>66</v>
      </c>
    </row>
    <row r="1838" ht="25.5" customHeight="1" spans="1:20">
      <c r="A1838" t="s">
        <v>2913</v>
      </c>
      <c r="B1838" t="s">
        <v>65</v>
      </c>
      <c r="C1838" t="s">
        <v>4294</v>
      </c>
      <c r="D1838" s="3" t="str">
        <f>HYPERLINK("https://www.instagram.com/techtabloid/","https://www.instagram.com/techtabloid/")</f>
        <v>https://www.instagram.com/techtabloid/</v>
      </c>
      <c r="E1838" s="2">
        <v>45693</v>
      </c>
      <c r="F1838">
        <v>141000</v>
      </c>
      <c r="H1838">
        <v>12</v>
      </c>
      <c r="I1838">
        <v>0</v>
      </c>
      <c r="L1838" t="s">
        <v>3138</v>
      </c>
      <c r="M1838" t="s">
        <v>3270</v>
      </c>
      <c r="N1838" t="s">
        <v>1630</v>
      </c>
      <c r="O1838" s="4">
        <v>45695.491875</v>
      </c>
      <c r="P1838" t="s">
        <v>66</v>
      </c>
      <c r="Q1838" t="s">
        <v>97</v>
      </c>
      <c r="R1838" t="s">
        <v>3859</v>
      </c>
      <c r="T1838" t="s">
        <v>66</v>
      </c>
    </row>
    <row r="1839" ht="25.5" customHeight="1" spans="1:20">
      <c r="A1839" t="s">
        <v>2913</v>
      </c>
      <c r="B1839" t="s">
        <v>65</v>
      </c>
      <c r="C1839" t="s">
        <v>4294</v>
      </c>
      <c r="D1839" s="3"/>
      <c r="E1839" s="2">
        <v>45694</v>
      </c>
      <c r="F1839">
        <v>141000</v>
      </c>
      <c r="H1839">
        <v>12</v>
      </c>
      <c r="I1839">
        <v>0</v>
      </c>
      <c r="L1839" t="s">
        <v>3138</v>
      </c>
      <c r="M1839" t="s">
        <v>3270</v>
      </c>
      <c r="N1839" t="s">
        <v>1630</v>
      </c>
      <c r="O1839" s="4">
        <v>45698.6216782407</v>
      </c>
      <c r="P1839" t="s">
        <v>66</v>
      </c>
      <c r="Q1839" t="s">
        <v>97</v>
      </c>
      <c r="R1839" t="s">
        <v>3859</v>
      </c>
      <c r="S1839" t="s">
        <v>3245</v>
      </c>
      <c r="T1839" t="s">
        <v>66</v>
      </c>
    </row>
    <row r="1840" ht="25.5" customHeight="1" spans="1:20">
      <c r="A1840" t="s">
        <v>2913</v>
      </c>
      <c r="B1840" t="s">
        <v>65</v>
      </c>
      <c r="C1840" t="s">
        <v>4294</v>
      </c>
      <c r="D1840" s="3"/>
      <c r="E1840" s="2">
        <v>45695</v>
      </c>
      <c r="F1840">
        <v>141000</v>
      </c>
      <c r="H1840">
        <v>12</v>
      </c>
      <c r="L1840" t="s">
        <v>3138</v>
      </c>
      <c r="M1840" t="s">
        <v>3270</v>
      </c>
      <c r="N1840" t="s">
        <v>1630</v>
      </c>
      <c r="O1840" s="4">
        <v>45695.4917708333</v>
      </c>
      <c r="P1840" t="s">
        <v>66</v>
      </c>
      <c r="Q1840" t="s">
        <v>97</v>
      </c>
      <c r="R1840" t="s">
        <v>3859</v>
      </c>
      <c r="T1840" t="s">
        <v>66</v>
      </c>
    </row>
    <row r="1841" ht="25.5" customHeight="1" spans="1:20">
      <c r="A1841" t="s">
        <v>2913</v>
      </c>
      <c r="B1841" t="s">
        <v>65</v>
      </c>
      <c r="C1841" t="s">
        <v>4294</v>
      </c>
      <c r="D1841" s="3"/>
      <c r="E1841" s="2">
        <v>45696</v>
      </c>
      <c r="F1841">
        <v>141000</v>
      </c>
      <c r="H1841">
        <v>12</v>
      </c>
      <c r="L1841" t="s">
        <v>3138</v>
      </c>
      <c r="M1841" t="s">
        <v>3270</v>
      </c>
      <c r="N1841" t="s">
        <v>1630</v>
      </c>
      <c r="O1841" s="4">
        <v>45696.4507986111</v>
      </c>
      <c r="P1841" t="s">
        <v>66</v>
      </c>
      <c r="Q1841" t="s">
        <v>97</v>
      </c>
      <c r="R1841" t="s">
        <v>3859</v>
      </c>
      <c r="T1841" t="s">
        <v>66</v>
      </c>
    </row>
    <row r="1842" ht="25.5" customHeight="1" spans="1:20">
      <c r="A1842" t="s">
        <v>2618</v>
      </c>
      <c r="B1842" t="s">
        <v>56</v>
      </c>
      <c r="C1842" t="s">
        <v>4295</v>
      </c>
      <c r="D1842" s="3"/>
      <c r="E1842" s="2">
        <v>45671</v>
      </c>
      <c r="F1842">
        <v>43800</v>
      </c>
      <c r="G1842">
        <v>154</v>
      </c>
      <c r="H1842">
        <v>8</v>
      </c>
      <c r="I1842">
        <v>0</v>
      </c>
      <c r="J1842">
        <v>2</v>
      </c>
      <c r="K1842">
        <v>0</v>
      </c>
      <c r="L1842" t="s">
        <v>3195</v>
      </c>
      <c r="M1842" t="s">
        <v>4296</v>
      </c>
      <c r="N1842" t="s">
        <v>1630</v>
      </c>
      <c r="O1842" s="4">
        <v>45671.7062962963</v>
      </c>
      <c r="P1842" t="s">
        <v>57</v>
      </c>
      <c r="Q1842" t="s">
        <v>1913</v>
      </c>
      <c r="R1842" t="s">
        <v>3945</v>
      </c>
      <c r="T1842" t="s">
        <v>57</v>
      </c>
    </row>
    <row r="1843" ht="25.5" customHeight="1" spans="1:20">
      <c r="A1843" t="s">
        <v>2618</v>
      </c>
      <c r="B1843" t="s">
        <v>56</v>
      </c>
      <c r="C1843" t="s">
        <v>4295</v>
      </c>
      <c r="D1843" s="3"/>
      <c r="E1843" s="2">
        <v>45672</v>
      </c>
      <c r="F1843">
        <v>43800</v>
      </c>
      <c r="G1843">
        <v>371</v>
      </c>
      <c r="H1843">
        <v>17</v>
      </c>
      <c r="I1843">
        <v>0</v>
      </c>
      <c r="J1843">
        <v>5</v>
      </c>
      <c r="K1843">
        <v>7</v>
      </c>
      <c r="L1843" t="s">
        <v>3258</v>
      </c>
      <c r="M1843" t="s">
        <v>4296</v>
      </c>
      <c r="N1843" t="s">
        <v>1630</v>
      </c>
      <c r="O1843" s="4">
        <v>45672.5315046296</v>
      </c>
      <c r="P1843" t="s">
        <v>57</v>
      </c>
      <c r="Q1843" t="s">
        <v>1913</v>
      </c>
      <c r="R1843" t="s">
        <v>3986</v>
      </c>
      <c r="T1843" t="s">
        <v>57</v>
      </c>
    </row>
    <row r="1844" ht="25.5" customHeight="1" spans="1:20">
      <c r="A1844" t="s">
        <v>2618</v>
      </c>
      <c r="B1844" t="s">
        <v>56</v>
      </c>
      <c r="C1844" t="s">
        <v>4295</v>
      </c>
      <c r="D1844" s="3"/>
      <c r="E1844" s="2">
        <v>45673</v>
      </c>
      <c r="F1844">
        <v>43900</v>
      </c>
      <c r="G1844">
        <v>456</v>
      </c>
      <c r="H1844">
        <v>17</v>
      </c>
      <c r="I1844">
        <v>0</v>
      </c>
      <c r="J1844">
        <v>6</v>
      </c>
      <c r="K1844">
        <v>7</v>
      </c>
      <c r="L1844" t="s">
        <v>3195</v>
      </c>
      <c r="M1844" t="s">
        <v>4296</v>
      </c>
      <c r="N1844" t="s">
        <v>1630</v>
      </c>
      <c r="O1844" s="4">
        <v>45673.6224537037</v>
      </c>
      <c r="P1844" t="s">
        <v>57</v>
      </c>
      <c r="Q1844" t="s">
        <v>1913</v>
      </c>
      <c r="R1844" t="s">
        <v>3987</v>
      </c>
      <c r="T1844" t="s">
        <v>57</v>
      </c>
    </row>
    <row r="1845" ht="25.5" customHeight="1" spans="1:20">
      <c r="A1845" t="s">
        <v>2618</v>
      </c>
      <c r="B1845" t="s">
        <v>56</v>
      </c>
      <c r="C1845" t="s">
        <v>4295</v>
      </c>
      <c r="D1845" s="3"/>
      <c r="E1845" s="2">
        <v>45674</v>
      </c>
      <c r="F1845">
        <v>44000</v>
      </c>
      <c r="G1845">
        <v>529</v>
      </c>
      <c r="H1845">
        <v>19</v>
      </c>
      <c r="I1845">
        <v>0</v>
      </c>
      <c r="J1845">
        <v>6</v>
      </c>
      <c r="K1845">
        <v>7</v>
      </c>
      <c r="L1845" t="s">
        <v>3195</v>
      </c>
      <c r="M1845" t="s">
        <v>4296</v>
      </c>
      <c r="N1845" t="s">
        <v>1630</v>
      </c>
      <c r="O1845" s="4">
        <v>45674.6781134259</v>
      </c>
      <c r="P1845" t="s">
        <v>57</v>
      </c>
      <c r="Q1845" t="s">
        <v>1913</v>
      </c>
      <c r="R1845" t="s">
        <v>3844</v>
      </c>
      <c r="T1845" t="s">
        <v>57</v>
      </c>
    </row>
    <row r="1846" ht="25.5" customHeight="1" spans="1:20">
      <c r="A1846" t="s">
        <v>2618</v>
      </c>
      <c r="B1846" t="s">
        <v>56</v>
      </c>
      <c r="C1846" t="s">
        <v>4295</v>
      </c>
      <c r="D1846" s="3"/>
      <c r="E1846" s="2">
        <v>45677</v>
      </c>
      <c r="F1846">
        <v>44200</v>
      </c>
      <c r="G1846">
        <v>718</v>
      </c>
      <c r="H1846">
        <v>23</v>
      </c>
      <c r="I1846">
        <v>0</v>
      </c>
      <c r="J1846">
        <v>6</v>
      </c>
      <c r="K1846">
        <v>7</v>
      </c>
      <c r="L1846" t="s">
        <v>3208</v>
      </c>
      <c r="M1846" t="s">
        <v>4296</v>
      </c>
      <c r="N1846" t="s">
        <v>1630</v>
      </c>
      <c r="O1846" s="4">
        <v>45677.4370138889</v>
      </c>
      <c r="P1846" t="s">
        <v>57</v>
      </c>
      <c r="Q1846" t="s">
        <v>1913</v>
      </c>
      <c r="R1846" t="s">
        <v>3504</v>
      </c>
      <c r="T1846" t="s">
        <v>57</v>
      </c>
    </row>
    <row r="1847" ht="25.5" customHeight="1" spans="1:20">
      <c r="A1847" t="s">
        <v>2618</v>
      </c>
      <c r="B1847" t="s">
        <v>56</v>
      </c>
      <c r="C1847" t="s">
        <v>4295</v>
      </c>
      <c r="D1847" s="3"/>
      <c r="E1847" s="2">
        <v>45678</v>
      </c>
      <c r="F1847">
        <v>44200</v>
      </c>
      <c r="G1847">
        <v>804</v>
      </c>
      <c r="H1847">
        <v>26</v>
      </c>
      <c r="I1847">
        <v>0</v>
      </c>
      <c r="J1847">
        <v>7</v>
      </c>
      <c r="K1847">
        <v>7</v>
      </c>
      <c r="L1847" t="s">
        <v>3208</v>
      </c>
      <c r="M1847" t="s">
        <v>4296</v>
      </c>
      <c r="N1847" t="s">
        <v>1630</v>
      </c>
      <c r="O1847" s="4">
        <v>45678.6589236111</v>
      </c>
      <c r="P1847" t="s">
        <v>57</v>
      </c>
      <c r="Q1847" t="s">
        <v>1913</v>
      </c>
      <c r="R1847" t="s">
        <v>4297</v>
      </c>
      <c r="T1847" t="s">
        <v>57</v>
      </c>
    </row>
    <row r="1848" ht="25.5" customHeight="1" spans="1:20">
      <c r="A1848" t="s">
        <v>2618</v>
      </c>
      <c r="B1848" t="s">
        <v>56</v>
      </c>
      <c r="C1848" t="s">
        <v>4295</v>
      </c>
      <c r="D1848" s="3"/>
      <c r="E1848" s="2">
        <v>45679</v>
      </c>
      <c r="F1848">
        <v>44300</v>
      </c>
      <c r="G1848">
        <v>873</v>
      </c>
      <c r="H1848">
        <v>28</v>
      </c>
      <c r="I1848">
        <v>1</v>
      </c>
      <c r="J1848">
        <v>7</v>
      </c>
      <c r="K1848">
        <v>7</v>
      </c>
      <c r="L1848" t="s">
        <v>3208</v>
      </c>
      <c r="M1848" t="s">
        <v>4296</v>
      </c>
      <c r="N1848" t="s">
        <v>1630</v>
      </c>
      <c r="O1848" s="4">
        <v>45679.6987152778</v>
      </c>
      <c r="P1848" t="s">
        <v>57</v>
      </c>
      <c r="Q1848" t="s">
        <v>1913</v>
      </c>
      <c r="R1848" t="s">
        <v>3516</v>
      </c>
      <c r="T1848" t="s">
        <v>57</v>
      </c>
    </row>
    <row r="1849" ht="25.5" customHeight="1" spans="1:20">
      <c r="A1849" t="s">
        <v>2618</v>
      </c>
      <c r="B1849" t="s">
        <v>56</v>
      </c>
      <c r="C1849" t="s">
        <v>4295</v>
      </c>
      <c r="D1849" s="3"/>
      <c r="E1849" s="2">
        <v>45680</v>
      </c>
      <c r="F1849">
        <v>44300</v>
      </c>
      <c r="G1849">
        <v>930</v>
      </c>
      <c r="H1849">
        <v>30</v>
      </c>
      <c r="I1849">
        <v>3</v>
      </c>
      <c r="J1849">
        <v>8</v>
      </c>
      <c r="K1849">
        <v>7</v>
      </c>
      <c r="L1849" t="s">
        <v>3208</v>
      </c>
      <c r="M1849" t="s">
        <v>4296</v>
      </c>
      <c r="N1849" t="s">
        <v>1630</v>
      </c>
      <c r="O1849" s="4">
        <v>45680.6606828704</v>
      </c>
      <c r="P1849" t="s">
        <v>57</v>
      </c>
      <c r="Q1849" t="s">
        <v>1913</v>
      </c>
      <c r="R1849" t="s">
        <v>3174</v>
      </c>
      <c r="T1849" t="s">
        <v>57</v>
      </c>
    </row>
    <row r="1850" ht="25.5" customHeight="1" spans="1:20">
      <c r="A1850" t="s">
        <v>2618</v>
      </c>
      <c r="B1850" t="s">
        <v>56</v>
      </c>
      <c r="C1850" t="s">
        <v>4295</v>
      </c>
      <c r="D1850" s="3"/>
      <c r="E1850" s="2">
        <v>45681</v>
      </c>
      <c r="F1850">
        <v>44300</v>
      </c>
      <c r="G1850">
        <v>990</v>
      </c>
      <c r="H1850">
        <v>30</v>
      </c>
      <c r="I1850">
        <v>5</v>
      </c>
      <c r="J1850">
        <v>8</v>
      </c>
      <c r="K1850">
        <v>7</v>
      </c>
      <c r="L1850" t="s">
        <v>3208</v>
      </c>
      <c r="M1850" t="s">
        <v>4296</v>
      </c>
      <c r="N1850" t="s">
        <v>1630</v>
      </c>
      <c r="O1850" s="4">
        <v>45681.6460532407</v>
      </c>
      <c r="P1850" t="s">
        <v>57</v>
      </c>
      <c r="Q1850" t="s">
        <v>1913</v>
      </c>
      <c r="R1850" t="s">
        <v>3176</v>
      </c>
      <c r="T1850" t="s">
        <v>57</v>
      </c>
    </row>
    <row r="1851" ht="25.5" customHeight="1" spans="1:20">
      <c r="A1851" t="s">
        <v>2618</v>
      </c>
      <c r="B1851" t="s">
        <v>56</v>
      </c>
      <c r="C1851" t="s">
        <v>4295</v>
      </c>
      <c r="D1851" s="3"/>
      <c r="E1851" s="2">
        <v>45683</v>
      </c>
      <c r="F1851">
        <v>44400</v>
      </c>
      <c r="G1851">
        <v>1121</v>
      </c>
      <c r="H1851">
        <v>31</v>
      </c>
      <c r="I1851">
        <v>5</v>
      </c>
      <c r="J1851">
        <v>9</v>
      </c>
      <c r="K1851">
        <v>7</v>
      </c>
      <c r="L1851" t="s">
        <v>3208</v>
      </c>
      <c r="M1851" t="s">
        <v>4296</v>
      </c>
      <c r="N1851" t="s">
        <v>1630</v>
      </c>
      <c r="O1851" s="4">
        <v>45683.7856828704</v>
      </c>
      <c r="P1851" t="s">
        <v>57</v>
      </c>
      <c r="Q1851" t="s">
        <v>1913</v>
      </c>
      <c r="R1851" t="s">
        <v>3179</v>
      </c>
      <c r="T1851" t="s">
        <v>57</v>
      </c>
    </row>
    <row r="1852" ht="25.5" customHeight="1" spans="1:20">
      <c r="A1852" t="s">
        <v>2618</v>
      </c>
      <c r="B1852" t="s">
        <v>56</v>
      </c>
      <c r="C1852" t="s">
        <v>4295</v>
      </c>
      <c r="D1852" s="3"/>
      <c r="E1852" s="2">
        <v>45684</v>
      </c>
      <c r="F1852">
        <v>44400</v>
      </c>
      <c r="G1852">
        <v>1187</v>
      </c>
      <c r="H1852">
        <v>32</v>
      </c>
      <c r="I1852">
        <v>5</v>
      </c>
      <c r="J1852">
        <v>9</v>
      </c>
      <c r="K1852">
        <v>7</v>
      </c>
      <c r="L1852" t="s">
        <v>3208</v>
      </c>
      <c r="M1852" t="s">
        <v>4296</v>
      </c>
      <c r="N1852" t="s">
        <v>1630</v>
      </c>
      <c r="O1852" s="4">
        <v>45684.8654513889</v>
      </c>
      <c r="P1852" t="s">
        <v>57</v>
      </c>
      <c r="Q1852" t="s">
        <v>1913</v>
      </c>
      <c r="R1852" t="s">
        <v>3271</v>
      </c>
      <c r="T1852" t="s">
        <v>57</v>
      </c>
    </row>
    <row r="1853" ht="25.5" customHeight="1" spans="1:20">
      <c r="A1853" t="s">
        <v>2618</v>
      </c>
      <c r="B1853" t="s">
        <v>56</v>
      </c>
      <c r="C1853" t="s">
        <v>4295</v>
      </c>
      <c r="D1853" s="3"/>
      <c r="E1853" s="2">
        <v>45693</v>
      </c>
      <c r="F1853">
        <v>45000</v>
      </c>
      <c r="G1853">
        <v>1725</v>
      </c>
      <c r="H1853">
        <v>36</v>
      </c>
      <c r="I1853">
        <v>5</v>
      </c>
      <c r="J1853">
        <v>11</v>
      </c>
      <c r="K1853">
        <v>9</v>
      </c>
      <c r="L1853" t="s">
        <v>3284</v>
      </c>
      <c r="M1853" t="s">
        <v>4296</v>
      </c>
      <c r="N1853" t="s">
        <v>1630</v>
      </c>
      <c r="O1853" s="4">
        <v>45693.828900463</v>
      </c>
      <c r="P1853" t="s">
        <v>57</v>
      </c>
      <c r="Q1853" t="s">
        <v>1913</v>
      </c>
      <c r="R1853" t="s">
        <v>4298</v>
      </c>
      <c r="T1853" t="s">
        <v>57</v>
      </c>
    </row>
    <row r="1854" ht="25.5" customHeight="1" spans="1:20">
      <c r="A1854" t="s">
        <v>2618</v>
      </c>
      <c r="B1854" t="s">
        <v>56</v>
      </c>
      <c r="C1854" t="s">
        <v>4295</v>
      </c>
      <c r="D1854" s="3"/>
      <c r="E1854" s="2">
        <v>45694</v>
      </c>
      <c r="F1854">
        <v>45000</v>
      </c>
      <c r="G1854">
        <v>1736</v>
      </c>
      <c r="H1854">
        <v>36</v>
      </c>
      <c r="I1854">
        <v>5</v>
      </c>
      <c r="J1854">
        <v>11</v>
      </c>
      <c r="K1854">
        <v>9</v>
      </c>
      <c r="L1854" t="s">
        <v>3284</v>
      </c>
      <c r="M1854" t="s">
        <v>4296</v>
      </c>
      <c r="N1854" t="s">
        <v>1630</v>
      </c>
      <c r="O1854" s="4">
        <v>45698.6216782407</v>
      </c>
      <c r="P1854" t="s">
        <v>57</v>
      </c>
      <c r="Q1854" t="s">
        <v>1913</v>
      </c>
      <c r="R1854" t="s">
        <v>4298</v>
      </c>
      <c r="S1854" t="s">
        <v>3180</v>
      </c>
      <c r="T1854" t="s">
        <v>57</v>
      </c>
    </row>
    <row r="1855" ht="25.5" customHeight="1" spans="1:20">
      <c r="A1855" t="s">
        <v>2618</v>
      </c>
      <c r="B1855" t="s">
        <v>56</v>
      </c>
      <c r="C1855" t="s">
        <v>4295</v>
      </c>
      <c r="D1855" s="3"/>
      <c r="E1855" s="2">
        <v>45695</v>
      </c>
      <c r="F1855">
        <v>45000</v>
      </c>
      <c r="G1855">
        <v>1756</v>
      </c>
      <c r="H1855">
        <v>36</v>
      </c>
      <c r="I1855">
        <v>5</v>
      </c>
      <c r="J1855">
        <v>11</v>
      </c>
      <c r="K1855">
        <v>9</v>
      </c>
      <c r="L1855" t="s">
        <v>3284</v>
      </c>
      <c r="M1855" t="s">
        <v>4296</v>
      </c>
      <c r="N1855" t="s">
        <v>1630</v>
      </c>
      <c r="O1855" s="4">
        <v>45695.7233449074</v>
      </c>
      <c r="P1855" t="s">
        <v>57</v>
      </c>
      <c r="Q1855" t="s">
        <v>1913</v>
      </c>
      <c r="R1855" t="s">
        <v>4298</v>
      </c>
      <c r="T1855" t="s">
        <v>57</v>
      </c>
    </row>
    <row r="1856" ht="25.5" customHeight="1" spans="1:20">
      <c r="A1856" t="s">
        <v>1239</v>
      </c>
      <c r="B1856" t="s">
        <v>56</v>
      </c>
      <c r="C1856" t="s">
        <v>4299</v>
      </c>
      <c r="D1856" s="3"/>
      <c r="E1856" s="2">
        <v>45681</v>
      </c>
      <c r="F1856">
        <v>287200</v>
      </c>
      <c r="G1856">
        <v>554</v>
      </c>
      <c r="H1856">
        <v>11</v>
      </c>
      <c r="I1856">
        <v>0</v>
      </c>
      <c r="J1856">
        <v>7</v>
      </c>
      <c r="K1856">
        <v>1</v>
      </c>
      <c r="L1856" t="s">
        <v>3281</v>
      </c>
      <c r="M1856" t="s">
        <v>3414</v>
      </c>
      <c r="N1856" t="s">
        <v>1630</v>
      </c>
      <c r="O1856" s="4">
        <v>45681.6472916667</v>
      </c>
      <c r="P1856" t="s">
        <v>57</v>
      </c>
      <c r="Q1856" t="s">
        <v>1789</v>
      </c>
      <c r="R1856" t="s">
        <v>3877</v>
      </c>
      <c r="T1856" t="s">
        <v>57</v>
      </c>
    </row>
    <row r="1857" ht="25.5" customHeight="1" spans="1:20">
      <c r="A1857" t="s">
        <v>1239</v>
      </c>
      <c r="B1857" t="s">
        <v>56</v>
      </c>
      <c r="C1857" t="s">
        <v>4299</v>
      </c>
      <c r="D1857" s="3"/>
      <c r="E1857" s="2">
        <v>45683</v>
      </c>
      <c r="F1857">
        <v>287300</v>
      </c>
      <c r="G1857">
        <v>1070</v>
      </c>
      <c r="H1857">
        <v>18</v>
      </c>
      <c r="I1857">
        <v>1</v>
      </c>
      <c r="J1857">
        <v>17</v>
      </c>
      <c r="K1857">
        <v>5</v>
      </c>
      <c r="L1857" t="s">
        <v>3281</v>
      </c>
      <c r="M1857" t="s">
        <v>3414</v>
      </c>
      <c r="N1857" t="s">
        <v>1630</v>
      </c>
      <c r="O1857" s="4">
        <v>45683.7859722222</v>
      </c>
      <c r="P1857" t="s">
        <v>57</v>
      </c>
      <c r="Q1857" t="s">
        <v>1789</v>
      </c>
      <c r="R1857" t="s">
        <v>3283</v>
      </c>
      <c r="T1857" t="s">
        <v>57</v>
      </c>
    </row>
    <row r="1858" ht="25.5" customHeight="1" spans="1:20">
      <c r="A1858" t="s">
        <v>1239</v>
      </c>
      <c r="B1858" t="s">
        <v>56</v>
      </c>
      <c r="C1858" t="s">
        <v>4299</v>
      </c>
      <c r="D1858" s="3"/>
      <c r="E1858" s="2">
        <v>45684</v>
      </c>
      <c r="F1858">
        <v>287500</v>
      </c>
      <c r="G1858">
        <v>1495</v>
      </c>
      <c r="H1858">
        <v>25</v>
      </c>
      <c r="I1858">
        <v>1</v>
      </c>
      <c r="J1858">
        <v>29</v>
      </c>
      <c r="K1858">
        <v>8</v>
      </c>
      <c r="L1858" t="s">
        <v>3281</v>
      </c>
      <c r="M1858" t="s">
        <v>3414</v>
      </c>
      <c r="N1858" t="s">
        <v>1630</v>
      </c>
      <c r="O1858" s="4">
        <v>45684.8656597222</v>
      </c>
      <c r="P1858" t="s">
        <v>57</v>
      </c>
      <c r="Q1858" t="s">
        <v>1789</v>
      </c>
      <c r="R1858" t="s">
        <v>3397</v>
      </c>
      <c r="T1858" t="s">
        <v>57</v>
      </c>
    </row>
    <row r="1859" ht="25.5" customHeight="1" spans="1:20">
      <c r="A1859" t="s">
        <v>1239</v>
      </c>
      <c r="B1859" t="s">
        <v>56</v>
      </c>
      <c r="C1859" t="s">
        <v>4299</v>
      </c>
      <c r="D1859" s="3"/>
      <c r="E1859" s="2">
        <v>45693</v>
      </c>
      <c r="F1859">
        <v>288400</v>
      </c>
      <c r="G1859">
        <v>3699</v>
      </c>
      <c r="H1859">
        <v>55</v>
      </c>
      <c r="I1859">
        <v>1</v>
      </c>
      <c r="J1859">
        <v>64</v>
      </c>
      <c r="K1859">
        <v>9</v>
      </c>
      <c r="L1859" t="s">
        <v>3281</v>
      </c>
      <c r="M1859" t="s">
        <v>3414</v>
      </c>
      <c r="N1859" t="s">
        <v>1630</v>
      </c>
      <c r="O1859" s="4">
        <v>45693.829224537</v>
      </c>
      <c r="P1859" t="s">
        <v>57</v>
      </c>
      <c r="Q1859" t="s">
        <v>1789</v>
      </c>
      <c r="R1859" t="s">
        <v>4273</v>
      </c>
      <c r="T1859" t="s">
        <v>57</v>
      </c>
    </row>
    <row r="1860" ht="25.5" customHeight="1" spans="1:20">
      <c r="A1860" t="s">
        <v>1239</v>
      </c>
      <c r="B1860" t="s">
        <v>56</v>
      </c>
      <c r="C1860" t="s">
        <v>4299</v>
      </c>
      <c r="D1860" s="3"/>
      <c r="E1860" s="2">
        <v>45694</v>
      </c>
      <c r="F1860">
        <v>288400</v>
      </c>
      <c r="G1860">
        <v>3822</v>
      </c>
      <c r="H1860">
        <v>56</v>
      </c>
      <c r="I1860">
        <v>1</v>
      </c>
      <c r="J1860">
        <v>66</v>
      </c>
      <c r="K1860">
        <v>11</v>
      </c>
      <c r="L1860" t="s">
        <v>3281</v>
      </c>
      <c r="M1860" t="s">
        <v>3414</v>
      </c>
      <c r="N1860" t="s">
        <v>1630</v>
      </c>
      <c r="O1860" s="4">
        <v>45698.6216782407</v>
      </c>
      <c r="P1860" t="s">
        <v>57</v>
      </c>
      <c r="Q1860" t="s">
        <v>1789</v>
      </c>
      <c r="R1860" t="s">
        <v>4021</v>
      </c>
      <c r="S1860" t="s">
        <v>3245</v>
      </c>
      <c r="T1860" t="s">
        <v>57</v>
      </c>
    </row>
    <row r="1861" ht="25.5" customHeight="1" spans="1:20">
      <c r="A1861" t="s">
        <v>1239</v>
      </c>
      <c r="B1861" t="s">
        <v>56</v>
      </c>
      <c r="C1861" t="s">
        <v>4299</v>
      </c>
      <c r="D1861" s="3"/>
      <c r="E1861" s="2">
        <v>45695</v>
      </c>
      <c r="F1861">
        <v>288500</v>
      </c>
      <c r="G1861">
        <v>3982</v>
      </c>
      <c r="H1861">
        <v>56</v>
      </c>
      <c r="I1861">
        <v>1</v>
      </c>
      <c r="J1861">
        <v>67</v>
      </c>
      <c r="K1861">
        <v>11</v>
      </c>
      <c r="L1861" t="s">
        <v>3281</v>
      </c>
      <c r="M1861" t="s">
        <v>3414</v>
      </c>
      <c r="N1861" t="s">
        <v>1630</v>
      </c>
      <c r="O1861" s="4">
        <v>45695.7235300926</v>
      </c>
      <c r="P1861" t="s">
        <v>57</v>
      </c>
      <c r="Q1861" t="s">
        <v>1789</v>
      </c>
      <c r="R1861" t="s">
        <v>3369</v>
      </c>
      <c r="T1861" t="s">
        <v>57</v>
      </c>
    </row>
    <row r="1862" ht="25.5" customHeight="1" spans="1:20">
      <c r="A1862" t="s">
        <v>1239</v>
      </c>
      <c r="B1862" t="s">
        <v>56</v>
      </c>
      <c r="C1862" t="s">
        <v>4299</v>
      </c>
      <c r="D1862" s="3"/>
      <c r="E1862" s="2">
        <v>45696</v>
      </c>
      <c r="F1862">
        <v>288700</v>
      </c>
      <c r="G1862">
        <v>4175</v>
      </c>
      <c r="H1862">
        <v>58</v>
      </c>
      <c r="I1862">
        <v>1</v>
      </c>
      <c r="J1862">
        <v>66</v>
      </c>
      <c r="K1862">
        <v>11</v>
      </c>
      <c r="L1862" t="s">
        <v>3281</v>
      </c>
      <c r="M1862" t="s">
        <v>3414</v>
      </c>
      <c r="N1862" t="s">
        <v>1630</v>
      </c>
      <c r="O1862" s="4">
        <v>45696.4378819444</v>
      </c>
      <c r="P1862" t="s">
        <v>57</v>
      </c>
      <c r="Q1862" t="s">
        <v>1789</v>
      </c>
      <c r="R1862" t="s">
        <v>3255</v>
      </c>
      <c r="T1862" t="s">
        <v>57</v>
      </c>
    </row>
    <row r="1863" ht="25.5" customHeight="1" spans="1:20">
      <c r="A1863" t="s">
        <v>2591</v>
      </c>
      <c r="B1863" t="s">
        <v>56</v>
      </c>
      <c r="C1863" t="s">
        <v>4300</v>
      </c>
      <c r="D1863" s="3" t="str">
        <f>HYPERLINK("https://www.tiktok.com/@daniel_technolife","https://www.tiktok.com/@daniel_technolife")</f>
        <v>https://www.tiktok.com/@daniel_technolife</v>
      </c>
      <c r="E1863" s="2">
        <v>45665</v>
      </c>
      <c r="F1863">
        <v>72100</v>
      </c>
      <c r="G1863">
        <v>17100</v>
      </c>
      <c r="H1863">
        <v>703</v>
      </c>
      <c r="I1863">
        <v>106</v>
      </c>
      <c r="J1863">
        <v>135</v>
      </c>
      <c r="K1863">
        <v>65</v>
      </c>
      <c r="L1863" t="s">
        <v>3195</v>
      </c>
      <c r="M1863" t="s">
        <v>3225</v>
      </c>
      <c r="N1863" t="s">
        <v>1630</v>
      </c>
      <c r="O1863" s="4">
        <v>45670.8507638889</v>
      </c>
      <c r="P1863" t="s">
        <v>57</v>
      </c>
      <c r="Q1863" t="s">
        <v>1703</v>
      </c>
      <c r="R1863" t="s">
        <v>4301</v>
      </c>
      <c r="T1863" t="s">
        <v>57</v>
      </c>
    </row>
    <row r="1864" ht="25.5" customHeight="1" spans="1:20">
      <c r="A1864" t="s">
        <v>2591</v>
      </c>
      <c r="B1864" t="s">
        <v>56</v>
      </c>
      <c r="C1864" t="s">
        <v>4300</v>
      </c>
      <c r="D1864" s="3"/>
      <c r="E1864" s="2">
        <v>45671</v>
      </c>
      <c r="F1864">
        <v>72200</v>
      </c>
      <c r="G1864">
        <v>17300</v>
      </c>
      <c r="H1864">
        <v>708</v>
      </c>
      <c r="I1864">
        <v>108</v>
      </c>
      <c r="J1864">
        <v>144</v>
      </c>
      <c r="K1864">
        <v>66</v>
      </c>
      <c r="L1864" t="s">
        <v>3195</v>
      </c>
      <c r="M1864" t="s">
        <v>3225</v>
      </c>
      <c r="N1864" t="s">
        <v>1630</v>
      </c>
      <c r="O1864" s="4">
        <v>45672.5030092593</v>
      </c>
      <c r="P1864" t="s">
        <v>57</v>
      </c>
      <c r="Q1864" t="s">
        <v>1703</v>
      </c>
      <c r="R1864" t="s">
        <v>4302</v>
      </c>
      <c r="T1864" t="s">
        <v>57</v>
      </c>
    </row>
    <row r="1865" ht="25.5" customHeight="1" spans="1:20">
      <c r="A1865" t="s">
        <v>2591</v>
      </c>
      <c r="B1865" t="s">
        <v>56</v>
      </c>
      <c r="C1865" t="s">
        <v>4300</v>
      </c>
      <c r="D1865" s="3"/>
      <c r="E1865" s="2">
        <v>45672</v>
      </c>
      <c r="F1865">
        <v>72200</v>
      </c>
      <c r="G1865">
        <v>17400</v>
      </c>
      <c r="H1865">
        <v>710</v>
      </c>
      <c r="I1865">
        <v>108</v>
      </c>
      <c r="J1865">
        <v>148</v>
      </c>
      <c r="K1865">
        <v>66</v>
      </c>
      <c r="L1865" t="s">
        <v>3195</v>
      </c>
      <c r="M1865" t="s">
        <v>3225</v>
      </c>
      <c r="N1865" t="s">
        <v>1630</v>
      </c>
      <c r="O1865" s="4">
        <v>45672.5317708333</v>
      </c>
      <c r="P1865" t="s">
        <v>57</v>
      </c>
      <c r="Q1865" t="s">
        <v>1703</v>
      </c>
      <c r="R1865" t="s">
        <v>4303</v>
      </c>
      <c r="T1865" t="s">
        <v>57</v>
      </c>
    </row>
    <row r="1866" ht="25.5" customHeight="1" spans="1:20">
      <c r="A1866" t="s">
        <v>2591</v>
      </c>
      <c r="B1866" t="s">
        <v>56</v>
      </c>
      <c r="C1866" t="s">
        <v>4300</v>
      </c>
      <c r="D1866" s="3"/>
      <c r="E1866" s="2">
        <v>45673</v>
      </c>
      <c r="F1866">
        <v>72300</v>
      </c>
      <c r="G1866">
        <v>17600</v>
      </c>
      <c r="H1866">
        <v>720</v>
      </c>
      <c r="I1866">
        <v>115</v>
      </c>
      <c r="J1866">
        <v>156</v>
      </c>
      <c r="K1866">
        <v>67</v>
      </c>
      <c r="L1866" t="s">
        <v>3195</v>
      </c>
      <c r="M1866" t="s">
        <v>3225</v>
      </c>
      <c r="N1866" t="s">
        <v>1630</v>
      </c>
      <c r="O1866" s="4">
        <v>45673.6226388889</v>
      </c>
      <c r="P1866" t="s">
        <v>57</v>
      </c>
      <c r="Q1866" t="s">
        <v>1703</v>
      </c>
      <c r="R1866" t="s">
        <v>4304</v>
      </c>
      <c r="T1866" t="s">
        <v>57</v>
      </c>
    </row>
    <row r="1867" ht="25.5" customHeight="1" spans="1:20">
      <c r="A1867" t="s">
        <v>2591</v>
      </c>
      <c r="B1867" t="s">
        <v>56</v>
      </c>
      <c r="C1867" t="s">
        <v>4300</v>
      </c>
      <c r="D1867" s="3"/>
      <c r="E1867" s="2">
        <v>45674</v>
      </c>
      <c r="F1867">
        <v>72300</v>
      </c>
      <c r="G1867">
        <v>18000</v>
      </c>
      <c r="H1867">
        <v>729</v>
      </c>
      <c r="I1867">
        <v>121</v>
      </c>
      <c r="J1867">
        <v>165</v>
      </c>
      <c r="K1867">
        <v>71</v>
      </c>
      <c r="L1867" t="s">
        <v>3195</v>
      </c>
      <c r="M1867" t="s">
        <v>3225</v>
      </c>
      <c r="N1867" t="s">
        <v>1630</v>
      </c>
      <c r="O1867" s="4">
        <v>45674.6782986111</v>
      </c>
      <c r="P1867" t="s">
        <v>57</v>
      </c>
      <c r="Q1867" t="s">
        <v>1703</v>
      </c>
      <c r="R1867" t="s">
        <v>4305</v>
      </c>
      <c r="T1867" t="s">
        <v>57</v>
      </c>
    </row>
    <row r="1868" ht="25.5" customHeight="1" spans="1:20">
      <c r="A1868" t="s">
        <v>2591</v>
      </c>
      <c r="B1868" t="s">
        <v>56</v>
      </c>
      <c r="C1868" t="s">
        <v>4300</v>
      </c>
      <c r="D1868" s="3"/>
      <c r="E1868" s="2">
        <v>45677</v>
      </c>
      <c r="F1868">
        <v>72500</v>
      </c>
      <c r="G1868">
        <v>18500</v>
      </c>
      <c r="H1868">
        <v>742</v>
      </c>
      <c r="I1868">
        <v>125</v>
      </c>
      <c r="J1868">
        <v>176</v>
      </c>
      <c r="K1868">
        <v>76</v>
      </c>
      <c r="L1868" t="s">
        <v>3195</v>
      </c>
      <c r="M1868" t="s">
        <v>3225</v>
      </c>
      <c r="N1868" t="s">
        <v>1630</v>
      </c>
      <c r="O1868" s="4">
        <v>45677.4376157407</v>
      </c>
      <c r="P1868" t="s">
        <v>57</v>
      </c>
      <c r="Q1868" t="s">
        <v>1703</v>
      </c>
      <c r="R1868" t="s">
        <v>4306</v>
      </c>
      <c r="T1868" t="s">
        <v>57</v>
      </c>
    </row>
    <row r="1869" ht="25.5" customHeight="1" spans="1:20">
      <c r="A1869" t="s">
        <v>2591</v>
      </c>
      <c r="B1869" t="s">
        <v>56</v>
      </c>
      <c r="C1869" t="s">
        <v>4300</v>
      </c>
      <c r="D1869" s="3"/>
      <c r="E1869" s="2">
        <v>45678</v>
      </c>
      <c r="F1869">
        <v>72600</v>
      </c>
      <c r="G1869">
        <v>18800</v>
      </c>
      <c r="H1869">
        <v>748</v>
      </c>
      <c r="I1869">
        <v>128</v>
      </c>
      <c r="J1869">
        <v>180</v>
      </c>
      <c r="K1869">
        <v>80</v>
      </c>
      <c r="L1869" t="s">
        <v>3195</v>
      </c>
      <c r="M1869" t="s">
        <v>3225</v>
      </c>
      <c r="N1869" t="s">
        <v>1630</v>
      </c>
      <c r="O1869" s="4">
        <v>45678.6591550926</v>
      </c>
      <c r="P1869" t="s">
        <v>57</v>
      </c>
      <c r="Q1869" t="s">
        <v>1703</v>
      </c>
      <c r="R1869" t="s">
        <v>4307</v>
      </c>
      <c r="T1869" t="s">
        <v>57</v>
      </c>
    </row>
    <row r="1870" ht="25.5" customHeight="1" spans="1:20">
      <c r="A1870" t="s">
        <v>2591</v>
      </c>
      <c r="B1870" t="s">
        <v>56</v>
      </c>
      <c r="C1870" t="s">
        <v>4300</v>
      </c>
      <c r="D1870" s="3"/>
      <c r="E1870" s="2">
        <v>45679</v>
      </c>
      <c r="F1870">
        <v>72700</v>
      </c>
      <c r="G1870">
        <v>19100</v>
      </c>
      <c r="H1870">
        <v>759</v>
      </c>
      <c r="I1870">
        <v>136</v>
      </c>
      <c r="J1870">
        <v>187</v>
      </c>
      <c r="K1870">
        <v>82</v>
      </c>
      <c r="L1870" t="s">
        <v>3195</v>
      </c>
      <c r="M1870" t="s">
        <v>3225</v>
      </c>
      <c r="N1870" t="s">
        <v>1630</v>
      </c>
      <c r="O1870" s="4">
        <v>45679.6989236111</v>
      </c>
      <c r="P1870" t="s">
        <v>57</v>
      </c>
      <c r="Q1870" t="s">
        <v>1703</v>
      </c>
      <c r="R1870" t="s">
        <v>4308</v>
      </c>
      <c r="T1870" t="s">
        <v>57</v>
      </c>
    </row>
    <row r="1871" ht="25.5" customHeight="1" spans="1:20">
      <c r="A1871" t="s">
        <v>2591</v>
      </c>
      <c r="B1871" t="s">
        <v>56</v>
      </c>
      <c r="C1871" t="s">
        <v>4300</v>
      </c>
      <c r="D1871" s="3"/>
      <c r="E1871" s="2">
        <v>45680</v>
      </c>
      <c r="F1871">
        <v>72800</v>
      </c>
      <c r="G1871">
        <v>19400</v>
      </c>
      <c r="H1871">
        <v>773</v>
      </c>
      <c r="I1871">
        <v>140</v>
      </c>
      <c r="J1871">
        <v>195</v>
      </c>
      <c r="K1871">
        <v>87</v>
      </c>
      <c r="L1871" t="s">
        <v>3195</v>
      </c>
      <c r="M1871" t="s">
        <v>3225</v>
      </c>
      <c r="N1871" t="s">
        <v>1630</v>
      </c>
      <c r="O1871" s="4">
        <v>45680.6609375</v>
      </c>
      <c r="P1871" t="s">
        <v>57</v>
      </c>
      <c r="Q1871" t="s">
        <v>1703</v>
      </c>
      <c r="R1871" t="s">
        <v>4309</v>
      </c>
      <c r="T1871" t="s">
        <v>57</v>
      </c>
    </row>
    <row r="1872" ht="25.5" customHeight="1" spans="1:20">
      <c r="A1872" t="s">
        <v>2591</v>
      </c>
      <c r="B1872" t="s">
        <v>56</v>
      </c>
      <c r="C1872" t="s">
        <v>4300</v>
      </c>
      <c r="D1872" s="3"/>
      <c r="E1872" s="2">
        <v>45681</v>
      </c>
      <c r="F1872">
        <v>72800</v>
      </c>
      <c r="G1872">
        <v>19600</v>
      </c>
      <c r="H1872">
        <v>779</v>
      </c>
      <c r="I1872">
        <v>143</v>
      </c>
      <c r="J1872">
        <v>198</v>
      </c>
      <c r="K1872">
        <v>89</v>
      </c>
      <c r="L1872" t="s">
        <v>3195</v>
      </c>
      <c r="M1872" t="s">
        <v>3225</v>
      </c>
      <c r="N1872" t="s">
        <v>1630</v>
      </c>
      <c r="O1872" s="4">
        <v>45681.647650463</v>
      </c>
      <c r="P1872" t="s">
        <v>57</v>
      </c>
      <c r="Q1872" t="s">
        <v>1703</v>
      </c>
      <c r="R1872" t="s">
        <v>3203</v>
      </c>
      <c r="T1872" t="s">
        <v>57</v>
      </c>
    </row>
    <row r="1873" ht="25.5" customHeight="1" spans="1:20">
      <c r="A1873" t="s">
        <v>2591</v>
      </c>
      <c r="B1873" t="s">
        <v>56</v>
      </c>
      <c r="C1873" t="s">
        <v>4300</v>
      </c>
      <c r="D1873" s="3"/>
      <c r="E1873" s="2">
        <v>45683</v>
      </c>
      <c r="F1873">
        <v>73000</v>
      </c>
      <c r="G1873">
        <v>19800</v>
      </c>
      <c r="H1873">
        <v>787</v>
      </c>
      <c r="I1873">
        <v>145</v>
      </c>
      <c r="J1873">
        <v>202</v>
      </c>
      <c r="K1873">
        <v>92</v>
      </c>
      <c r="L1873" t="s">
        <v>3195</v>
      </c>
      <c r="M1873" t="s">
        <v>3225</v>
      </c>
      <c r="N1873" t="s">
        <v>1630</v>
      </c>
      <c r="O1873" s="4">
        <v>45683.7862037037</v>
      </c>
      <c r="P1873" t="s">
        <v>57</v>
      </c>
      <c r="Q1873" t="s">
        <v>1703</v>
      </c>
      <c r="R1873" t="s">
        <v>4310</v>
      </c>
      <c r="T1873" t="s">
        <v>57</v>
      </c>
    </row>
    <row r="1874" ht="25.5" customHeight="1" spans="1:20">
      <c r="A1874" t="s">
        <v>2591</v>
      </c>
      <c r="B1874" t="s">
        <v>56</v>
      </c>
      <c r="C1874" t="s">
        <v>4300</v>
      </c>
      <c r="D1874" s="3"/>
      <c r="E1874" s="2">
        <v>45684</v>
      </c>
      <c r="F1874">
        <v>73100</v>
      </c>
      <c r="G1874">
        <v>20000</v>
      </c>
      <c r="H1874">
        <v>794</v>
      </c>
      <c r="I1874">
        <v>147</v>
      </c>
      <c r="J1874">
        <v>209</v>
      </c>
      <c r="K1874">
        <v>94</v>
      </c>
      <c r="L1874" t="s">
        <v>3195</v>
      </c>
      <c r="M1874" t="s">
        <v>3225</v>
      </c>
      <c r="N1874" t="s">
        <v>1630</v>
      </c>
      <c r="O1874" s="4">
        <v>45684.8658680556</v>
      </c>
      <c r="P1874" t="s">
        <v>57</v>
      </c>
      <c r="Q1874" t="s">
        <v>1703</v>
      </c>
      <c r="R1874" t="s">
        <v>3542</v>
      </c>
      <c r="T1874" t="s">
        <v>57</v>
      </c>
    </row>
    <row r="1875" ht="25.5" customHeight="1" spans="1:20">
      <c r="A1875" t="s">
        <v>2591</v>
      </c>
      <c r="B1875" t="s">
        <v>56</v>
      </c>
      <c r="C1875" t="s">
        <v>4300</v>
      </c>
      <c r="D1875" s="3"/>
      <c r="E1875" s="2">
        <v>45693</v>
      </c>
      <c r="F1875">
        <v>74000</v>
      </c>
      <c r="G1875">
        <v>21100</v>
      </c>
      <c r="H1875">
        <v>819</v>
      </c>
      <c r="I1875">
        <v>160</v>
      </c>
      <c r="J1875">
        <v>228</v>
      </c>
      <c r="K1875">
        <v>100</v>
      </c>
      <c r="L1875" t="s">
        <v>3195</v>
      </c>
      <c r="M1875" t="s">
        <v>3225</v>
      </c>
      <c r="N1875" t="s">
        <v>1630</v>
      </c>
      <c r="O1875" s="4">
        <v>45693.8295486111</v>
      </c>
      <c r="P1875" t="s">
        <v>57</v>
      </c>
      <c r="Q1875" t="s">
        <v>1703</v>
      </c>
      <c r="R1875" t="s">
        <v>4311</v>
      </c>
      <c r="T1875" t="s">
        <v>57</v>
      </c>
    </row>
    <row r="1876" ht="25.5" customHeight="1" spans="1:20">
      <c r="A1876" t="s">
        <v>2591</v>
      </c>
      <c r="B1876" t="s">
        <v>56</v>
      </c>
      <c r="C1876" t="s">
        <v>4300</v>
      </c>
      <c r="D1876" s="3"/>
      <c r="E1876" s="2">
        <v>45694</v>
      </c>
      <c r="F1876">
        <v>74200</v>
      </c>
      <c r="G1876">
        <v>21100</v>
      </c>
      <c r="H1876">
        <v>821</v>
      </c>
      <c r="I1876">
        <v>162</v>
      </c>
      <c r="J1876">
        <v>230</v>
      </c>
      <c r="K1876">
        <v>102</v>
      </c>
      <c r="L1876" t="s">
        <v>3195</v>
      </c>
      <c r="M1876" t="s">
        <v>3225</v>
      </c>
      <c r="N1876" t="s">
        <v>1630</v>
      </c>
      <c r="O1876" s="4">
        <v>45698.6216782407</v>
      </c>
      <c r="P1876" t="s">
        <v>57</v>
      </c>
      <c r="Q1876" t="s">
        <v>1703</v>
      </c>
      <c r="R1876" t="s">
        <v>4312</v>
      </c>
      <c r="S1876" t="s">
        <v>3245</v>
      </c>
      <c r="T1876" t="s">
        <v>57</v>
      </c>
    </row>
    <row r="1877" ht="25.5" customHeight="1" spans="1:20">
      <c r="A1877" t="s">
        <v>3056</v>
      </c>
      <c r="B1877" t="s">
        <v>56</v>
      </c>
      <c r="D1877" s="3"/>
      <c r="E1877" s="2"/>
      <c r="M1877" t="s">
        <v>3662</v>
      </c>
      <c r="N1877" t="s">
        <v>1645</v>
      </c>
      <c r="O1877" s="4">
        <v>45670.743587963</v>
      </c>
      <c r="P1877" t="s">
        <v>57</v>
      </c>
      <c r="R1877" t="s">
        <v>3133</v>
      </c>
      <c r="T1877" t="s">
        <v>57</v>
      </c>
    </row>
    <row r="1878" ht="25.5" customHeight="1" spans="1:20">
      <c r="A1878" t="s">
        <v>2811</v>
      </c>
      <c r="B1878" t="s">
        <v>65</v>
      </c>
      <c r="C1878" t="s">
        <v>4313</v>
      </c>
      <c r="D1878" s="3" t="str">
        <f>HYPERLINK("https://www.instagram.com/daniel_technolife/reels/","https://www.instagram.com/daniel_technolife/reels/")</f>
        <v>https://www.instagram.com/daniel_technolife/reels/</v>
      </c>
      <c r="E1878" s="2">
        <v>45665</v>
      </c>
      <c r="F1878">
        <v>38900</v>
      </c>
      <c r="G1878">
        <v>14700</v>
      </c>
      <c r="H1878">
        <v>190</v>
      </c>
      <c r="I1878">
        <v>442</v>
      </c>
      <c r="L1878" t="s">
        <v>3281</v>
      </c>
      <c r="M1878" t="s">
        <v>3363</v>
      </c>
      <c r="N1878" t="s">
        <v>1630</v>
      </c>
      <c r="O1878" s="4">
        <v>45670.8501967593</v>
      </c>
      <c r="P1878" t="s">
        <v>116</v>
      </c>
      <c r="Q1878" t="s">
        <v>1703</v>
      </c>
      <c r="R1878" t="s">
        <v>4314</v>
      </c>
      <c r="T1878" t="s">
        <v>116</v>
      </c>
    </row>
    <row r="1879" ht="25.5" customHeight="1" spans="1:20">
      <c r="A1879" t="s">
        <v>2811</v>
      </c>
      <c r="B1879" t="s">
        <v>65</v>
      </c>
      <c r="C1879" t="s">
        <v>4313</v>
      </c>
      <c r="D1879" s="3"/>
      <c r="E1879" s="2">
        <v>45671</v>
      </c>
      <c r="F1879">
        <v>39100</v>
      </c>
      <c r="G1879">
        <v>15000</v>
      </c>
      <c r="H1879">
        <v>193</v>
      </c>
      <c r="I1879">
        <v>462</v>
      </c>
      <c r="L1879" t="s">
        <v>3281</v>
      </c>
      <c r="M1879" t="s">
        <v>3363</v>
      </c>
      <c r="N1879" t="s">
        <v>1630</v>
      </c>
      <c r="O1879" s="4">
        <v>45672.5030092593</v>
      </c>
      <c r="P1879" t="s">
        <v>116</v>
      </c>
      <c r="Q1879" t="s">
        <v>1703</v>
      </c>
      <c r="R1879" t="s">
        <v>4220</v>
      </c>
      <c r="T1879" t="s">
        <v>116</v>
      </c>
    </row>
    <row r="1880" ht="25.5" customHeight="1" spans="1:20">
      <c r="A1880" t="s">
        <v>2811</v>
      </c>
      <c r="B1880" t="s">
        <v>65</v>
      </c>
      <c r="C1880" t="s">
        <v>4313</v>
      </c>
      <c r="D1880" s="3"/>
      <c r="E1880" s="2">
        <v>45672</v>
      </c>
      <c r="F1880">
        <v>39200</v>
      </c>
      <c r="G1880">
        <v>15200</v>
      </c>
      <c r="H1880">
        <v>197</v>
      </c>
      <c r="I1880">
        <v>474</v>
      </c>
      <c r="L1880" t="s">
        <v>3281</v>
      </c>
      <c r="M1880" t="s">
        <v>3363</v>
      </c>
      <c r="N1880" t="s">
        <v>1630</v>
      </c>
      <c r="O1880" s="4">
        <v>45672.5114930556</v>
      </c>
      <c r="P1880" t="s">
        <v>116</v>
      </c>
      <c r="Q1880" t="s">
        <v>1703</v>
      </c>
      <c r="R1880" t="s">
        <v>4315</v>
      </c>
      <c r="T1880" t="s">
        <v>116</v>
      </c>
    </row>
    <row r="1881" ht="25.5" customHeight="1" spans="1:20">
      <c r="A1881" t="s">
        <v>2811</v>
      </c>
      <c r="B1881" t="s">
        <v>65</v>
      </c>
      <c r="C1881" t="s">
        <v>4313</v>
      </c>
      <c r="D1881" s="3"/>
      <c r="E1881" s="2">
        <v>45673</v>
      </c>
      <c r="F1881">
        <v>39300</v>
      </c>
      <c r="G1881">
        <v>15400</v>
      </c>
      <c r="H1881">
        <v>199</v>
      </c>
      <c r="I1881">
        <v>479</v>
      </c>
      <c r="L1881" t="s">
        <v>3281</v>
      </c>
      <c r="M1881" t="s">
        <v>3363</v>
      </c>
      <c r="N1881" t="s">
        <v>1630</v>
      </c>
      <c r="O1881" s="4">
        <v>45673.4928587963</v>
      </c>
      <c r="P1881" t="s">
        <v>116</v>
      </c>
      <c r="Q1881" t="s">
        <v>1703</v>
      </c>
      <c r="R1881" t="s">
        <v>4316</v>
      </c>
      <c r="T1881" t="s">
        <v>116</v>
      </c>
    </row>
    <row r="1882" ht="25.5" customHeight="1" spans="1:20">
      <c r="A1882" t="s">
        <v>2811</v>
      </c>
      <c r="B1882" t="s">
        <v>65</v>
      </c>
      <c r="C1882" t="s">
        <v>4313</v>
      </c>
      <c r="D1882" s="3"/>
      <c r="E1882" s="2">
        <v>45674</v>
      </c>
      <c r="F1882">
        <v>39400</v>
      </c>
      <c r="G1882">
        <v>15600</v>
      </c>
      <c r="H1882">
        <v>199</v>
      </c>
      <c r="I1882">
        <v>485</v>
      </c>
      <c r="L1882" t="s">
        <v>3281</v>
      </c>
      <c r="M1882" t="s">
        <v>3363</v>
      </c>
      <c r="N1882" t="s">
        <v>1630</v>
      </c>
      <c r="O1882" s="4">
        <v>45677.4088194444</v>
      </c>
      <c r="P1882" t="s">
        <v>116</v>
      </c>
      <c r="Q1882" t="s">
        <v>1703</v>
      </c>
      <c r="R1882" t="s">
        <v>4317</v>
      </c>
      <c r="T1882" t="s">
        <v>116</v>
      </c>
    </row>
    <row r="1883" ht="25.5" customHeight="1" spans="1:20">
      <c r="A1883" t="s">
        <v>2811</v>
      </c>
      <c r="B1883" t="s">
        <v>65</v>
      </c>
      <c r="C1883" t="s">
        <v>4313</v>
      </c>
      <c r="D1883" s="3"/>
      <c r="E1883" s="2">
        <v>45677</v>
      </c>
      <c r="F1883">
        <v>39900</v>
      </c>
      <c r="G1883">
        <v>16100</v>
      </c>
      <c r="H1883">
        <v>206</v>
      </c>
      <c r="I1883">
        <v>506</v>
      </c>
      <c r="L1883" t="s">
        <v>3281</v>
      </c>
      <c r="M1883" t="s">
        <v>3363</v>
      </c>
      <c r="N1883" t="s">
        <v>1630</v>
      </c>
      <c r="O1883" s="4">
        <v>45677.4087847222</v>
      </c>
      <c r="P1883" t="s">
        <v>116</v>
      </c>
      <c r="Q1883" t="s">
        <v>1703</v>
      </c>
      <c r="R1883" t="s">
        <v>4318</v>
      </c>
      <c r="T1883" t="s">
        <v>116</v>
      </c>
    </row>
    <row r="1884" ht="25.5" customHeight="1" spans="1:20">
      <c r="A1884" t="s">
        <v>2811</v>
      </c>
      <c r="B1884" t="s">
        <v>65</v>
      </c>
      <c r="C1884" t="s">
        <v>4313</v>
      </c>
      <c r="D1884" s="3"/>
      <c r="E1884" s="2">
        <v>45678</v>
      </c>
      <c r="F1884">
        <v>40000</v>
      </c>
      <c r="G1884">
        <v>16200</v>
      </c>
      <c r="H1884">
        <v>207</v>
      </c>
      <c r="I1884">
        <v>512</v>
      </c>
      <c r="L1884" t="s">
        <v>3281</v>
      </c>
      <c r="M1884" t="s">
        <v>3363</v>
      </c>
      <c r="N1884" t="s">
        <v>1630</v>
      </c>
      <c r="O1884" s="4">
        <v>45678.5090740741</v>
      </c>
      <c r="P1884" t="s">
        <v>116</v>
      </c>
      <c r="Q1884" t="s">
        <v>1703</v>
      </c>
      <c r="R1884" t="s">
        <v>4319</v>
      </c>
      <c r="T1884" t="s">
        <v>116</v>
      </c>
    </row>
    <row r="1885" ht="25.5" customHeight="1" spans="1:20">
      <c r="A1885" t="s">
        <v>2811</v>
      </c>
      <c r="B1885" t="s">
        <v>65</v>
      </c>
      <c r="C1885" t="s">
        <v>4313</v>
      </c>
      <c r="D1885" s="3"/>
      <c r="E1885" s="2">
        <v>45679</v>
      </c>
      <c r="F1885">
        <v>40100</v>
      </c>
      <c r="G1885">
        <v>16400</v>
      </c>
      <c r="H1885">
        <v>210</v>
      </c>
      <c r="I1885">
        <v>523</v>
      </c>
      <c r="L1885" t="s">
        <v>3281</v>
      </c>
      <c r="M1885" t="s">
        <v>3363</v>
      </c>
      <c r="N1885" t="s">
        <v>1630</v>
      </c>
      <c r="O1885" s="4">
        <v>45679.6677430556</v>
      </c>
      <c r="P1885" t="s">
        <v>116</v>
      </c>
      <c r="Q1885" t="s">
        <v>1703</v>
      </c>
      <c r="R1885" t="s">
        <v>4320</v>
      </c>
      <c r="T1885" t="s">
        <v>116</v>
      </c>
    </row>
    <row r="1886" ht="25.5" customHeight="1" spans="1:20">
      <c r="A1886" t="s">
        <v>2811</v>
      </c>
      <c r="B1886" t="s">
        <v>65</v>
      </c>
      <c r="C1886" t="s">
        <v>4313</v>
      </c>
      <c r="D1886" s="3"/>
      <c r="E1886" s="2">
        <v>45680</v>
      </c>
      <c r="F1886">
        <v>40200</v>
      </c>
      <c r="G1886">
        <v>16500</v>
      </c>
      <c r="H1886">
        <v>210</v>
      </c>
      <c r="I1886">
        <v>527</v>
      </c>
      <c r="L1886" t="s">
        <v>3281</v>
      </c>
      <c r="M1886" t="s">
        <v>3363</v>
      </c>
      <c r="N1886" t="s">
        <v>1630</v>
      </c>
      <c r="O1886" s="4">
        <v>45680.5155555556</v>
      </c>
      <c r="P1886" t="s">
        <v>116</v>
      </c>
      <c r="Q1886" t="s">
        <v>1703</v>
      </c>
      <c r="R1886" t="s">
        <v>4257</v>
      </c>
      <c r="T1886" t="s">
        <v>116</v>
      </c>
    </row>
    <row r="1887" ht="25.5" customHeight="1" spans="1:20">
      <c r="A1887" t="s">
        <v>2811</v>
      </c>
      <c r="B1887" t="s">
        <v>65</v>
      </c>
      <c r="C1887" t="s">
        <v>4313</v>
      </c>
      <c r="D1887" s="3"/>
      <c r="E1887" s="2">
        <v>45681</v>
      </c>
      <c r="F1887">
        <v>40300</v>
      </c>
      <c r="G1887">
        <v>16600</v>
      </c>
      <c r="H1887">
        <v>213</v>
      </c>
      <c r="I1887">
        <v>538</v>
      </c>
      <c r="L1887" t="s">
        <v>3281</v>
      </c>
      <c r="M1887" t="s">
        <v>3363</v>
      </c>
      <c r="N1887" t="s">
        <v>1630</v>
      </c>
      <c r="O1887" s="4">
        <v>45681.5028587963</v>
      </c>
      <c r="P1887" t="s">
        <v>116</v>
      </c>
      <c r="Q1887" t="s">
        <v>1703</v>
      </c>
      <c r="R1887" t="s">
        <v>4321</v>
      </c>
      <c r="T1887" t="s">
        <v>116</v>
      </c>
    </row>
    <row r="1888" ht="25.5" customHeight="1" spans="1:20">
      <c r="A1888" t="s">
        <v>2811</v>
      </c>
      <c r="B1888" t="s">
        <v>65</v>
      </c>
      <c r="C1888" t="s">
        <v>4313</v>
      </c>
      <c r="D1888" s="3"/>
      <c r="E1888" s="2">
        <v>45683</v>
      </c>
      <c r="F1888">
        <v>40700</v>
      </c>
      <c r="G1888">
        <v>16800</v>
      </c>
      <c r="H1888">
        <v>213</v>
      </c>
      <c r="I1888">
        <v>542</v>
      </c>
      <c r="L1888" t="s">
        <v>3281</v>
      </c>
      <c r="M1888" t="s">
        <v>3363</v>
      </c>
      <c r="N1888" t="s">
        <v>1630</v>
      </c>
      <c r="O1888" s="4">
        <v>45683.7330787037</v>
      </c>
      <c r="P1888" t="s">
        <v>116</v>
      </c>
      <c r="Q1888" t="s">
        <v>1703</v>
      </c>
      <c r="R1888" t="s">
        <v>4322</v>
      </c>
      <c r="T1888" t="s">
        <v>116</v>
      </c>
    </row>
    <row r="1889" ht="25.5" customHeight="1" spans="1:20">
      <c r="A1889" t="s">
        <v>2811</v>
      </c>
      <c r="B1889" t="s">
        <v>65</v>
      </c>
      <c r="C1889" t="s">
        <v>4313</v>
      </c>
      <c r="D1889" s="3"/>
      <c r="E1889" s="2">
        <v>45684</v>
      </c>
      <c r="F1889">
        <v>40900</v>
      </c>
      <c r="G1889">
        <v>16900</v>
      </c>
      <c r="H1889">
        <v>215</v>
      </c>
      <c r="I1889">
        <v>547</v>
      </c>
      <c r="L1889" t="s">
        <v>3281</v>
      </c>
      <c r="M1889" t="s">
        <v>3363</v>
      </c>
      <c r="N1889" t="s">
        <v>1630</v>
      </c>
      <c r="O1889" s="4">
        <v>45684.782037037</v>
      </c>
      <c r="P1889" t="s">
        <v>116</v>
      </c>
      <c r="Q1889" t="s">
        <v>1703</v>
      </c>
      <c r="R1889" t="s">
        <v>4323</v>
      </c>
      <c r="T1889" t="s">
        <v>116</v>
      </c>
    </row>
    <row r="1890" ht="25.5" customHeight="1" spans="1:20">
      <c r="A1890" t="s">
        <v>2811</v>
      </c>
      <c r="B1890" t="s">
        <v>65</v>
      </c>
      <c r="C1890" t="s">
        <v>4313</v>
      </c>
      <c r="D1890" s="3"/>
      <c r="E1890" s="2">
        <v>45693</v>
      </c>
      <c r="F1890">
        <v>42000</v>
      </c>
      <c r="G1890">
        <v>17000</v>
      </c>
      <c r="H1890">
        <v>222</v>
      </c>
      <c r="I1890">
        <v>558</v>
      </c>
      <c r="L1890" t="s">
        <v>3281</v>
      </c>
      <c r="M1890" t="s">
        <v>3363</v>
      </c>
      <c r="N1890" t="s">
        <v>1630</v>
      </c>
      <c r="O1890" s="4">
        <v>45693.7823842593</v>
      </c>
      <c r="P1890" t="s">
        <v>116</v>
      </c>
      <c r="Q1890" t="s">
        <v>1703</v>
      </c>
      <c r="R1890" t="s">
        <v>4324</v>
      </c>
      <c r="T1890" t="s">
        <v>116</v>
      </c>
    </row>
    <row r="1891" ht="25.5" customHeight="1" spans="1:20">
      <c r="A1891" t="s">
        <v>2811</v>
      </c>
      <c r="B1891" t="s">
        <v>65</v>
      </c>
      <c r="C1891" t="s">
        <v>4313</v>
      </c>
      <c r="D1891" s="3"/>
      <c r="E1891" s="2">
        <v>45694</v>
      </c>
      <c r="F1891">
        <v>42200</v>
      </c>
      <c r="G1891">
        <v>17300</v>
      </c>
      <c r="H1891">
        <v>222</v>
      </c>
      <c r="I1891">
        <v>558</v>
      </c>
      <c r="L1891" t="s">
        <v>3281</v>
      </c>
      <c r="M1891" t="s">
        <v>3363</v>
      </c>
      <c r="N1891" t="s">
        <v>1630</v>
      </c>
      <c r="O1891" s="4">
        <v>45698.6216782407</v>
      </c>
      <c r="P1891" t="s">
        <v>116</v>
      </c>
      <c r="Q1891" t="s">
        <v>1703</v>
      </c>
      <c r="R1891" t="s">
        <v>4324</v>
      </c>
      <c r="S1891" t="s">
        <v>3180</v>
      </c>
      <c r="T1891" t="s">
        <v>116</v>
      </c>
    </row>
    <row r="1892" ht="25.5" customHeight="1" spans="1:20">
      <c r="A1892" t="s">
        <v>2811</v>
      </c>
      <c r="B1892" t="s">
        <v>65</v>
      </c>
      <c r="C1892" t="s">
        <v>4313</v>
      </c>
      <c r="D1892" s="3"/>
      <c r="E1892" s="2">
        <v>45695</v>
      </c>
      <c r="F1892">
        <v>42300</v>
      </c>
      <c r="G1892">
        <v>17300</v>
      </c>
      <c r="H1892">
        <v>224</v>
      </c>
      <c r="I1892">
        <v>560</v>
      </c>
      <c r="L1892" t="s">
        <v>3281</v>
      </c>
      <c r="M1892" t="s">
        <v>3363</v>
      </c>
      <c r="N1892" t="s">
        <v>1630</v>
      </c>
      <c r="O1892" s="4">
        <v>45695.4924305556</v>
      </c>
      <c r="P1892" t="s">
        <v>116</v>
      </c>
      <c r="Q1892" t="s">
        <v>1703</v>
      </c>
      <c r="R1892" t="s">
        <v>4325</v>
      </c>
      <c r="T1892" t="s">
        <v>116</v>
      </c>
    </row>
    <row r="1893" ht="25.5" customHeight="1" spans="1:20">
      <c r="A1893" t="s">
        <v>2676</v>
      </c>
      <c r="B1893" t="s">
        <v>56</v>
      </c>
      <c r="D1893" s="3"/>
      <c r="E1893" s="2"/>
      <c r="M1893" t="s">
        <v>3249</v>
      </c>
      <c r="N1893" t="s">
        <v>1645</v>
      </c>
      <c r="O1893" s="4">
        <v>45670.743587963</v>
      </c>
      <c r="P1893" t="s">
        <v>57</v>
      </c>
      <c r="Q1893" t="s">
        <v>1631</v>
      </c>
      <c r="R1893" t="s">
        <v>3133</v>
      </c>
      <c r="T1893" t="s">
        <v>57</v>
      </c>
    </row>
    <row r="1894" ht="25.5" customHeight="1" spans="1:20">
      <c r="A1894" t="s">
        <v>2674</v>
      </c>
      <c r="B1894" t="s">
        <v>56</v>
      </c>
      <c r="C1894" t="s">
        <v>4326</v>
      </c>
      <c r="D1894" s="3"/>
      <c r="E1894" s="2"/>
      <c r="M1894" t="s">
        <v>4106</v>
      </c>
      <c r="N1894" t="s">
        <v>1630</v>
      </c>
      <c r="O1894" s="4">
        <v>45670.743587963</v>
      </c>
      <c r="P1894" t="s">
        <v>423</v>
      </c>
      <c r="R1894" t="s">
        <v>3133</v>
      </c>
      <c r="T1894" t="s">
        <v>423</v>
      </c>
    </row>
    <row r="1895" ht="25.5" customHeight="1" spans="1:20">
      <c r="A1895" t="s">
        <v>2113</v>
      </c>
      <c r="B1895" t="s">
        <v>3564</v>
      </c>
      <c r="D1895" s="3"/>
      <c r="E1895" s="2"/>
      <c r="M1895" t="s">
        <v>3352</v>
      </c>
      <c r="N1895" t="s">
        <v>3490</v>
      </c>
      <c r="O1895" s="4">
        <v>45670.743587963</v>
      </c>
      <c r="P1895" t="s">
        <v>3567</v>
      </c>
      <c r="R1895" t="s">
        <v>3133</v>
      </c>
      <c r="T1895" t="s">
        <v>3567</v>
      </c>
    </row>
    <row r="1896" ht="25.5" customHeight="1" spans="1:20">
      <c r="A1896" t="s">
        <v>2113</v>
      </c>
      <c r="B1896" t="s">
        <v>3564</v>
      </c>
      <c r="D1896" s="3"/>
      <c r="E1896" s="2"/>
      <c r="M1896" t="s">
        <v>3352</v>
      </c>
      <c r="N1896" t="s">
        <v>3490</v>
      </c>
      <c r="O1896" s="4">
        <v>45670.743587963</v>
      </c>
      <c r="P1896" t="s">
        <v>3567</v>
      </c>
      <c r="R1896" t="s">
        <v>3133</v>
      </c>
      <c r="T1896" t="s">
        <v>3567</v>
      </c>
    </row>
    <row r="1897" ht="25.5" customHeight="1" spans="1:20">
      <c r="A1897" t="s">
        <v>3005</v>
      </c>
      <c r="B1897" t="s">
        <v>56</v>
      </c>
      <c r="D1897" s="3"/>
      <c r="E1897" s="2"/>
      <c r="M1897" t="s">
        <v>3485</v>
      </c>
      <c r="N1897" t="s">
        <v>1645</v>
      </c>
      <c r="O1897" s="4">
        <v>45670.743587963</v>
      </c>
      <c r="P1897" t="s">
        <v>57</v>
      </c>
      <c r="R1897" t="s">
        <v>3133</v>
      </c>
      <c r="T1897" t="s">
        <v>57</v>
      </c>
    </row>
    <row r="1898" ht="25.5" customHeight="1" spans="1:20">
      <c r="A1898" t="s">
        <v>2095</v>
      </c>
      <c r="B1898" t="s">
        <v>1816</v>
      </c>
      <c r="C1898" t="s">
        <v>4327</v>
      </c>
      <c r="D1898" s="3"/>
      <c r="E1898" s="2">
        <v>45665</v>
      </c>
      <c r="F1898">
        <v>136800</v>
      </c>
      <c r="G1898">
        <v>565</v>
      </c>
      <c r="H1898">
        <v>7</v>
      </c>
      <c r="I1898">
        <v>0</v>
      </c>
      <c r="J1898">
        <v>1</v>
      </c>
      <c r="K1898">
        <v>2</v>
      </c>
      <c r="L1898" t="s">
        <v>3138</v>
      </c>
      <c r="M1898" t="s">
        <v>4328</v>
      </c>
      <c r="N1898" t="s">
        <v>1630</v>
      </c>
      <c r="O1898" s="4">
        <v>45670.7579282407</v>
      </c>
      <c r="P1898" t="s">
        <v>1817</v>
      </c>
      <c r="Q1898" t="s">
        <v>1631</v>
      </c>
      <c r="R1898" t="s">
        <v>3945</v>
      </c>
      <c r="T1898" t="s">
        <v>1817</v>
      </c>
    </row>
    <row r="1899" ht="25.5" customHeight="1" spans="1:20">
      <c r="A1899" t="s">
        <v>2095</v>
      </c>
      <c r="B1899" t="s">
        <v>1816</v>
      </c>
      <c r="C1899" t="s">
        <v>4327</v>
      </c>
      <c r="D1899" s="3"/>
      <c r="E1899" s="2">
        <v>45670</v>
      </c>
      <c r="F1899">
        <v>145000</v>
      </c>
      <c r="G1899">
        <v>2124</v>
      </c>
      <c r="H1899">
        <v>10</v>
      </c>
      <c r="I1899">
        <v>2</v>
      </c>
      <c r="J1899">
        <v>3</v>
      </c>
      <c r="K1899">
        <v>2</v>
      </c>
      <c r="L1899" t="s">
        <v>3138</v>
      </c>
      <c r="M1899" t="s">
        <v>4328</v>
      </c>
      <c r="N1899" t="s">
        <v>1630</v>
      </c>
      <c r="O1899" s="4">
        <v>45672.5030092593</v>
      </c>
      <c r="P1899" t="s">
        <v>1817</v>
      </c>
      <c r="Q1899" t="s">
        <v>1631</v>
      </c>
      <c r="R1899" t="s">
        <v>3860</v>
      </c>
      <c r="T1899" t="s">
        <v>1817</v>
      </c>
    </row>
    <row r="1900" ht="25.5" customHeight="1" spans="1:20">
      <c r="A1900" t="s">
        <v>2095</v>
      </c>
      <c r="B1900" t="s">
        <v>1816</v>
      </c>
      <c r="C1900" t="s">
        <v>4327</v>
      </c>
      <c r="D1900" s="3"/>
      <c r="E1900" s="2">
        <v>45671</v>
      </c>
      <c r="F1900">
        <v>145200</v>
      </c>
      <c r="G1900">
        <v>2147</v>
      </c>
      <c r="H1900">
        <v>10</v>
      </c>
      <c r="I1900">
        <v>2</v>
      </c>
      <c r="J1900">
        <v>3</v>
      </c>
      <c r="K1900">
        <v>3</v>
      </c>
      <c r="L1900" t="s">
        <v>3138</v>
      </c>
      <c r="M1900" t="s">
        <v>4328</v>
      </c>
      <c r="N1900" t="s">
        <v>1630</v>
      </c>
      <c r="O1900" s="4">
        <v>45672.5030092593</v>
      </c>
      <c r="P1900" t="s">
        <v>1817</v>
      </c>
      <c r="Q1900" t="s">
        <v>1631</v>
      </c>
      <c r="R1900" t="s">
        <v>3876</v>
      </c>
      <c r="T1900" t="s">
        <v>1817</v>
      </c>
    </row>
    <row r="1901" ht="25.5" customHeight="1" spans="1:20">
      <c r="A1901" t="s">
        <v>2095</v>
      </c>
      <c r="B1901" t="s">
        <v>1816</v>
      </c>
      <c r="C1901" t="s">
        <v>4327</v>
      </c>
      <c r="D1901" s="3"/>
      <c r="E1901" s="2">
        <v>45672</v>
      </c>
      <c r="F1901">
        <v>145400</v>
      </c>
      <c r="G1901">
        <v>2154</v>
      </c>
      <c r="H1901">
        <v>10</v>
      </c>
      <c r="I1901">
        <v>2</v>
      </c>
      <c r="J1901">
        <v>3</v>
      </c>
      <c r="K1901">
        <v>3</v>
      </c>
      <c r="L1901" t="s">
        <v>3138</v>
      </c>
      <c r="M1901" t="s">
        <v>4328</v>
      </c>
      <c r="N1901" t="s">
        <v>1630</v>
      </c>
      <c r="O1901" s="4">
        <v>45672.7158217593</v>
      </c>
      <c r="P1901" t="s">
        <v>1817</v>
      </c>
      <c r="Q1901" t="s">
        <v>1631</v>
      </c>
      <c r="R1901" t="s">
        <v>3876</v>
      </c>
      <c r="T1901" t="s">
        <v>1817</v>
      </c>
    </row>
    <row r="1902" ht="25.5" customHeight="1" spans="1:20">
      <c r="A1902" t="s">
        <v>2095</v>
      </c>
      <c r="B1902" t="s">
        <v>1816</v>
      </c>
      <c r="C1902" t="s">
        <v>4327</v>
      </c>
      <c r="D1902" s="3"/>
      <c r="E1902" s="2">
        <v>45673</v>
      </c>
      <c r="F1902">
        <v>146000</v>
      </c>
      <c r="G1902">
        <v>2160</v>
      </c>
      <c r="H1902">
        <v>10</v>
      </c>
      <c r="I1902">
        <v>2</v>
      </c>
      <c r="J1902">
        <v>3</v>
      </c>
      <c r="K1902">
        <v>3</v>
      </c>
      <c r="L1902" t="s">
        <v>3138</v>
      </c>
      <c r="M1902" t="s">
        <v>4328</v>
      </c>
      <c r="N1902" t="s">
        <v>1630</v>
      </c>
      <c r="O1902" s="4">
        <v>45673.6293055556</v>
      </c>
      <c r="P1902" t="s">
        <v>1817</v>
      </c>
      <c r="Q1902" t="s">
        <v>1631</v>
      </c>
      <c r="R1902" t="s">
        <v>3876</v>
      </c>
      <c r="T1902" t="s">
        <v>1817</v>
      </c>
    </row>
    <row r="1903" ht="25.5" customHeight="1" spans="1:20">
      <c r="A1903" t="s">
        <v>2095</v>
      </c>
      <c r="B1903" t="s">
        <v>1816</v>
      </c>
      <c r="C1903" t="s">
        <v>4327</v>
      </c>
      <c r="D1903" s="3"/>
      <c r="E1903" s="2">
        <v>45674</v>
      </c>
      <c r="F1903">
        <v>146200</v>
      </c>
      <c r="G1903">
        <v>2165</v>
      </c>
      <c r="H1903">
        <v>10</v>
      </c>
      <c r="I1903">
        <v>2</v>
      </c>
      <c r="J1903">
        <v>3</v>
      </c>
      <c r="K1903">
        <v>3</v>
      </c>
      <c r="L1903" t="s">
        <v>3138</v>
      </c>
      <c r="M1903" t="s">
        <v>4328</v>
      </c>
      <c r="N1903" t="s">
        <v>1630</v>
      </c>
      <c r="O1903" s="4">
        <v>45674.6839930556</v>
      </c>
      <c r="P1903" t="s">
        <v>1817</v>
      </c>
      <c r="Q1903" t="s">
        <v>1631</v>
      </c>
      <c r="R1903" t="s">
        <v>3876</v>
      </c>
      <c r="T1903" t="s">
        <v>1817</v>
      </c>
    </row>
    <row r="1904" ht="25.5" customHeight="1" spans="1:20">
      <c r="A1904" t="s">
        <v>2095</v>
      </c>
      <c r="B1904" t="s">
        <v>1816</v>
      </c>
      <c r="C1904" t="s">
        <v>4327</v>
      </c>
      <c r="D1904" s="3"/>
      <c r="E1904" s="2">
        <v>45677</v>
      </c>
      <c r="F1904">
        <v>146300</v>
      </c>
      <c r="G1904">
        <v>2170</v>
      </c>
      <c r="H1904">
        <v>10</v>
      </c>
      <c r="I1904">
        <v>2</v>
      </c>
      <c r="J1904">
        <v>3</v>
      </c>
      <c r="K1904">
        <v>3</v>
      </c>
      <c r="L1904" t="s">
        <v>3138</v>
      </c>
      <c r="M1904" t="s">
        <v>4328</v>
      </c>
      <c r="N1904" t="s">
        <v>1630</v>
      </c>
      <c r="O1904" s="4">
        <v>45677.4429976852</v>
      </c>
      <c r="P1904" t="s">
        <v>1817</v>
      </c>
      <c r="Q1904" t="s">
        <v>1631</v>
      </c>
      <c r="R1904" t="s">
        <v>3876</v>
      </c>
      <c r="T1904" t="s">
        <v>1817</v>
      </c>
    </row>
    <row r="1905" ht="25.5" customHeight="1" spans="1:20">
      <c r="A1905" t="s">
        <v>2095</v>
      </c>
      <c r="B1905" t="s">
        <v>1816</v>
      </c>
      <c r="C1905" t="s">
        <v>4327</v>
      </c>
      <c r="D1905" s="3"/>
      <c r="E1905" s="2">
        <v>45678</v>
      </c>
      <c r="F1905">
        <v>146300</v>
      </c>
      <c r="G1905">
        <v>2172</v>
      </c>
      <c r="H1905">
        <v>10</v>
      </c>
      <c r="I1905">
        <v>2</v>
      </c>
      <c r="J1905">
        <v>3</v>
      </c>
      <c r="K1905">
        <v>3</v>
      </c>
      <c r="L1905" t="s">
        <v>3138</v>
      </c>
      <c r="M1905" t="s">
        <v>4328</v>
      </c>
      <c r="N1905" t="s">
        <v>1630</v>
      </c>
      <c r="O1905" s="4">
        <v>45678.6691435185</v>
      </c>
      <c r="P1905" t="s">
        <v>1817</v>
      </c>
      <c r="Q1905" t="s">
        <v>1631</v>
      </c>
      <c r="R1905" t="s">
        <v>3876</v>
      </c>
      <c r="T1905" t="s">
        <v>1817</v>
      </c>
    </row>
    <row r="1906" ht="25.5" customHeight="1" spans="1:20">
      <c r="A1906" t="s">
        <v>2095</v>
      </c>
      <c r="B1906" t="s">
        <v>1816</v>
      </c>
      <c r="C1906" t="s">
        <v>4327</v>
      </c>
      <c r="D1906" s="3"/>
      <c r="E1906" s="2">
        <v>45679</v>
      </c>
      <c r="F1906">
        <v>146400</v>
      </c>
      <c r="G1906">
        <v>2178</v>
      </c>
      <c r="H1906">
        <v>10</v>
      </c>
      <c r="I1906">
        <v>2</v>
      </c>
      <c r="J1906">
        <v>3</v>
      </c>
      <c r="K1906">
        <v>2</v>
      </c>
      <c r="L1906" t="s">
        <v>3138</v>
      </c>
      <c r="M1906" t="s">
        <v>4328</v>
      </c>
      <c r="N1906" t="s">
        <v>1630</v>
      </c>
      <c r="O1906" s="4">
        <v>45679.654212963</v>
      </c>
      <c r="P1906" t="s">
        <v>1817</v>
      </c>
      <c r="Q1906" t="s">
        <v>1631</v>
      </c>
      <c r="R1906" t="s">
        <v>3860</v>
      </c>
      <c r="T1906" t="s">
        <v>1817</v>
      </c>
    </row>
    <row r="1907" ht="25.5" customHeight="1" spans="1:20">
      <c r="A1907" t="s">
        <v>2095</v>
      </c>
      <c r="B1907" t="s">
        <v>1816</v>
      </c>
      <c r="C1907" t="s">
        <v>4327</v>
      </c>
      <c r="D1907" s="3"/>
      <c r="E1907" s="2">
        <v>45680</v>
      </c>
      <c r="F1907">
        <v>146600</v>
      </c>
      <c r="G1907">
        <v>2186</v>
      </c>
      <c r="H1907">
        <v>10</v>
      </c>
      <c r="I1907">
        <v>2</v>
      </c>
      <c r="J1907">
        <v>3</v>
      </c>
      <c r="K1907">
        <v>3</v>
      </c>
      <c r="L1907" t="s">
        <v>3138</v>
      </c>
      <c r="M1907" t="s">
        <v>4328</v>
      </c>
      <c r="N1907" t="s">
        <v>1630</v>
      </c>
      <c r="O1907" s="4">
        <v>45680.6697800926</v>
      </c>
      <c r="P1907" t="s">
        <v>1817</v>
      </c>
      <c r="Q1907" t="s">
        <v>1631</v>
      </c>
      <c r="R1907" t="s">
        <v>3876</v>
      </c>
      <c r="T1907" t="s">
        <v>1817</v>
      </c>
    </row>
    <row r="1908" ht="25.5" customHeight="1" spans="1:20">
      <c r="A1908" t="s">
        <v>2095</v>
      </c>
      <c r="B1908" t="s">
        <v>1816</v>
      </c>
      <c r="C1908" t="s">
        <v>4327</v>
      </c>
      <c r="D1908" s="3"/>
      <c r="E1908" s="2">
        <v>45681</v>
      </c>
      <c r="F1908">
        <v>146800</v>
      </c>
      <c r="G1908">
        <v>2187</v>
      </c>
      <c r="H1908">
        <v>10</v>
      </c>
      <c r="I1908">
        <v>2</v>
      </c>
      <c r="J1908">
        <v>3</v>
      </c>
      <c r="K1908">
        <v>3</v>
      </c>
      <c r="L1908" t="s">
        <v>3138</v>
      </c>
      <c r="M1908" t="s">
        <v>4328</v>
      </c>
      <c r="N1908" t="s">
        <v>1630</v>
      </c>
      <c r="O1908" s="4">
        <v>45681.6550115741</v>
      </c>
      <c r="P1908" t="s">
        <v>1817</v>
      </c>
      <c r="Q1908" t="s">
        <v>1631</v>
      </c>
      <c r="R1908" t="s">
        <v>3876</v>
      </c>
      <c r="T1908" t="s">
        <v>1817</v>
      </c>
    </row>
    <row r="1909" ht="25.5" customHeight="1" spans="1:20">
      <c r="A1909" t="s">
        <v>2095</v>
      </c>
      <c r="B1909" t="s">
        <v>1816</v>
      </c>
      <c r="C1909" t="s">
        <v>4327</v>
      </c>
      <c r="D1909" s="3"/>
      <c r="E1909" s="2">
        <v>45683</v>
      </c>
      <c r="F1909">
        <v>147300</v>
      </c>
      <c r="G1909">
        <v>2197</v>
      </c>
      <c r="H1909">
        <v>10</v>
      </c>
      <c r="I1909">
        <v>2</v>
      </c>
      <c r="J1909">
        <v>3</v>
      </c>
      <c r="K1909">
        <v>3</v>
      </c>
      <c r="L1909" t="s">
        <v>3138</v>
      </c>
      <c r="M1909" t="s">
        <v>4328</v>
      </c>
      <c r="N1909" t="s">
        <v>1630</v>
      </c>
      <c r="O1909" s="4">
        <v>45683.7970601852</v>
      </c>
      <c r="P1909" t="s">
        <v>1817</v>
      </c>
      <c r="Q1909" t="s">
        <v>1631</v>
      </c>
      <c r="R1909" t="s">
        <v>3876</v>
      </c>
      <c r="T1909" t="s">
        <v>1817</v>
      </c>
    </row>
    <row r="1910" ht="25.5" customHeight="1" spans="1:20">
      <c r="A1910" t="s">
        <v>2095</v>
      </c>
      <c r="B1910" t="s">
        <v>1816</v>
      </c>
      <c r="C1910" t="s">
        <v>4327</v>
      </c>
      <c r="D1910" s="3"/>
      <c r="E1910" s="2">
        <v>45684</v>
      </c>
      <c r="F1910">
        <v>147800</v>
      </c>
      <c r="G1910">
        <v>2198</v>
      </c>
      <c r="H1910">
        <v>11</v>
      </c>
      <c r="I1910">
        <v>2</v>
      </c>
      <c r="J1910">
        <v>3</v>
      </c>
      <c r="K1910">
        <v>3</v>
      </c>
      <c r="L1910" t="s">
        <v>3138</v>
      </c>
      <c r="M1910" t="s">
        <v>4328</v>
      </c>
      <c r="N1910" t="s">
        <v>1630</v>
      </c>
      <c r="O1910" s="4">
        <v>45693.8380324074</v>
      </c>
      <c r="P1910" t="s">
        <v>1817</v>
      </c>
      <c r="Q1910" t="s">
        <v>1631</v>
      </c>
      <c r="R1910" t="s">
        <v>3877</v>
      </c>
      <c r="T1910" t="s">
        <v>1817</v>
      </c>
    </row>
    <row r="1911" ht="25.5" customHeight="1" spans="1:20">
      <c r="A1911" t="s">
        <v>2095</v>
      </c>
      <c r="B1911" t="s">
        <v>1816</v>
      </c>
      <c r="C1911" t="s">
        <v>4327</v>
      </c>
      <c r="D1911" s="3"/>
      <c r="E1911" s="2">
        <v>45693</v>
      </c>
      <c r="F1911">
        <v>160700</v>
      </c>
      <c r="G1911">
        <v>2217</v>
      </c>
      <c r="H1911">
        <v>11</v>
      </c>
      <c r="I1911">
        <v>2</v>
      </c>
      <c r="J1911">
        <v>3</v>
      </c>
      <c r="K1911">
        <v>3</v>
      </c>
      <c r="L1911" t="s">
        <v>3138</v>
      </c>
      <c r="M1911" t="s">
        <v>4328</v>
      </c>
      <c r="N1911" t="s">
        <v>1630</v>
      </c>
      <c r="O1911" s="4">
        <v>45693.8381828704</v>
      </c>
      <c r="P1911" t="s">
        <v>1817</v>
      </c>
      <c r="Q1911" t="s">
        <v>1631</v>
      </c>
      <c r="R1911" t="s">
        <v>3877</v>
      </c>
      <c r="T1911" t="s">
        <v>1817</v>
      </c>
    </row>
    <row r="1912" ht="25.5" customHeight="1" spans="1:20">
      <c r="A1912" t="s">
        <v>2095</v>
      </c>
      <c r="B1912" t="s">
        <v>1816</v>
      </c>
      <c r="C1912" t="s">
        <v>4327</v>
      </c>
      <c r="D1912" s="3"/>
      <c r="E1912" s="2">
        <v>45694</v>
      </c>
      <c r="F1912">
        <v>161000</v>
      </c>
      <c r="G1912">
        <v>2217</v>
      </c>
      <c r="H1912">
        <v>11</v>
      </c>
      <c r="I1912">
        <v>2</v>
      </c>
      <c r="J1912">
        <v>3</v>
      </c>
      <c r="K1912">
        <v>3</v>
      </c>
      <c r="L1912" t="s">
        <v>3138</v>
      </c>
      <c r="M1912" t="s">
        <v>4328</v>
      </c>
      <c r="N1912" t="s">
        <v>1630</v>
      </c>
      <c r="O1912" s="4">
        <v>45698.6216782407</v>
      </c>
      <c r="P1912" t="s">
        <v>1817</v>
      </c>
      <c r="Q1912" t="s">
        <v>1631</v>
      </c>
      <c r="R1912" t="s">
        <v>3877</v>
      </c>
      <c r="S1912" t="s">
        <v>3245</v>
      </c>
      <c r="T1912" t="s">
        <v>1817</v>
      </c>
    </row>
    <row r="1913" ht="25.5" customHeight="1" spans="1:18">
      <c r="A1913" t="s">
        <v>4329</v>
      </c>
      <c r="D1913" s="3"/>
      <c r="E1913" s="2"/>
      <c r="O1913" s="4">
        <v>45670.743587963</v>
      </c>
      <c r="R1913" t="s">
        <v>3133</v>
      </c>
    </row>
    <row r="1914" ht="25.5" customHeight="1" spans="1:20">
      <c r="A1914" t="s">
        <v>2852</v>
      </c>
      <c r="B1914" t="s">
        <v>65</v>
      </c>
      <c r="C1914" t="s">
        <v>4330</v>
      </c>
      <c r="D1914" s="3"/>
      <c r="E1914" s="2">
        <v>45694</v>
      </c>
      <c r="F1914">
        <v>674000</v>
      </c>
      <c r="G1914">
        <v>14513</v>
      </c>
      <c r="H1914">
        <v>182</v>
      </c>
      <c r="I1914">
        <v>11</v>
      </c>
      <c r="J1914">
        <v>292</v>
      </c>
      <c r="K1914">
        <v>0</v>
      </c>
      <c r="L1914" t="s">
        <v>3138</v>
      </c>
      <c r="M1914" t="s">
        <v>4331</v>
      </c>
      <c r="N1914" t="s">
        <v>1630</v>
      </c>
      <c r="O1914" s="4">
        <v>45698.6216782407</v>
      </c>
      <c r="P1914" t="s">
        <v>66</v>
      </c>
      <c r="Q1914" t="s">
        <v>1631</v>
      </c>
      <c r="R1914" t="s">
        <v>4332</v>
      </c>
      <c r="S1914" t="s">
        <v>3169</v>
      </c>
      <c r="T1914" t="s">
        <v>66</v>
      </c>
    </row>
    <row r="1915" ht="25.5" customHeight="1" spans="1:20">
      <c r="A1915" t="s">
        <v>2852</v>
      </c>
      <c r="B1915" t="s">
        <v>65</v>
      </c>
      <c r="C1915" t="s">
        <v>4330</v>
      </c>
      <c r="D1915" s="3"/>
      <c r="E1915" s="2">
        <v>45695</v>
      </c>
      <c r="F1915">
        <v>674000</v>
      </c>
      <c r="L1915" t="s">
        <v>3138</v>
      </c>
      <c r="M1915" t="s">
        <v>4331</v>
      </c>
      <c r="N1915" t="s">
        <v>1630</v>
      </c>
      <c r="O1915" s="4">
        <v>45695.4935648148</v>
      </c>
      <c r="P1915" t="s">
        <v>66</v>
      </c>
      <c r="Q1915" t="s">
        <v>1631</v>
      </c>
      <c r="R1915" t="s">
        <v>3133</v>
      </c>
      <c r="T1915" t="s">
        <v>66</v>
      </c>
    </row>
    <row r="1916" ht="25.5" customHeight="1" spans="1:20">
      <c r="A1916" t="s">
        <v>2852</v>
      </c>
      <c r="B1916" t="s">
        <v>65</v>
      </c>
      <c r="C1916" t="s">
        <v>4330</v>
      </c>
      <c r="D1916" s="3"/>
      <c r="E1916" s="2">
        <v>45696</v>
      </c>
      <c r="F1916">
        <v>675000</v>
      </c>
      <c r="L1916" t="s">
        <v>3138</v>
      </c>
      <c r="M1916" t="s">
        <v>4331</v>
      </c>
      <c r="N1916" t="s">
        <v>1630</v>
      </c>
      <c r="O1916" s="4">
        <v>45696.4509375</v>
      </c>
      <c r="P1916" t="s">
        <v>66</v>
      </c>
      <c r="Q1916" t="s">
        <v>1631</v>
      </c>
      <c r="R1916" t="s">
        <v>3133</v>
      </c>
      <c r="T1916" t="s">
        <v>66</v>
      </c>
    </row>
    <row r="1917" ht="25.5" customHeight="1" spans="1:20">
      <c r="A1917" t="s">
        <v>1017</v>
      </c>
      <c r="B1917" t="s">
        <v>65</v>
      </c>
      <c r="C1917" t="s">
        <v>4333</v>
      </c>
      <c r="D1917" s="3" t="str">
        <f>HYPERLINK("https://www.instagram.com/topesdegama/reels/?hl=es","https://www.instagram.com/topesdegama/reels/?hl=es")</f>
        <v>https://www.instagram.com/topesdegama/reels/?hl=es</v>
      </c>
      <c r="E1917" s="2">
        <v>45693</v>
      </c>
      <c r="F1917">
        <v>678000000</v>
      </c>
      <c r="G1917">
        <v>59400</v>
      </c>
      <c r="H1917">
        <v>906</v>
      </c>
      <c r="I1917">
        <v>0</v>
      </c>
      <c r="L1917" t="s">
        <v>3138</v>
      </c>
      <c r="M1917" t="s">
        <v>4334</v>
      </c>
      <c r="N1917" t="s">
        <v>1630</v>
      </c>
      <c r="O1917" s="4">
        <v>45695.5031828704</v>
      </c>
      <c r="P1917" t="s">
        <v>116</v>
      </c>
      <c r="Q1917" t="s">
        <v>1652</v>
      </c>
      <c r="R1917" t="s">
        <v>4335</v>
      </c>
      <c r="T1917" t="s">
        <v>116</v>
      </c>
    </row>
    <row r="1918" ht="25.5" customHeight="1" spans="1:20">
      <c r="A1918" t="s">
        <v>1017</v>
      </c>
      <c r="B1918" t="s">
        <v>65</v>
      </c>
      <c r="C1918" t="s">
        <v>4333</v>
      </c>
      <c r="D1918" s="3"/>
      <c r="E1918" s="2">
        <v>45694</v>
      </c>
      <c r="F1918">
        <v>678000000</v>
      </c>
      <c r="G1918">
        <v>60300</v>
      </c>
      <c r="H1918">
        <v>912</v>
      </c>
      <c r="I1918">
        <v>0</v>
      </c>
      <c r="L1918" t="s">
        <v>3138</v>
      </c>
      <c r="M1918" t="s">
        <v>4334</v>
      </c>
      <c r="N1918" t="s">
        <v>1630</v>
      </c>
      <c r="O1918" s="4">
        <v>45698.6216782407</v>
      </c>
      <c r="P1918" t="s">
        <v>116</v>
      </c>
      <c r="Q1918" t="s">
        <v>1652</v>
      </c>
      <c r="R1918" t="s">
        <v>4336</v>
      </c>
      <c r="S1918" t="s">
        <v>3152</v>
      </c>
      <c r="T1918" t="s">
        <v>116</v>
      </c>
    </row>
    <row r="1919" ht="25.5" customHeight="1" spans="1:20">
      <c r="A1919" t="s">
        <v>1017</v>
      </c>
      <c r="B1919" t="s">
        <v>65</v>
      </c>
      <c r="C1919" t="s">
        <v>4333</v>
      </c>
      <c r="D1919" s="3"/>
      <c r="E1919" s="2">
        <v>45695</v>
      </c>
      <c r="F1919">
        <v>678000000</v>
      </c>
      <c r="G1919">
        <v>60300</v>
      </c>
      <c r="H1919">
        <v>923</v>
      </c>
      <c r="I1919">
        <v>0</v>
      </c>
      <c r="L1919" t="s">
        <v>3138</v>
      </c>
      <c r="M1919" t="s">
        <v>4334</v>
      </c>
      <c r="N1919" t="s">
        <v>1630</v>
      </c>
      <c r="O1919" s="4">
        <v>45695.503287037</v>
      </c>
      <c r="P1919" t="s">
        <v>116</v>
      </c>
      <c r="Q1919" t="s">
        <v>1652</v>
      </c>
      <c r="R1919" t="s">
        <v>4337</v>
      </c>
      <c r="T1919" t="s">
        <v>116</v>
      </c>
    </row>
    <row r="1920" ht="25.5" customHeight="1" spans="1:20">
      <c r="A1920" t="s">
        <v>1017</v>
      </c>
      <c r="B1920" t="s">
        <v>65</v>
      </c>
      <c r="C1920" t="s">
        <v>4333</v>
      </c>
      <c r="D1920" s="3"/>
      <c r="E1920" s="2">
        <v>45696</v>
      </c>
      <c r="F1920">
        <v>678000000</v>
      </c>
      <c r="G1920">
        <v>60700</v>
      </c>
      <c r="H1920">
        <v>926</v>
      </c>
      <c r="I1920">
        <v>0</v>
      </c>
      <c r="L1920" t="s">
        <v>3138</v>
      </c>
      <c r="M1920" t="s">
        <v>4334</v>
      </c>
      <c r="N1920" t="s">
        <v>1630</v>
      </c>
      <c r="O1920" s="4">
        <v>45696.4513773148</v>
      </c>
      <c r="P1920" t="s">
        <v>116</v>
      </c>
      <c r="Q1920" t="s">
        <v>1652</v>
      </c>
      <c r="R1920" t="s">
        <v>4338</v>
      </c>
      <c r="T1920" t="s">
        <v>116</v>
      </c>
    </row>
    <row r="1921" ht="25.5" customHeight="1" spans="1:18">
      <c r="A1921" t="s">
        <v>4339</v>
      </c>
      <c r="D1921" s="3"/>
      <c r="E1921" s="2"/>
      <c r="O1921" s="4">
        <v>45670.743587963</v>
      </c>
      <c r="R1921" t="s">
        <v>3133</v>
      </c>
    </row>
    <row r="1922" ht="25.5" customHeight="1" spans="1:20">
      <c r="A1922" t="s">
        <v>1928</v>
      </c>
      <c r="B1922" t="s">
        <v>65</v>
      </c>
      <c r="C1922" t="s">
        <v>4340</v>
      </c>
      <c r="D1922" s="3" t="str">
        <f>HYPERLINK("https://www.instagram.com/aprendeconvalerio/reels/","https://www.instagram.com/aprendeconvalerio/reels/")</f>
        <v>https://www.instagram.com/aprendeconvalerio/reels/</v>
      </c>
      <c r="E1922" s="2">
        <v>45683</v>
      </c>
      <c r="F1922">
        <v>1200000</v>
      </c>
      <c r="G1922">
        <v>22000</v>
      </c>
      <c r="H1922">
        <v>403</v>
      </c>
      <c r="I1922">
        <v>240</v>
      </c>
      <c r="L1922" t="s">
        <v>3138</v>
      </c>
      <c r="M1922" t="s">
        <v>3594</v>
      </c>
      <c r="N1922" t="s">
        <v>1630</v>
      </c>
      <c r="O1922" s="4">
        <v>45683.7339236111</v>
      </c>
      <c r="P1922" t="s">
        <v>116</v>
      </c>
      <c r="Q1922" t="s">
        <v>1631</v>
      </c>
      <c r="R1922" t="s">
        <v>4341</v>
      </c>
      <c r="T1922" t="s">
        <v>116</v>
      </c>
    </row>
    <row r="1923" ht="25.5" customHeight="1" spans="1:20">
      <c r="A1923" t="s">
        <v>1928</v>
      </c>
      <c r="B1923" t="s">
        <v>65</v>
      </c>
      <c r="C1923" t="s">
        <v>4340</v>
      </c>
      <c r="D1923" s="3"/>
      <c r="E1923" s="2">
        <v>45684</v>
      </c>
      <c r="F1923">
        <v>1200000</v>
      </c>
      <c r="G1923">
        <v>26200</v>
      </c>
      <c r="H1923">
        <v>465</v>
      </c>
      <c r="I1923">
        <v>288</v>
      </c>
      <c r="L1923" t="s">
        <v>3138</v>
      </c>
      <c r="M1923" t="s">
        <v>3594</v>
      </c>
      <c r="N1923" t="s">
        <v>1630</v>
      </c>
      <c r="O1923" s="4">
        <v>45684.7825694444</v>
      </c>
      <c r="P1923" t="s">
        <v>116</v>
      </c>
      <c r="Q1923" t="s">
        <v>1631</v>
      </c>
      <c r="R1923" t="s">
        <v>4342</v>
      </c>
      <c r="T1923" t="s">
        <v>116</v>
      </c>
    </row>
    <row r="1924" ht="25.5" customHeight="1" spans="1:20">
      <c r="A1924" t="s">
        <v>1928</v>
      </c>
      <c r="B1924" t="s">
        <v>65</v>
      </c>
      <c r="C1924" t="s">
        <v>4340</v>
      </c>
      <c r="D1924" s="3"/>
      <c r="E1924" s="2">
        <v>45693</v>
      </c>
      <c r="F1924">
        <v>1200000</v>
      </c>
      <c r="G1924">
        <v>33000</v>
      </c>
      <c r="H1924">
        <v>571</v>
      </c>
      <c r="I1924">
        <v>346</v>
      </c>
      <c r="L1924" t="s">
        <v>3138</v>
      </c>
      <c r="M1924" t="s">
        <v>3594</v>
      </c>
      <c r="N1924" t="s">
        <v>1630</v>
      </c>
      <c r="O1924" s="4">
        <v>45694.426712963</v>
      </c>
      <c r="P1924" t="s">
        <v>116</v>
      </c>
      <c r="Q1924" t="s">
        <v>1631</v>
      </c>
      <c r="R1924" t="s">
        <v>4343</v>
      </c>
      <c r="T1924" t="s">
        <v>116</v>
      </c>
    </row>
    <row r="1925" ht="25.5" customHeight="1" spans="1:20">
      <c r="A1925" t="s">
        <v>1928</v>
      </c>
      <c r="B1925" t="s">
        <v>65</v>
      </c>
      <c r="C1925" t="s">
        <v>4340</v>
      </c>
      <c r="D1925" s="3"/>
      <c r="E1925" s="2">
        <v>45694</v>
      </c>
      <c r="F1925">
        <v>1200000</v>
      </c>
      <c r="G1925">
        <v>33700</v>
      </c>
      <c r="H1925">
        <v>579</v>
      </c>
      <c r="I1925">
        <v>348</v>
      </c>
      <c r="L1925" t="s">
        <v>3138</v>
      </c>
      <c r="M1925" t="s">
        <v>3594</v>
      </c>
      <c r="N1925" t="s">
        <v>1630</v>
      </c>
      <c r="O1925" s="4">
        <v>45698.6216782407</v>
      </c>
      <c r="P1925" t="s">
        <v>116</v>
      </c>
      <c r="Q1925" t="s">
        <v>1631</v>
      </c>
      <c r="R1925" t="s">
        <v>3678</v>
      </c>
      <c r="S1925" t="s">
        <v>3152</v>
      </c>
      <c r="T1925" t="s">
        <v>116</v>
      </c>
    </row>
    <row r="1926" ht="25.5" customHeight="1" spans="1:20">
      <c r="A1926" t="s">
        <v>1928</v>
      </c>
      <c r="B1926" t="s">
        <v>65</v>
      </c>
      <c r="C1926" t="s">
        <v>4340</v>
      </c>
      <c r="D1926" s="3"/>
      <c r="E1926" s="2">
        <v>45695</v>
      </c>
      <c r="F1926">
        <v>1200000</v>
      </c>
      <c r="G1926">
        <v>34200</v>
      </c>
      <c r="H1926">
        <v>584</v>
      </c>
      <c r="I1926">
        <v>352</v>
      </c>
      <c r="L1926" t="s">
        <v>3138</v>
      </c>
      <c r="M1926" t="s">
        <v>3594</v>
      </c>
      <c r="N1926" t="s">
        <v>1630</v>
      </c>
      <c r="O1926" s="4">
        <v>45695.4970486111</v>
      </c>
      <c r="P1926" t="s">
        <v>116</v>
      </c>
      <c r="Q1926" t="s">
        <v>1631</v>
      </c>
      <c r="R1926" t="s">
        <v>4344</v>
      </c>
      <c r="T1926" t="s">
        <v>116</v>
      </c>
    </row>
    <row r="1927" ht="25.5" customHeight="1" spans="1:20">
      <c r="A1927" t="s">
        <v>1928</v>
      </c>
      <c r="B1927" t="s">
        <v>65</v>
      </c>
      <c r="C1927" t="s">
        <v>4340</v>
      </c>
      <c r="D1927" s="3"/>
      <c r="E1927" s="2">
        <v>45696</v>
      </c>
      <c r="F1927">
        <v>1200000</v>
      </c>
      <c r="G1927">
        <v>34500</v>
      </c>
      <c r="H1927">
        <v>589</v>
      </c>
      <c r="I1927">
        <v>352</v>
      </c>
      <c r="L1927" t="s">
        <v>3138</v>
      </c>
      <c r="M1927" t="s">
        <v>3594</v>
      </c>
      <c r="N1927" t="s">
        <v>1630</v>
      </c>
      <c r="O1927" s="4">
        <v>45696.4599768519</v>
      </c>
      <c r="P1927" t="s">
        <v>116</v>
      </c>
      <c r="Q1927" t="s">
        <v>1631</v>
      </c>
      <c r="R1927" t="s">
        <v>4109</v>
      </c>
      <c r="T1927" t="s">
        <v>116</v>
      </c>
    </row>
    <row r="1928" ht="25.5" customHeight="1" spans="1:20">
      <c r="A1928" t="s">
        <v>1964</v>
      </c>
      <c r="B1928" t="s">
        <v>3564</v>
      </c>
      <c r="C1928" t="s">
        <v>4345</v>
      </c>
      <c r="D1928" s="3"/>
      <c r="E1928" s="2"/>
      <c r="M1928" t="s">
        <v>3668</v>
      </c>
      <c r="N1928" t="s">
        <v>3277</v>
      </c>
      <c r="O1928" s="4">
        <v>45670.743587963</v>
      </c>
      <c r="P1928" t="s">
        <v>3567</v>
      </c>
      <c r="Q1928" t="s">
        <v>4346</v>
      </c>
      <c r="R1928" t="s">
        <v>3133</v>
      </c>
      <c r="T1928" t="s">
        <v>3567</v>
      </c>
    </row>
    <row r="1929" ht="25.5" customHeight="1" spans="1:20">
      <c r="A1929" t="s">
        <v>1964</v>
      </c>
      <c r="B1929" t="s">
        <v>3564</v>
      </c>
      <c r="C1929" t="s">
        <v>4345</v>
      </c>
      <c r="D1929" s="3"/>
      <c r="E1929" s="2"/>
      <c r="M1929" t="s">
        <v>3668</v>
      </c>
      <c r="N1929" t="s">
        <v>3277</v>
      </c>
      <c r="O1929" s="4">
        <v>45670.743587963</v>
      </c>
      <c r="P1929" t="s">
        <v>3567</v>
      </c>
      <c r="Q1929" t="s">
        <v>4346</v>
      </c>
      <c r="R1929" t="s">
        <v>3133</v>
      </c>
      <c r="T1929" t="s">
        <v>3567</v>
      </c>
    </row>
    <row r="1930" ht="25.5" customHeight="1" spans="1:18">
      <c r="A1930" t="s">
        <v>4347</v>
      </c>
      <c r="D1930" s="3"/>
      <c r="E1930" s="2"/>
      <c r="O1930" s="4">
        <v>45670.743587963</v>
      </c>
      <c r="R1930" t="s">
        <v>3133</v>
      </c>
    </row>
    <row r="1931" ht="25.5" customHeight="1" spans="1:20">
      <c r="A1931" t="s">
        <v>2708</v>
      </c>
      <c r="B1931" t="s">
        <v>56</v>
      </c>
      <c r="C1931" t="s">
        <v>4348</v>
      </c>
      <c r="D1931" s="3"/>
      <c r="E1931" s="2">
        <v>45664</v>
      </c>
      <c r="F1931">
        <v>4459</v>
      </c>
      <c r="G1931">
        <v>436</v>
      </c>
      <c r="H1931">
        <v>36</v>
      </c>
      <c r="I1931">
        <v>24</v>
      </c>
      <c r="J1931">
        <v>14</v>
      </c>
      <c r="K1931">
        <v>31</v>
      </c>
      <c r="L1931" t="s">
        <v>3510</v>
      </c>
      <c r="M1931" t="s">
        <v>3249</v>
      </c>
      <c r="N1931" t="s">
        <v>1630</v>
      </c>
      <c r="O1931" s="4">
        <v>45670.7554976852</v>
      </c>
      <c r="P1931" t="s">
        <v>57</v>
      </c>
      <c r="Q1931" t="s">
        <v>1913</v>
      </c>
      <c r="R1931" t="s">
        <v>3389</v>
      </c>
      <c r="T1931" t="s">
        <v>57</v>
      </c>
    </row>
    <row r="1932" ht="25.5" customHeight="1" spans="1:20">
      <c r="A1932" t="s">
        <v>2708</v>
      </c>
      <c r="B1932" t="s">
        <v>56</v>
      </c>
      <c r="C1932" t="s">
        <v>4348</v>
      </c>
      <c r="D1932" s="3"/>
      <c r="E1932" s="2">
        <v>45665</v>
      </c>
      <c r="F1932">
        <v>4481</v>
      </c>
      <c r="G1932">
        <v>525</v>
      </c>
      <c r="H1932">
        <v>47</v>
      </c>
      <c r="I1932">
        <v>25</v>
      </c>
      <c r="J1932">
        <v>17</v>
      </c>
      <c r="K1932">
        <v>31</v>
      </c>
      <c r="L1932" t="s">
        <v>3862</v>
      </c>
      <c r="M1932" t="s">
        <v>3249</v>
      </c>
      <c r="N1932" t="s">
        <v>1630</v>
      </c>
      <c r="O1932" s="4">
        <v>45672.5030092593</v>
      </c>
      <c r="P1932" t="s">
        <v>57</v>
      </c>
      <c r="Q1932" t="s">
        <v>1913</v>
      </c>
      <c r="R1932" t="s">
        <v>4271</v>
      </c>
      <c r="T1932" t="s">
        <v>57</v>
      </c>
    </row>
    <row r="1933" ht="25.5" customHeight="1" spans="1:20">
      <c r="A1933" t="s">
        <v>2708</v>
      </c>
      <c r="B1933" t="s">
        <v>56</v>
      </c>
      <c r="C1933" t="s">
        <v>4348</v>
      </c>
      <c r="D1933" s="3" t="str">
        <f>HYPERLINK("https://www.tiktok.com/@void_tech96","https://www.tiktok.com/@void_tech96")</f>
        <v>https://www.tiktok.com/@void_tech96</v>
      </c>
      <c r="E1933" s="2">
        <v>45670</v>
      </c>
      <c r="F1933">
        <v>4620</v>
      </c>
      <c r="G1933">
        <v>858</v>
      </c>
      <c r="H1933">
        <v>62</v>
      </c>
      <c r="I1933">
        <v>26</v>
      </c>
      <c r="J1933">
        <v>19</v>
      </c>
      <c r="K1933">
        <v>33</v>
      </c>
      <c r="L1933" t="s">
        <v>3831</v>
      </c>
      <c r="M1933" t="s">
        <v>3249</v>
      </c>
      <c r="N1933" t="s">
        <v>1630</v>
      </c>
      <c r="O1933" s="4">
        <v>45672.5030092593</v>
      </c>
      <c r="P1933" t="s">
        <v>57</v>
      </c>
      <c r="Q1933" t="s">
        <v>1913</v>
      </c>
      <c r="R1933" t="s">
        <v>4349</v>
      </c>
      <c r="T1933" t="s">
        <v>57</v>
      </c>
    </row>
    <row r="1934" ht="25.5" customHeight="1" spans="1:20">
      <c r="A1934" t="s">
        <v>2708</v>
      </c>
      <c r="B1934" t="s">
        <v>56</v>
      </c>
      <c r="C1934" t="s">
        <v>4348</v>
      </c>
      <c r="D1934" s="3"/>
      <c r="E1934" s="2">
        <v>45671</v>
      </c>
      <c r="F1934">
        <v>4637</v>
      </c>
      <c r="G1934">
        <v>906</v>
      </c>
      <c r="H1934">
        <v>63</v>
      </c>
      <c r="I1934">
        <v>23</v>
      </c>
      <c r="J1934">
        <v>19</v>
      </c>
      <c r="K1934">
        <v>33</v>
      </c>
      <c r="L1934" t="s">
        <v>3227</v>
      </c>
      <c r="M1934" t="s">
        <v>3249</v>
      </c>
      <c r="N1934" t="s">
        <v>1630</v>
      </c>
      <c r="O1934" s="4">
        <v>45672.5030092593</v>
      </c>
      <c r="P1934" t="s">
        <v>57</v>
      </c>
      <c r="Q1934" t="s">
        <v>1913</v>
      </c>
      <c r="R1934" t="s">
        <v>4022</v>
      </c>
      <c r="T1934" t="s">
        <v>57</v>
      </c>
    </row>
    <row r="1935" ht="25.5" customHeight="1" spans="1:20">
      <c r="A1935" t="s">
        <v>2708</v>
      </c>
      <c r="B1935" t="s">
        <v>56</v>
      </c>
      <c r="C1935" t="s">
        <v>4348</v>
      </c>
      <c r="D1935" s="3"/>
      <c r="E1935" s="2">
        <v>45672</v>
      </c>
      <c r="F1935">
        <v>4646</v>
      </c>
      <c r="G1935">
        <v>933</v>
      </c>
      <c r="H1935">
        <v>64</v>
      </c>
      <c r="I1935">
        <v>23</v>
      </c>
      <c r="J1935">
        <v>19</v>
      </c>
      <c r="K1935">
        <v>33</v>
      </c>
      <c r="L1935" t="s">
        <v>3227</v>
      </c>
      <c r="M1935" t="s">
        <v>3249</v>
      </c>
      <c r="N1935" t="s">
        <v>1630</v>
      </c>
      <c r="O1935" s="4">
        <v>45672.532025463</v>
      </c>
      <c r="P1935" t="s">
        <v>57</v>
      </c>
      <c r="Q1935" t="s">
        <v>1913</v>
      </c>
      <c r="R1935" t="s">
        <v>3303</v>
      </c>
      <c r="T1935" t="s">
        <v>57</v>
      </c>
    </row>
    <row r="1936" ht="25.5" customHeight="1" spans="1:20">
      <c r="A1936" t="s">
        <v>2708</v>
      </c>
      <c r="B1936" t="s">
        <v>56</v>
      </c>
      <c r="C1936" t="s">
        <v>4348</v>
      </c>
      <c r="D1936" s="3"/>
      <c r="E1936" s="2">
        <v>45673</v>
      </c>
      <c r="F1936">
        <v>4666</v>
      </c>
      <c r="G1936">
        <v>962</v>
      </c>
      <c r="H1936">
        <v>64</v>
      </c>
      <c r="I1936">
        <v>23</v>
      </c>
      <c r="J1936">
        <v>19</v>
      </c>
      <c r="K1936">
        <v>33</v>
      </c>
      <c r="L1936" t="s">
        <v>3612</v>
      </c>
      <c r="M1936" t="s">
        <v>3249</v>
      </c>
      <c r="N1936" t="s">
        <v>1630</v>
      </c>
      <c r="O1936" s="4">
        <v>45673.6228587963</v>
      </c>
      <c r="P1936" t="s">
        <v>57</v>
      </c>
      <c r="Q1936" t="s">
        <v>1913</v>
      </c>
      <c r="R1936" t="s">
        <v>3303</v>
      </c>
      <c r="T1936" t="s">
        <v>57</v>
      </c>
    </row>
    <row r="1937" ht="25.5" customHeight="1" spans="1:20">
      <c r="A1937" t="s">
        <v>2708</v>
      </c>
      <c r="B1937" t="s">
        <v>56</v>
      </c>
      <c r="C1937" t="s">
        <v>4348</v>
      </c>
      <c r="D1937" s="3"/>
      <c r="E1937" s="2">
        <v>45674</v>
      </c>
      <c r="F1937">
        <v>4700</v>
      </c>
      <c r="G1937">
        <v>984</v>
      </c>
      <c r="H1937">
        <v>66</v>
      </c>
      <c r="I1937">
        <v>23</v>
      </c>
      <c r="J1937">
        <v>19</v>
      </c>
      <c r="K1937">
        <v>33</v>
      </c>
      <c r="L1937" t="s">
        <v>3612</v>
      </c>
      <c r="M1937" t="s">
        <v>3249</v>
      </c>
      <c r="N1937" t="s">
        <v>1630</v>
      </c>
      <c r="O1937" s="4">
        <v>45674.6784722222</v>
      </c>
      <c r="P1937" t="s">
        <v>57</v>
      </c>
      <c r="Q1937" t="s">
        <v>1913</v>
      </c>
      <c r="R1937" t="s">
        <v>3256</v>
      </c>
      <c r="T1937" t="s">
        <v>57</v>
      </c>
    </row>
    <row r="1938" ht="25.5" customHeight="1" spans="1:20">
      <c r="A1938" t="s">
        <v>2708</v>
      </c>
      <c r="B1938" t="s">
        <v>56</v>
      </c>
      <c r="C1938" t="s">
        <v>4348</v>
      </c>
      <c r="D1938" s="3"/>
      <c r="E1938" s="2">
        <v>45677</v>
      </c>
      <c r="F1938">
        <v>4751</v>
      </c>
      <c r="G1938">
        <v>1031</v>
      </c>
      <c r="H1938">
        <v>66</v>
      </c>
      <c r="I1938">
        <v>23</v>
      </c>
      <c r="J1938">
        <v>19</v>
      </c>
      <c r="K1938">
        <v>33</v>
      </c>
      <c r="L1938" t="s">
        <v>3612</v>
      </c>
      <c r="M1938" t="s">
        <v>3249</v>
      </c>
      <c r="N1938" t="s">
        <v>1630</v>
      </c>
      <c r="O1938" s="4">
        <v>45677.4377893519</v>
      </c>
      <c r="P1938" t="s">
        <v>57</v>
      </c>
      <c r="Q1938" t="s">
        <v>1913</v>
      </c>
      <c r="R1938" t="s">
        <v>3256</v>
      </c>
      <c r="T1938" t="s">
        <v>57</v>
      </c>
    </row>
    <row r="1939" ht="25.5" customHeight="1" spans="1:20">
      <c r="A1939" t="s">
        <v>2708</v>
      </c>
      <c r="B1939" t="s">
        <v>56</v>
      </c>
      <c r="C1939" t="s">
        <v>4348</v>
      </c>
      <c r="D1939" s="3"/>
      <c r="E1939" s="2">
        <v>45678</v>
      </c>
      <c r="F1939">
        <v>4798</v>
      </c>
      <c r="G1939">
        <v>1048</v>
      </c>
      <c r="H1939">
        <v>67</v>
      </c>
      <c r="I1939">
        <v>23</v>
      </c>
      <c r="J1939">
        <v>19</v>
      </c>
      <c r="K1939">
        <v>33</v>
      </c>
      <c r="L1939" t="s">
        <v>3612</v>
      </c>
      <c r="M1939" t="s">
        <v>3249</v>
      </c>
      <c r="N1939" t="s">
        <v>1630</v>
      </c>
      <c r="O1939" s="4">
        <v>45678.6593055556</v>
      </c>
      <c r="P1939" t="s">
        <v>57</v>
      </c>
      <c r="Q1939" t="s">
        <v>1913</v>
      </c>
      <c r="R1939" t="s">
        <v>3409</v>
      </c>
      <c r="T1939" t="s">
        <v>57</v>
      </c>
    </row>
    <row r="1940" ht="25.5" customHeight="1" spans="1:20">
      <c r="A1940" t="s">
        <v>2708</v>
      </c>
      <c r="B1940" t="s">
        <v>56</v>
      </c>
      <c r="C1940" t="s">
        <v>4348</v>
      </c>
      <c r="D1940" s="3"/>
      <c r="E1940" s="2">
        <v>45679</v>
      </c>
      <c r="F1940">
        <v>4862</v>
      </c>
      <c r="G1940">
        <v>1068</v>
      </c>
      <c r="H1940">
        <v>67</v>
      </c>
      <c r="I1940">
        <v>23</v>
      </c>
      <c r="J1940">
        <v>19</v>
      </c>
      <c r="K1940">
        <v>33</v>
      </c>
      <c r="L1940" t="s">
        <v>3612</v>
      </c>
      <c r="M1940" t="s">
        <v>3249</v>
      </c>
      <c r="N1940" t="s">
        <v>1630</v>
      </c>
      <c r="O1940" s="4">
        <v>45679.6990856481</v>
      </c>
      <c r="P1940" t="s">
        <v>57</v>
      </c>
      <c r="Q1940" t="s">
        <v>1913</v>
      </c>
      <c r="R1940" t="s">
        <v>3409</v>
      </c>
      <c r="T1940" t="s">
        <v>57</v>
      </c>
    </row>
    <row r="1941" ht="25.5" customHeight="1" spans="1:20">
      <c r="A1941" t="s">
        <v>2708</v>
      </c>
      <c r="B1941" t="s">
        <v>56</v>
      </c>
      <c r="C1941" t="s">
        <v>4348</v>
      </c>
      <c r="D1941" s="3"/>
      <c r="E1941" s="2">
        <v>45680</v>
      </c>
      <c r="F1941">
        <v>4882</v>
      </c>
      <c r="G1941">
        <v>1077</v>
      </c>
      <c r="H1941">
        <v>67</v>
      </c>
      <c r="I1941">
        <v>23</v>
      </c>
      <c r="J1941">
        <v>19</v>
      </c>
      <c r="K1941">
        <v>33</v>
      </c>
      <c r="L1941" t="s">
        <v>3298</v>
      </c>
      <c r="M1941" t="s">
        <v>3249</v>
      </c>
      <c r="N1941" t="s">
        <v>1630</v>
      </c>
      <c r="O1941" s="4">
        <v>45680.6611921296</v>
      </c>
      <c r="P1941" t="s">
        <v>57</v>
      </c>
      <c r="Q1941" t="s">
        <v>1913</v>
      </c>
      <c r="R1941" t="s">
        <v>3409</v>
      </c>
      <c r="T1941" t="s">
        <v>57</v>
      </c>
    </row>
    <row r="1942" ht="25.5" customHeight="1" spans="1:20">
      <c r="A1942" t="s">
        <v>2708</v>
      </c>
      <c r="B1942" t="s">
        <v>56</v>
      </c>
      <c r="C1942" t="s">
        <v>4348</v>
      </c>
      <c r="D1942" s="3"/>
      <c r="E1942" s="2">
        <v>45681</v>
      </c>
      <c r="F1942">
        <v>4910</v>
      </c>
      <c r="G1942">
        <v>1084</v>
      </c>
      <c r="H1942">
        <v>67</v>
      </c>
      <c r="I1942">
        <v>23</v>
      </c>
      <c r="J1942">
        <v>19</v>
      </c>
      <c r="K1942">
        <v>33</v>
      </c>
      <c r="L1942" t="s">
        <v>3298</v>
      </c>
      <c r="M1942" t="s">
        <v>3249</v>
      </c>
      <c r="N1942" t="s">
        <v>1630</v>
      </c>
      <c r="O1942" s="4">
        <v>45681.647974537</v>
      </c>
      <c r="P1942" t="s">
        <v>57</v>
      </c>
      <c r="Q1942" t="s">
        <v>1913</v>
      </c>
      <c r="R1942" t="s">
        <v>3409</v>
      </c>
      <c r="T1942" t="s">
        <v>57</v>
      </c>
    </row>
    <row r="1943" ht="25.5" customHeight="1" spans="1:20">
      <c r="A1943" t="s">
        <v>2708</v>
      </c>
      <c r="B1943" t="s">
        <v>56</v>
      </c>
      <c r="C1943" t="s">
        <v>4348</v>
      </c>
      <c r="D1943" s="3"/>
      <c r="E1943" s="2">
        <v>45683</v>
      </c>
      <c r="F1943">
        <v>5098</v>
      </c>
      <c r="G1943">
        <v>1115</v>
      </c>
      <c r="H1943">
        <v>68</v>
      </c>
      <c r="I1943">
        <v>23</v>
      </c>
      <c r="J1943">
        <v>19</v>
      </c>
      <c r="K1943">
        <v>33</v>
      </c>
      <c r="L1943" t="s">
        <v>3298</v>
      </c>
      <c r="M1943" t="s">
        <v>3249</v>
      </c>
      <c r="N1943" t="s">
        <v>1630</v>
      </c>
      <c r="O1943" s="4">
        <v>45683.7878472222</v>
      </c>
      <c r="P1943" t="s">
        <v>57</v>
      </c>
      <c r="Q1943" t="s">
        <v>1913</v>
      </c>
      <c r="R1943" t="s">
        <v>4350</v>
      </c>
      <c r="T1943" t="s">
        <v>57</v>
      </c>
    </row>
    <row r="1944" ht="25.5" customHeight="1" spans="1:20">
      <c r="A1944" t="s">
        <v>2708</v>
      </c>
      <c r="B1944" t="s">
        <v>56</v>
      </c>
      <c r="C1944" t="s">
        <v>4348</v>
      </c>
      <c r="D1944" s="3"/>
      <c r="E1944" s="2">
        <v>45684</v>
      </c>
      <c r="F1944">
        <v>5198</v>
      </c>
      <c r="G1944">
        <v>1136</v>
      </c>
      <c r="H1944">
        <v>68</v>
      </c>
      <c r="I1944">
        <v>23</v>
      </c>
      <c r="J1944">
        <v>19</v>
      </c>
      <c r="K1944">
        <v>33</v>
      </c>
      <c r="L1944" t="s">
        <v>3298</v>
      </c>
      <c r="M1944" t="s">
        <v>3249</v>
      </c>
      <c r="N1944" t="s">
        <v>1630</v>
      </c>
      <c r="O1944" s="4">
        <v>45684.8660763889</v>
      </c>
      <c r="P1944" t="s">
        <v>57</v>
      </c>
      <c r="Q1944" t="s">
        <v>1913</v>
      </c>
      <c r="R1944" t="s">
        <v>4350</v>
      </c>
      <c r="T1944" t="s">
        <v>57</v>
      </c>
    </row>
    <row r="1945" ht="25.5" customHeight="1" spans="1:20">
      <c r="A1945" t="s">
        <v>2708</v>
      </c>
      <c r="B1945" t="s">
        <v>56</v>
      </c>
      <c r="C1945" t="s">
        <v>4348</v>
      </c>
      <c r="D1945" s="3"/>
      <c r="E1945" s="2">
        <v>45693</v>
      </c>
      <c r="F1945">
        <v>5395</v>
      </c>
      <c r="G1945">
        <v>1196</v>
      </c>
      <c r="H1945">
        <v>71</v>
      </c>
      <c r="I1945">
        <v>23</v>
      </c>
      <c r="J1945">
        <v>19</v>
      </c>
      <c r="K1945">
        <v>33</v>
      </c>
      <c r="L1945" t="s">
        <v>3298</v>
      </c>
      <c r="M1945" t="s">
        <v>3249</v>
      </c>
      <c r="N1945" t="s">
        <v>1630</v>
      </c>
      <c r="O1945" s="4">
        <v>45693.8297569444</v>
      </c>
      <c r="P1945" t="s">
        <v>57</v>
      </c>
      <c r="Q1945" t="s">
        <v>1913</v>
      </c>
      <c r="R1945" t="s">
        <v>4351</v>
      </c>
      <c r="T1945" t="s">
        <v>57</v>
      </c>
    </row>
    <row r="1946" ht="25.5" customHeight="1" spans="1:20">
      <c r="A1946" t="s">
        <v>2708</v>
      </c>
      <c r="B1946" t="s">
        <v>56</v>
      </c>
      <c r="C1946" t="s">
        <v>4348</v>
      </c>
      <c r="D1946" s="3"/>
      <c r="E1946" s="2">
        <v>45694</v>
      </c>
      <c r="F1946">
        <v>5401</v>
      </c>
      <c r="G1946">
        <v>1197</v>
      </c>
      <c r="H1946">
        <v>71</v>
      </c>
      <c r="I1946">
        <v>23</v>
      </c>
      <c r="J1946">
        <v>19</v>
      </c>
      <c r="K1946">
        <v>33</v>
      </c>
      <c r="L1946" t="s">
        <v>3298</v>
      </c>
      <c r="M1946" t="s">
        <v>3249</v>
      </c>
      <c r="N1946" t="s">
        <v>1630</v>
      </c>
      <c r="O1946" s="4">
        <v>45698.6216782407</v>
      </c>
      <c r="P1946" t="s">
        <v>57</v>
      </c>
      <c r="Q1946" t="s">
        <v>1913</v>
      </c>
      <c r="R1946" t="s">
        <v>4351</v>
      </c>
      <c r="S1946" t="s">
        <v>3301</v>
      </c>
      <c r="T1946" t="s">
        <v>57</v>
      </c>
    </row>
    <row r="1947" ht="25.5" customHeight="1" spans="1:20">
      <c r="A1947" t="s">
        <v>1660</v>
      </c>
      <c r="B1947" t="s">
        <v>65</v>
      </c>
      <c r="C1947" t="s">
        <v>4352</v>
      </c>
      <c r="D1947" s="3" t="str">
        <f>HYPERLINK("https://www.instagram.com/wealth/","https://www.instagram.com/wealth/")</f>
        <v>https://www.instagram.com/wealth/</v>
      </c>
      <c r="E1947" s="2">
        <v>45677</v>
      </c>
      <c r="F1947">
        <v>10200000</v>
      </c>
      <c r="G1947">
        <v>1044160</v>
      </c>
      <c r="H1947">
        <v>37271</v>
      </c>
      <c r="I1947">
        <v>260</v>
      </c>
      <c r="J1947">
        <v>27000</v>
      </c>
      <c r="K1947">
        <v>17000</v>
      </c>
      <c r="L1947" t="s">
        <v>3331</v>
      </c>
      <c r="M1947" t="s">
        <v>4353</v>
      </c>
      <c r="N1947" t="s">
        <v>1630</v>
      </c>
      <c r="O1947" s="4">
        <v>45696.3908912037</v>
      </c>
      <c r="P1947" t="s">
        <v>66</v>
      </c>
      <c r="Q1947" t="s">
        <v>1631</v>
      </c>
      <c r="R1947" t="s">
        <v>4354</v>
      </c>
      <c r="T1947" t="s">
        <v>66</v>
      </c>
    </row>
    <row r="1948" ht="25.5" customHeight="1" spans="1:20">
      <c r="A1948" t="s">
        <v>1660</v>
      </c>
      <c r="B1948" t="s">
        <v>65</v>
      </c>
      <c r="C1948" t="s">
        <v>4352</v>
      </c>
      <c r="D1948" s="3"/>
      <c r="E1948" s="2">
        <v>45678</v>
      </c>
      <c r="F1948">
        <v>10200000</v>
      </c>
      <c r="G1948">
        <v>1044160</v>
      </c>
      <c r="H1948">
        <v>38013</v>
      </c>
      <c r="I1948">
        <v>263</v>
      </c>
      <c r="J1948">
        <v>27000</v>
      </c>
      <c r="K1948">
        <v>17000</v>
      </c>
      <c r="L1948" t="s">
        <v>3331</v>
      </c>
      <c r="M1948" t="s">
        <v>4353</v>
      </c>
      <c r="N1948" t="s">
        <v>1630</v>
      </c>
      <c r="O1948" s="4">
        <v>45696.3909027778</v>
      </c>
      <c r="P1948" t="s">
        <v>66</v>
      </c>
      <c r="Q1948" t="s">
        <v>1631</v>
      </c>
      <c r="R1948" t="s">
        <v>4355</v>
      </c>
      <c r="T1948" t="s">
        <v>66</v>
      </c>
    </row>
    <row r="1949" ht="25.5" customHeight="1" spans="1:20">
      <c r="A1949" t="s">
        <v>1660</v>
      </c>
      <c r="B1949" t="s">
        <v>65</v>
      </c>
      <c r="C1949" t="s">
        <v>4352</v>
      </c>
      <c r="D1949" s="3"/>
      <c r="E1949" s="2">
        <v>45679</v>
      </c>
      <c r="F1949">
        <v>10200000</v>
      </c>
      <c r="G1949">
        <v>1044160</v>
      </c>
      <c r="H1949">
        <v>38659</v>
      </c>
      <c r="I1949">
        <v>268</v>
      </c>
      <c r="J1949">
        <v>27000</v>
      </c>
      <c r="K1949">
        <v>17000</v>
      </c>
      <c r="L1949" t="s">
        <v>3331</v>
      </c>
      <c r="M1949" t="s">
        <v>4353</v>
      </c>
      <c r="N1949" t="s">
        <v>1630</v>
      </c>
      <c r="O1949" s="4">
        <v>45696.3909027778</v>
      </c>
      <c r="P1949" t="s">
        <v>66</v>
      </c>
      <c r="Q1949" t="s">
        <v>1631</v>
      </c>
      <c r="R1949" t="s">
        <v>4356</v>
      </c>
      <c r="T1949" t="s">
        <v>66</v>
      </c>
    </row>
    <row r="1950" ht="25.5" customHeight="1" spans="1:20">
      <c r="A1950" t="s">
        <v>1660</v>
      </c>
      <c r="B1950" t="s">
        <v>65</v>
      </c>
      <c r="C1950" t="s">
        <v>4352</v>
      </c>
      <c r="D1950" s="3"/>
      <c r="E1950" s="2">
        <v>45680</v>
      </c>
      <c r="F1950">
        <v>10200000</v>
      </c>
      <c r="G1950">
        <v>1044160</v>
      </c>
      <c r="H1950">
        <v>39078</v>
      </c>
      <c r="I1950">
        <v>271</v>
      </c>
      <c r="J1950">
        <v>27000</v>
      </c>
      <c r="K1950">
        <v>17000</v>
      </c>
      <c r="L1950" t="s">
        <v>3331</v>
      </c>
      <c r="M1950" t="s">
        <v>4353</v>
      </c>
      <c r="N1950" t="s">
        <v>1630</v>
      </c>
      <c r="O1950" s="4">
        <v>45696.3909143519</v>
      </c>
      <c r="P1950" t="s">
        <v>66</v>
      </c>
      <c r="Q1950" t="s">
        <v>1631</v>
      </c>
      <c r="R1950" t="s">
        <v>4357</v>
      </c>
      <c r="T1950" t="s">
        <v>66</v>
      </c>
    </row>
    <row r="1951" ht="25.5" customHeight="1" spans="1:20">
      <c r="A1951" t="s">
        <v>1660</v>
      </c>
      <c r="B1951" t="s">
        <v>65</v>
      </c>
      <c r="C1951" t="s">
        <v>4352</v>
      </c>
      <c r="D1951" s="3"/>
      <c r="E1951" s="2">
        <v>45681</v>
      </c>
      <c r="F1951">
        <v>10200000</v>
      </c>
      <c r="G1951">
        <v>1044160</v>
      </c>
      <c r="H1951">
        <v>39300</v>
      </c>
      <c r="I1951">
        <v>273</v>
      </c>
      <c r="J1951">
        <v>27000</v>
      </c>
      <c r="K1951">
        <v>17000</v>
      </c>
      <c r="L1951" t="s">
        <v>3331</v>
      </c>
      <c r="M1951" t="s">
        <v>4353</v>
      </c>
      <c r="N1951" t="s">
        <v>1630</v>
      </c>
      <c r="O1951" s="4">
        <v>45696.3909259259</v>
      </c>
      <c r="P1951" t="s">
        <v>66</v>
      </c>
      <c r="Q1951" t="s">
        <v>1631</v>
      </c>
      <c r="R1951" t="s">
        <v>4358</v>
      </c>
      <c r="T1951" t="s">
        <v>66</v>
      </c>
    </row>
    <row r="1952" ht="25.5" customHeight="1" spans="1:20">
      <c r="A1952" t="s">
        <v>1660</v>
      </c>
      <c r="B1952" t="s">
        <v>65</v>
      </c>
      <c r="C1952" t="s">
        <v>4352</v>
      </c>
      <c r="D1952" s="3"/>
      <c r="E1952" s="2">
        <v>45683</v>
      </c>
      <c r="F1952">
        <v>10200000</v>
      </c>
      <c r="G1952">
        <v>1044160</v>
      </c>
      <c r="H1952">
        <v>39700</v>
      </c>
      <c r="I1952">
        <v>278</v>
      </c>
      <c r="J1952">
        <v>27000</v>
      </c>
      <c r="K1952">
        <v>17000</v>
      </c>
      <c r="L1952" t="s">
        <v>3331</v>
      </c>
      <c r="M1952" t="s">
        <v>4353</v>
      </c>
      <c r="N1952" t="s">
        <v>1630</v>
      </c>
      <c r="O1952" s="4">
        <v>45696.3909259259</v>
      </c>
      <c r="P1952" t="s">
        <v>66</v>
      </c>
      <c r="Q1952" t="s">
        <v>1631</v>
      </c>
      <c r="R1952" t="s">
        <v>4359</v>
      </c>
      <c r="T1952" t="s">
        <v>66</v>
      </c>
    </row>
    <row r="1953" ht="25.5" customHeight="1" spans="1:20">
      <c r="A1953" t="s">
        <v>1660</v>
      </c>
      <c r="B1953" t="s">
        <v>65</v>
      </c>
      <c r="C1953" t="s">
        <v>4352</v>
      </c>
      <c r="D1953" s="3"/>
      <c r="E1953" s="2">
        <v>45684</v>
      </c>
      <c r="F1953">
        <v>10200000</v>
      </c>
      <c r="G1953">
        <v>1044160</v>
      </c>
      <c r="H1953">
        <v>39900</v>
      </c>
      <c r="I1953">
        <v>279</v>
      </c>
      <c r="J1953">
        <v>27000</v>
      </c>
      <c r="K1953">
        <v>17000</v>
      </c>
      <c r="L1953" t="s">
        <v>3331</v>
      </c>
      <c r="M1953" t="s">
        <v>4353</v>
      </c>
      <c r="N1953" t="s">
        <v>1630</v>
      </c>
      <c r="O1953" s="4">
        <v>45696.3909375</v>
      </c>
      <c r="P1953" t="s">
        <v>66</v>
      </c>
      <c r="Q1953" t="s">
        <v>1631</v>
      </c>
      <c r="R1953" t="s">
        <v>4360</v>
      </c>
      <c r="T1953" t="s">
        <v>66</v>
      </c>
    </row>
    <row r="1954" ht="25.5" customHeight="1" spans="1:20">
      <c r="A1954" t="s">
        <v>1660</v>
      </c>
      <c r="B1954" t="s">
        <v>65</v>
      </c>
      <c r="C1954" t="s">
        <v>4352</v>
      </c>
      <c r="D1954" s="3"/>
      <c r="E1954" s="2">
        <v>45693</v>
      </c>
      <c r="F1954">
        <v>10200000</v>
      </c>
      <c r="G1954">
        <v>1044160</v>
      </c>
      <c r="H1954">
        <v>40000</v>
      </c>
      <c r="I1954">
        <v>281</v>
      </c>
      <c r="J1954">
        <v>27000</v>
      </c>
      <c r="K1954">
        <v>17000</v>
      </c>
      <c r="L1954" t="s">
        <v>3331</v>
      </c>
      <c r="M1954" t="s">
        <v>4353</v>
      </c>
      <c r="N1954" t="s">
        <v>1630</v>
      </c>
      <c r="O1954" s="4">
        <v>45696.3909375</v>
      </c>
      <c r="P1954" t="s">
        <v>66</v>
      </c>
      <c r="Q1954" t="s">
        <v>1631</v>
      </c>
      <c r="R1954" t="s">
        <v>4361</v>
      </c>
      <c r="T1954" t="s">
        <v>66</v>
      </c>
    </row>
    <row r="1955" ht="25.5" customHeight="1" spans="1:20">
      <c r="A1955" t="s">
        <v>1660</v>
      </c>
      <c r="B1955" t="s">
        <v>65</v>
      </c>
      <c r="C1955" t="s">
        <v>4352</v>
      </c>
      <c r="D1955" s="3"/>
      <c r="E1955" s="2">
        <v>45694</v>
      </c>
      <c r="F1955">
        <v>10200000</v>
      </c>
      <c r="G1955">
        <v>1044160</v>
      </c>
      <c r="H1955">
        <v>40000</v>
      </c>
      <c r="I1955">
        <v>281</v>
      </c>
      <c r="J1955">
        <v>27000</v>
      </c>
      <c r="K1955">
        <v>17000</v>
      </c>
      <c r="L1955" t="s">
        <v>3331</v>
      </c>
      <c r="M1955" t="s">
        <v>4353</v>
      </c>
      <c r="N1955" t="s">
        <v>1630</v>
      </c>
      <c r="O1955" s="4">
        <v>45698.6216782407</v>
      </c>
      <c r="P1955" t="s">
        <v>66</v>
      </c>
      <c r="Q1955" t="s">
        <v>1631</v>
      </c>
      <c r="R1955" t="s">
        <v>4361</v>
      </c>
      <c r="S1955" t="s">
        <v>3152</v>
      </c>
      <c r="T1955" t="s">
        <v>66</v>
      </c>
    </row>
    <row r="1956" ht="25.5" customHeight="1" spans="1:20">
      <c r="A1956" t="s">
        <v>1660</v>
      </c>
      <c r="B1956" t="s">
        <v>65</v>
      </c>
      <c r="C1956" t="s">
        <v>4352</v>
      </c>
      <c r="D1956" s="3"/>
      <c r="E1956" s="2">
        <v>45695</v>
      </c>
      <c r="F1956">
        <v>10200000</v>
      </c>
      <c r="G1956">
        <v>1044160</v>
      </c>
      <c r="H1956">
        <v>40000</v>
      </c>
      <c r="I1956">
        <v>281</v>
      </c>
      <c r="J1956">
        <v>27000</v>
      </c>
      <c r="K1956">
        <v>17000</v>
      </c>
      <c r="L1956" t="s">
        <v>3331</v>
      </c>
      <c r="M1956" t="s">
        <v>4353</v>
      </c>
      <c r="N1956" t="s">
        <v>1630</v>
      </c>
      <c r="O1956" s="4">
        <v>45696.3909606481</v>
      </c>
      <c r="P1956" t="s">
        <v>66</v>
      </c>
      <c r="Q1956" t="s">
        <v>1631</v>
      </c>
      <c r="R1956" t="s">
        <v>4361</v>
      </c>
      <c r="T1956" t="s">
        <v>66</v>
      </c>
    </row>
    <row r="1957" ht="25.5" customHeight="1" spans="1:20">
      <c r="A1957" t="s">
        <v>1660</v>
      </c>
      <c r="B1957" t="s">
        <v>65</v>
      </c>
      <c r="C1957" t="s">
        <v>4352</v>
      </c>
      <c r="D1957" s="3"/>
      <c r="E1957" s="2">
        <v>45696</v>
      </c>
      <c r="F1957">
        <v>10200000</v>
      </c>
      <c r="G1957">
        <v>1044160</v>
      </c>
      <c r="H1957">
        <v>40000</v>
      </c>
      <c r="I1957">
        <v>281</v>
      </c>
      <c r="J1957">
        <v>27000</v>
      </c>
      <c r="K1957">
        <v>17000</v>
      </c>
      <c r="L1957" t="s">
        <v>3331</v>
      </c>
      <c r="M1957" t="s">
        <v>4353</v>
      </c>
      <c r="N1957" t="s">
        <v>1630</v>
      </c>
      <c r="O1957" s="4">
        <v>45696.3909606481</v>
      </c>
      <c r="P1957" t="s">
        <v>66</v>
      </c>
      <c r="Q1957" t="s">
        <v>1631</v>
      </c>
      <c r="R1957" t="s">
        <v>4361</v>
      </c>
      <c r="T1957" t="s">
        <v>66</v>
      </c>
    </row>
    <row r="1958" ht="25.5" customHeight="1" spans="1:20">
      <c r="A1958" t="s">
        <v>2302</v>
      </c>
      <c r="B1958" t="s">
        <v>65</v>
      </c>
      <c r="C1958" t="s">
        <v>4362</v>
      </c>
      <c r="D1958" s="3" t="str">
        <f>HYPERLINK("https://www.instagram.com/codingkite_/","https://www.instagram.com/codingkite_/")</f>
        <v>https://www.instagram.com/codingkite_/</v>
      </c>
      <c r="E1958" s="2">
        <v>45665</v>
      </c>
      <c r="F1958">
        <v>128000</v>
      </c>
      <c r="G1958">
        <v>80000</v>
      </c>
      <c r="H1958">
        <v>1149</v>
      </c>
      <c r="I1958">
        <v>237</v>
      </c>
      <c r="L1958" t="s">
        <v>3331</v>
      </c>
      <c r="M1958" t="s">
        <v>4158</v>
      </c>
      <c r="N1958" t="s">
        <v>1630</v>
      </c>
      <c r="O1958" s="4">
        <v>45700.4286574074</v>
      </c>
      <c r="P1958" t="s">
        <v>66</v>
      </c>
      <c r="Q1958" t="s">
        <v>1631</v>
      </c>
      <c r="R1958" t="s">
        <v>4363</v>
      </c>
      <c r="T1958" t="s">
        <v>66</v>
      </c>
    </row>
    <row r="1959" ht="25.5" customHeight="1" spans="1:20">
      <c r="A1959" t="s">
        <v>2302</v>
      </c>
      <c r="B1959" t="s">
        <v>65</v>
      </c>
      <c r="C1959" t="s">
        <v>4362</v>
      </c>
      <c r="D1959" s="3"/>
      <c r="E1959" s="2">
        <v>45671</v>
      </c>
      <c r="F1959">
        <v>128000</v>
      </c>
      <c r="H1959">
        <v>1193</v>
      </c>
      <c r="I1959">
        <v>244</v>
      </c>
      <c r="L1959" t="s">
        <v>3331</v>
      </c>
      <c r="M1959" t="s">
        <v>4158</v>
      </c>
      <c r="N1959" t="s">
        <v>1630</v>
      </c>
      <c r="O1959" s="4">
        <v>45672.5030092593</v>
      </c>
      <c r="P1959" t="s">
        <v>66</v>
      </c>
      <c r="Q1959" t="s">
        <v>1631</v>
      </c>
      <c r="R1959" t="s">
        <v>4364</v>
      </c>
      <c r="T1959" t="s">
        <v>66</v>
      </c>
    </row>
    <row r="1960" ht="25.5" customHeight="1" spans="1:20">
      <c r="A1960" t="s">
        <v>2302</v>
      </c>
      <c r="B1960" t="s">
        <v>65</v>
      </c>
      <c r="C1960" t="s">
        <v>4362</v>
      </c>
      <c r="D1960" s="3"/>
      <c r="E1960" s="2">
        <v>45672</v>
      </c>
      <c r="F1960">
        <v>128000</v>
      </c>
      <c r="G1960">
        <v>68705</v>
      </c>
      <c r="H1960">
        <v>1215</v>
      </c>
      <c r="I1960">
        <v>256</v>
      </c>
      <c r="L1960" t="s">
        <v>3331</v>
      </c>
      <c r="M1960" t="s">
        <v>4158</v>
      </c>
      <c r="N1960" t="s">
        <v>1630</v>
      </c>
      <c r="O1960" s="4">
        <v>45695.6201041667</v>
      </c>
      <c r="P1960" t="s">
        <v>66</v>
      </c>
      <c r="Q1960" t="s">
        <v>1631</v>
      </c>
      <c r="R1960" t="s">
        <v>4365</v>
      </c>
      <c r="T1960" t="s">
        <v>66</v>
      </c>
    </row>
    <row r="1961" ht="25.5" customHeight="1" spans="1:20">
      <c r="A1961" t="s">
        <v>2302</v>
      </c>
      <c r="B1961" t="s">
        <v>65</v>
      </c>
      <c r="C1961" t="s">
        <v>4362</v>
      </c>
      <c r="D1961" s="3"/>
      <c r="E1961" s="2">
        <v>45673</v>
      </c>
      <c r="F1961">
        <v>128000</v>
      </c>
      <c r="G1961">
        <v>68705</v>
      </c>
      <c r="H1961">
        <v>1233</v>
      </c>
      <c r="I1961">
        <v>261</v>
      </c>
      <c r="L1961" t="s">
        <v>3331</v>
      </c>
      <c r="M1961" t="s">
        <v>4158</v>
      </c>
      <c r="N1961" t="s">
        <v>1630</v>
      </c>
      <c r="O1961" s="4">
        <v>45695.6201157407</v>
      </c>
      <c r="P1961" t="s">
        <v>66</v>
      </c>
      <c r="Q1961" t="s">
        <v>1631</v>
      </c>
      <c r="R1961" t="s">
        <v>4366</v>
      </c>
      <c r="T1961" t="s">
        <v>66</v>
      </c>
    </row>
    <row r="1962" ht="25.5" customHeight="1" spans="1:20">
      <c r="A1962" t="s">
        <v>2302</v>
      </c>
      <c r="B1962" t="s">
        <v>65</v>
      </c>
      <c r="C1962" t="s">
        <v>4362</v>
      </c>
      <c r="D1962" s="3"/>
      <c r="E1962" s="2">
        <v>45674</v>
      </c>
      <c r="F1962">
        <v>128000</v>
      </c>
      <c r="G1962">
        <v>68705</v>
      </c>
      <c r="H1962">
        <v>1253</v>
      </c>
      <c r="I1962">
        <v>270</v>
      </c>
      <c r="L1962" t="s">
        <v>3331</v>
      </c>
      <c r="M1962" t="s">
        <v>4158</v>
      </c>
      <c r="N1962" t="s">
        <v>1630</v>
      </c>
      <c r="O1962" s="4">
        <v>45695.6201157407</v>
      </c>
      <c r="P1962" t="s">
        <v>66</v>
      </c>
      <c r="Q1962" t="s">
        <v>1631</v>
      </c>
      <c r="R1962" t="s">
        <v>4367</v>
      </c>
      <c r="T1962" t="s">
        <v>66</v>
      </c>
    </row>
    <row r="1963" ht="25.5" customHeight="1" spans="1:20">
      <c r="A1963" t="s">
        <v>2302</v>
      </c>
      <c r="B1963" t="s">
        <v>65</v>
      </c>
      <c r="C1963" t="s">
        <v>4362</v>
      </c>
      <c r="D1963" s="3"/>
      <c r="E1963" s="2">
        <v>45677</v>
      </c>
      <c r="F1963">
        <v>128000</v>
      </c>
      <c r="G1963">
        <v>68705</v>
      </c>
      <c r="H1963">
        <v>1300</v>
      </c>
      <c r="I1963">
        <v>275</v>
      </c>
      <c r="L1963" t="s">
        <v>3331</v>
      </c>
      <c r="M1963" t="s">
        <v>4158</v>
      </c>
      <c r="N1963" t="s">
        <v>1630</v>
      </c>
      <c r="O1963" s="4">
        <v>45695.6201273148</v>
      </c>
      <c r="P1963" t="s">
        <v>66</v>
      </c>
      <c r="Q1963" t="s">
        <v>1631</v>
      </c>
      <c r="R1963" t="s">
        <v>4368</v>
      </c>
      <c r="T1963" t="s">
        <v>66</v>
      </c>
    </row>
    <row r="1964" ht="25.5" customHeight="1" spans="1:20">
      <c r="A1964" t="s">
        <v>2302</v>
      </c>
      <c r="B1964" t="s">
        <v>65</v>
      </c>
      <c r="C1964" t="s">
        <v>4362</v>
      </c>
      <c r="D1964" s="3"/>
      <c r="E1964" s="2">
        <v>45678</v>
      </c>
      <c r="F1964">
        <v>128000</v>
      </c>
      <c r="G1964">
        <v>68705</v>
      </c>
      <c r="H1964">
        <v>1312</v>
      </c>
      <c r="I1964">
        <v>277</v>
      </c>
      <c r="L1964" t="s">
        <v>3331</v>
      </c>
      <c r="M1964" t="s">
        <v>4158</v>
      </c>
      <c r="N1964" t="s">
        <v>1630</v>
      </c>
      <c r="O1964" s="4">
        <v>45695.620150463</v>
      </c>
      <c r="P1964" t="s">
        <v>66</v>
      </c>
      <c r="Q1964" t="s">
        <v>1631</v>
      </c>
      <c r="R1964" t="s">
        <v>4369</v>
      </c>
      <c r="T1964" t="s">
        <v>66</v>
      </c>
    </row>
    <row r="1965" ht="25.5" customHeight="1" spans="1:20">
      <c r="A1965" t="s">
        <v>2302</v>
      </c>
      <c r="B1965" t="s">
        <v>65</v>
      </c>
      <c r="C1965" t="s">
        <v>4362</v>
      </c>
      <c r="D1965" s="3"/>
      <c r="E1965" s="2">
        <v>45679</v>
      </c>
      <c r="F1965">
        <v>128000</v>
      </c>
      <c r="G1965">
        <v>68705</v>
      </c>
      <c r="H1965">
        <v>1328</v>
      </c>
      <c r="I1965">
        <v>282</v>
      </c>
      <c r="L1965" t="s">
        <v>3331</v>
      </c>
      <c r="M1965" t="s">
        <v>4158</v>
      </c>
      <c r="N1965" t="s">
        <v>1630</v>
      </c>
      <c r="O1965" s="4">
        <v>45695.6201388889</v>
      </c>
      <c r="P1965" t="s">
        <v>66</v>
      </c>
      <c r="Q1965" t="s">
        <v>1631</v>
      </c>
      <c r="R1965" t="s">
        <v>4370</v>
      </c>
      <c r="T1965" t="s">
        <v>66</v>
      </c>
    </row>
    <row r="1966" ht="25.5" customHeight="1" spans="1:20">
      <c r="A1966" t="s">
        <v>2302</v>
      </c>
      <c r="B1966" t="s">
        <v>65</v>
      </c>
      <c r="C1966" t="s">
        <v>4362</v>
      </c>
      <c r="D1966" s="3"/>
      <c r="E1966" s="2">
        <v>45680</v>
      </c>
      <c r="F1966">
        <v>128000</v>
      </c>
      <c r="G1966">
        <v>68705</v>
      </c>
      <c r="H1966">
        <v>1335</v>
      </c>
      <c r="I1966">
        <v>284</v>
      </c>
      <c r="L1966" t="s">
        <v>3331</v>
      </c>
      <c r="M1966" t="s">
        <v>4158</v>
      </c>
      <c r="N1966" t="s">
        <v>1630</v>
      </c>
      <c r="O1966" s="4">
        <v>45695.620162037</v>
      </c>
      <c r="P1966" t="s">
        <v>66</v>
      </c>
      <c r="Q1966" t="s">
        <v>1631</v>
      </c>
      <c r="R1966" t="s">
        <v>4371</v>
      </c>
      <c r="T1966" t="s">
        <v>66</v>
      </c>
    </row>
    <row r="1967" ht="25.5" customHeight="1" spans="1:20">
      <c r="A1967" t="s">
        <v>2302</v>
      </c>
      <c r="B1967" t="s">
        <v>65</v>
      </c>
      <c r="C1967" t="s">
        <v>4362</v>
      </c>
      <c r="D1967" s="3"/>
      <c r="E1967" s="2">
        <v>45681</v>
      </c>
      <c r="F1967">
        <v>128000</v>
      </c>
      <c r="G1967">
        <v>68705</v>
      </c>
      <c r="H1967">
        <v>1346</v>
      </c>
      <c r="I1967">
        <v>284</v>
      </c>
      <c r="L1967" t="s">
        <v>3331</v>
      </c>
      <c r="M1967" t="s">
        <v>4158</v>
      </c>
      <c r="N1967" t="s">
        <v>1630</v>
      </c>
      <c r="O1967" s="4">
        <v>45695.620162037</v>
      </c>
      <c r="P1967" t="s">
        <v>66</v>
      </c>
      <c r="Q1967" t="s">
        <v>1631</v>
      </c>
      <c r="R1967" t="s">
        <v>4372</v>
      </c>
      <c r="T1967" t="s">
        <v>66</v>
      </c>
    </row>
    <row r="1968" ht="25.5" customHeight="1" spans="1:20">
      <c r="A1968" t="s">
        <v>2302</v>
      </c>
      <c r="B1968" t="s">
        <v>65</v>
      </c>
      <c r="C1968" t="s">
        <v>4362</v>
      </c>
      <c r="D1968" s="3"/>
      <c r="E1968" s="2">
        <v>45683</v>
      </c>
      <c r="F1968">
        <v>128000</v>
      </c>
      <c r="G1968">
        <v>68705</v>
      </c>
      <c r="H1968">
        <v>1369</v>
      </c>
      <c r="I1968">
        <v>289</v>
      </c>
      <c r="L1968" t="s">
        <v>3331</v>
      </c>
      <c r="M1968" t="s">
        <v>4158</v>
      </c>
      <c r="N1968" t="s">
        <v>1630</v>
      </c>
      <c r="O1968" s="4">
        <v>45695.6201736111</v>
      </c>
      <c r="P1968" t="s">
        <v>66</v>
      </c>
      <c r="Q1968" t="s">
        <v>1631</v>
      </c>
      <c r="R1968" t="s">
        <v>4373</v>
      </c>
      <c r="T1968" t="s">
        <v>66</v>
      </c>
    </row>
    <row r="1969" ht="25.5" customHeight="1" spans="1:20">
      <c r="A1969" t="s">
        <v>2302</v>
      </c>
      <c r="B1969" t="s">
        <v>65</v>
      </c>
      <c r="C1969" t="s">
        <v>4362</v>
      </c>
      <c r="D1969" s="3"/>
      <c r="E1969" s="2">
        <v>45684</v>
      </c>
      <c r="F1969">
        <v>128000</v>
      </c>
      <c r="G1969">
        <v>68705</v>
      </c>
      <c r="H1969">
        <v>1379</v>
      </c>
      <c r="I1969">
        <v>289</v>
      </c>
      <c r="L1969" t="s">
        <v>3331</v>
      </c>
      <c r="M1969" t="s">
        <v>4158</v>
      </c>
      <c r="N1969" t="s">
        <v>1630</v>
      </c>
      <c r="O1969" s="4">
        <v>45695.6201736111</v>
      </c>
      <c r="P1969" t="s">
        <v>66</v>
      </c>
      <c r="Q1969" t="s">
        <v>1631</v>
      </c>
      <c r="R1969" t="s">
        <v>4374</v>
      </c>
      <c r="T1969" t="s">
        <v>66</v>
      </c>
    </row>
    <row r="1970" ht="25.5" customHeight="1" spans="1:20">
      <c r="A1970" t="s">
        <v>2302</v>
      </c>
      <c r="B1970" t="s">
        <v>65</v>
      </c>
      <c r="C1970" t="s">
        <v>4362</v>
      </c>
      <c r="D1970" s="3"/>
      <c r="E1970" s="2">
        <v>45693</v>
      </c>
      <c r="F1970">
        <v>127000</v>
      </c>
      <c r="G1970">
        <v>68705</v>
      </c>
      <c r="H1970">
        <v>1577</v>
      </c>
      <c r="I1970">
        <v>327</v>
      </c>
      <c r="L1970" t="s">
        <v>3331</v>
      </c>
      <c r="M1970" t="s">
        <v>4158</v>
      </c>
      <c r="N1970" t="s">
        <v>1630</v>
      </c>
      <c r="O1970" s="4">
        <v>45695.6201851852</v>
      </c>
      <c r="P1970" t="s">
        <v>66</v>
      </c>
      <c r="Q1970" t="s">
        <v>1631</v>
      </c>
      <c r="R1970" t="s">
        <v>3751</v>
      </c>
      <c r="T1970" t="s">
        <v>66</v>
      </c>
    </row>
    <row r="1971" ht="25.5" customHeight="1" spans="1:20">
      <c r="A1971" t="s">
        <v>2302</v>
      </c>
      <c r="B1971" t="s">
        <v>65</v>
      </c>
      <c r="C1971" t="s">
        <v>4362</v>
      </c>
      <c r="D1971" s="3"/>
      <c r="E1971" s="2">
        <v>45694</v>
      </c>
      <c r="F1971">
        <v>127000</v>
      </c>
      <c r="G1971">
        <v>68705</v>
      </c>
      <c r="H1971">
        <v>1589</v>
      </c>
      <c r="I1971">
        <v>329</v>
      </c>
      <c r="L1971" t="s">
        <v>3281</v>
      </c>
      <c r="M1971" t="s">
        <v>4158</v>
      </c>
      <c r="N1971" t="s">
        <v>1630</v>
      </c>
      <c r="O1971" s="4">
        <v>45698.6216782407</v>
      </c>
      <c r="P1971" t="s">
        <v>66</v>
      </c>
      <c r="Q1971" t="s">
        <v>1631</v>
      </c>
      <c r="R1971" t="s">
        <v>3889</v>
      </c>
      <c r="S1971" t="s">
        <v>3245</v>
      </c>
      <c r="T1971" t="s">
        <v>66</v>
      </c>
    </row>
    <row r="1972" ht="25.5" customHeight="1" spans="1:20">
      <c r="A1972" t="s">
        <v>2302</v>
      </c>
      <c r="B1972" t="s">
        <v>65</v>
      </c>
      <c r="C1972" t="s">
        <v>4362</v>
      </c>
      <c r="D1972" s="3"/>
      <c r="E1972" s="2">
        <v>45695</v>
      </c>
      <c r="F1972">
        <v>127000</v>
      </c>
      <c r="G1972">
        <v>68705</v>
      </c>
      <c r="H1972">
        <v>1598</v>
      </c>
      <c r="I1972">
        <v>370</v>
      </c>
      <c r="L1972" t="s">
        <v>3281</v>
      </c>
      <c r="M1972" t="s">
        <v>4158</v>
      </c>
      <c r="N1972" t="s">
        <v>1630</v>
      </c>
      <c r="O1972" s="4">
        <v>45695.6201967593</v>
      </c>
      <c r="P1972" t="s">
        <v>66</v>
      </c>
      <c r="Q1972" t="s">
        <v>1631</v>
      </c>
      <c r="R1972" t="s">
        <v>4375</v>
      </c>
      <c r="T1972" t="s">
        <v>66</v>
      </c>
    </row>
    <row r="1973" ht="25.5" customHeight="1" spans="1:20">
      <c r="A1973" t="s">
        <v>764</v>
      </c>
      <c r="B1973" t="s">
        <v>56</v>
      </c>
      <c r="C1973" t="s">
        <v>4376</v>
      </c>
      <c r="D1973" s="3"/>
      <c r="E1973" s="2">
        <v>45673</v>
      </c>
      <c r="F1973">
        <v>195400</v>
      </c>
      <c r="G1973">
        <v>10200</v>
      </c>
      <c r="H1973">
        <v>253</v>
      </c>
      <c r="I1973">
        <v>10</v>
      </c>
      <c r="J1973">
        <v>30</v>
      </c>
      <c r="K1973">
        <v>99</v>
      </c>
      <c r="L1973" t="s">
        <v>3208</v>
      </c>
      <c r="M1973" t="s">
        <v>4377</v>
      </c>
      <c r="N1973" t="s">
        <v>1630</v>
      </c>
      <c r="O1973" s="4">
        <v>45673.6233449074</v>
      </c>
      <c r="P1973" t="s">
        <v>57</v>
      </c>
      <c r="Q1973" t="s">
        <v>1631</v>
      </c>
      <c r="R1973" t="s">
        <v>4378</v>
      </c>
      <c r="T1973" t="s">
        <v>57</v>
      </c>
    </row>
    <row r="1974" ht="25.5" customHeight="1" spans="1:20">
      <c r="A1974" t="s">
        <v>764</v>
      </c>
      <c r="B1974" t="s">
        <v>56</v>
      </c>
      <c r="C1974" t="s">
        <v>4376</v>
      </c>
      <c r="D1974" s="3"/>
      <c r="E1974" s="2">
        <v>45674</v>
      </c>
      <c r="F1974">
        <v>195500</v>
      </c>
      <c r="G1974">
        <v>10700</v>
      </c>
      <c r="H1974">
        <v>262</v>
      </c>
      <c r="I1974">
        <v>11</v>
      </c>
      <c r="J1974">
        <v>31</v>
      </c>
      <c r="K1974">
        <v>102</v>
      </c>
      <c r="L1974" t="s">
        <v>3208</v>
      </c>
      <c r="M1974" t="s">
        <v>4377</v>
      </c>
      <c r="N1974" t="s">
        <v>1630</v>
      </c>
      <c r="O1974" s="4">
        <v>45674.6786921296</v>
      </c>
      <c r="P1974" t="s">
        <v>57</v>
      </c>
      <c r="Q1974" t="s">
        <v>1631</v>
      </c>
      <c r="R1974" t="s">
        <v>3286</v>
      </c>
      <c r="T1974" t="s">
        <v>57</v>
      </c>
    </row>
    <row r="1975" ht="25.5" customHeight="1" spans="1:20">
      <c r="A1975" t="s">
        <v>764</v>
      </c>
      <c r="B1975" t="s">
        <v>56</v>
      </c>
      <c r="C1975" t="s">
        <v>4376</v>
      </c>
      <c r="D1975" s="3"/>
      <c r="E1975" s="2">
        <v>45677</v>
      </c>
      <c r="F1975">
        <v>195500</v>
      </c>
      <c r="G1975">
        <v>11500</v>
      </c>
      <c r="H1975">
        <v>278</v>
      </c>
      <c r="I1975">
        <v>11</v>
      </c>
      <c r="J1975">
        <v>32</v>
      </c>
      <c r="K1975">
        <v>107</v>
      </c>
      <c r="L1975" t="s">
        <v>3284</v>
      </c>
      <c r="M1975" t="s">
        <v>4377</v>
      </c>
      <c r="N1975" t="s">
        <v>1630</v>
      </c>
      <c r="O1975" s="4">
        <v>45677.437974537</v>
      </c>
      <c r="P1975" t="s">
        <v>57</v>
      </c>
      <c r="Q1975" t="s">
        <v>1631</v>
      </c>
      <c r="R1975" t="s">
        <v>4379</v>
      </c>
      <c r="T1975" t="s">
        <v>57</v>
      </c>
    </row>
    <row r="1976" ht="25.5" customHeight="1" spans="1:20">
      <c r="A1976" t="s">
        <v>764</v>
      </c>
      <c r="B1976" t="s">
        <v>56</v>
      </c>
      <c r="C1976" t="s">
        <v>4376</v>
      </c>
      <c r="D1976" s="3"/>
      <c r="E1976" s="2">
        <v>45678</v>
      </c>
      <c r="F1976">
        <v>195500</v>
      </c>
      <c r="G1976">
        <v>13000</v>
      </c>
      <c r="H1976">
        <v>290</v>
      </c>
      <c r="I1976">
        <v>11</v>
      </c>
      <c r="J1976">
        <v>34</v>
      </c>
      <c r="K1976">
        <v>116</v>
      </c>
      <c r="L1976" t="s">
        <v>3284</v>
      </c>
      <c r="M1976" t="s">
        <v>4377</v>
      </c>
      <c r="N1976" t="s">
        <v>1630</v>
      </c>
      <c r="O1976" s="4">
        <v>45678.6597337963</v>
      </c>
      <c r="P1976" t="s">
        <v>57</v>
      </c>
      <c r="Q1976" t="s">
        <v>1631</v>
      </c>
      <c r="R1976" t="s">
        <v>3920</v>
      </c>
      <c r="T1976" t="s">
        <v>57</v>
      </c>
    </row>
    <row r="1977" ht="25.5" customHeight="1" spans="1:20">
      <c r="A1977" t="s">
        <v>764</v>
      </c>
      <c r="B1977" t="s">
        <v>56</v>
      </c>
      <c r="C1977" t="s">
        <v>4376</v>
      </c>
      <c r="D1977" s="3"/>
      <c r="E1977" s="2">
        <v>45679</v>
      </c>
      <c r="F1977">
        <v>195500</v>
      </c>
      <c r="G1977">
        <v>13300</v>
      </c>
      <c r="H1977">
        <v>297</v>
      </c>
      <c r="I1977">
        <v>11</v>
      </c>
      <c r="J1977">
        <v>36</v>
      </c>
      <c r="K1977">
        <v>118</v>
      </c>
      <c r="L1977" t="s">
        <v>3284</v>
      </c>
      <c r="M1977" t="s">
        <v>4377</v>
      </c>
      <c r="N1977" t="s">
        <v>1630</v>
      </c>
      <c r="O1977" s="4">
        <v>45679.6992708333</v>
      </c>
      <c r="P1977" t="s">
        <v>57</v>
      </c>
      <c r="Q1977" t="s">
        <v>1631</v>
      </c>
      <c r="R1977" t="s">
        <v>4282</v>
      </c>
      <c r="T1977" t="s">
        <v>57</v>
      </c>
    </row>
    <row r="1978" ht="25.5" customHeight="1" spans="1:20">
      <c r="A1978" t="s">
        <v>764</v>
      </c>
      <c r="B1978" t="s">
        <v>56</v>
      </c>
      <c r="C1978" t="s">
        <v>4376</v>
      </c>
      <c r="D1978" s="3"/>
      <c r="E1978" s="2">
        <v>45680</v>
      </c>
      <c r="F1978">
        <v>195600</v>
      </c>
      <c r="G1978">
        <v>13500</v>
      </c>
      <c r="H1978">
        <v>300</v>
      </c>
      <c r="I1978">
        <v>12</v>
      </c>
      <c r="J1978">
        <v>38</v>
      </c>
      <c r="K1978">
        <v>120</v>
      </c>
      <c r="L1978" t="s">
        <v>3284</v>
      </c>
      <c r="M1978" t="s">
        <v>4377</v>
      </c>
      <c r="N1978" t="s">
        <v>1630</v>
      </c>
      <c r="O1978" s="4">
        <v>45680.6615162037</v>
      </c>
      <c r="P1978" t="s">
        <v>57</v>
      </c>
      <c r="Q1978" t="s">
        <v>1631</v>
      </c>
      <c r="R1978" t="s">
        <v>4380</v>
      </c>
      <c r="T1978" t="s">
        <v>57</v>
      </c>
    </row>
    <row r="1979" ht="25.5" customHeight="1" spans="1:20">
      <c r="A1979" t="s">
        <v>764</v>
      </c>
      <c r="B1979" t="s">
        <v>56</v>
      </c>
      <c r="C1979" t="s">
        <v>4376</v>
      </c>
      <c r="D1979" s="3"/>
      <c r="E1979" s="2">
        <v>45681</v>
      </c>
      <c r="F1979">
        <v>195600</v>
      </c>
      <c r="G1979">
        <v>13700</v>
      </c>
      <c r="H1979">
        <v>301</v>
      </c>
      <c r="I1979">
        <v>12</v>
      </c>
      <c r="J1979">
        <v>40</v>
      </c>
      <c r="K1979">
        <v>120</v>
      </c>
      <c r="L1979" t="s">
        <v>3284</v>
      </c>
      <c r="M1979" t="s">
        <v>4377</v>
      </c>
      <c r="N1979" t="s">
        <v>1630</v>
      </c>
      <c r="O1979" s="4">
        <v>45681.6486574074</v>
      </c>
      <c r="P1979" t="s">
        <v>57</v>
      </c>
      <c r="Q1979" t="s">
        <v>1631</v>
      </c>
      <c r="R1979" t="s">
        <v>4381</v>
      </c>
      <c r="T1979" t="s">
        <v>57</v>
      </c>
    </row>
    <row r="1980" ht="25.5" customHeight="1" spans="1:20">
      <c r="A1980" t="s">
        <v>764</v>
      </c>
      <c r="B1980" t="s">
        <v>56</v>
      </c>
      <c r="C1980" t="s">
        <v>4376</v>
      </c>
      <c r="D1980" s="3"/>
      <c r="E1980" s="2">
        <v>45683</v>
      </c>
      <c r="F1980">
        <v>195700</v>
      </c>
      <c r="G1980">
        <v>14200</v>
      </c>
      <c r="H1980">
        <v>309</v>
      </c>
      <c r="I1980">
        <v>12</v>
      </c>
      <c r="J1980">
        <v>41</v>
      </c>
      <c r="K1980">
        <v>124</v>
      </c>
      <c r="L1980" t="s">
        <v>3284</v>
      </c>
      <c r="M1980" t="s">
        <v>4377</v>
      </c>
      <c r="N1980" t="s">
        <v>1630</v>
      </c>
      <c r="O1980" s="4">
        <v>45683.7881828704</v>
      </c>
      <c r="P1980" t="s">
        <v>57</v>
      </c>
      <c r="Q1980" t="s">
        <v>1631</v>
      </c>
      <c r="R1980" t="s">
        <v>3151</v>
      </c>
      <c r="T1980" t="s">
        <v>57</v>
      </c>
    </row>
    <row r="1981" ht="25.5" customHeight="1" spans="1:20">
      <c r="A1981" t="s">
        <v>764</v>
      </c>
      <c r="B1981" t="s">
        <v>56</v>
      </c>
      <c r="C1981" t="s">
        <v>4376</v>
      </c>
      <c r="D1981" s="3"/>
      <c r="E1981" s="2">
        <v>45684</v>
      </c>
      <c r="F1981">
        <v>195700</v>
      </c>
      <c r="G1981">
        <v>14500</v>
      </c>
      <c r="H1981">
        <v>311</v>
      </c>
      <c r="I1981">
        <v>12</v>
      </c>
      <c r="J1981">
        <v>42</v>
      </c>
      <c r="K1981">
        <v>129</v>
      </c>
      <c r="L1981" t="s">
        <v>3284</v>
      </c>
      <c r="M1981" t="s">
        <v>4377</v>
      </c>
      <c r="N1981" t="s">
        <v>1630</v>
      </c>
      <c r="O1981" s="4">
        <v>45684.8662268519</v>
      </c>
      <c r="P1981" t="s">
        <v>57</v>
      </c>
      <c r="Q1981" t="s">
        <v>1631</v>
      </c>
      <c r="R1981" t="s">
        <v>4382</v>
      </c>
      <c r="T1981" t="s">
        <v>57</v>
      </c>
    </row>
    <row r="1982" ht="25.5" customHeight="1" spans="1:20">
      <c r="A1982" t="s">
        <v>764</v>
      </c>
      <c r="B1982" t="s">
        <v>56</v>
      </c>
      <c r="C1982" t="s">
        <v>4376</v>
      </c>
      <c r="D1982" s="3"/>
      <c r="E1982" s="2">
        <v>45693</v>
      </c>
      <c r="F1982">
        <v>195800</v>
      </c>
      <c r="G1982">
        <v>16600</v>
      </c>
      <c r="H1982">
        <v>350</v>
      </c>
      <c r="I1982">
        <v>13</v>
      </c>
      <c r="J1982">
        <v>49</v>
      </c>
      <c r="K1982">
        <v>145</v>
      </c>
      <c r="L1982" t="s">
        <v>3284</v>
      </c>
      <c r="M1982" t="s">
        <v>4377</v>
      </c>
      <c r="N1982" t="s">
        <v>1630</v>
      </c>
      <c r="O1982" s="4">
        <v>45693.8299305556</v>
      </c>
      <c r="P1982" t="s">
        <v>57</v>
      </c>
      <c r="Q1982" t="s">
        <v>1631</v>
      </c>
      <c r="R1982" t="s">
        <v>4383</v>
      </c>
      <c r="T1982" t="s">
        <v>57</v>
      </c>
    </row>
    <row r="1983" ht="25.5" customHeight="1" spans="1:20">
      <c r="A1983" t="s">
        <v>764</v>
      </c>
      <c r="B1983" t="s">
        <v>56</v>
      </c>
      <c r="C1983" t="s">
        <v>4376</v>
      </c>
      <c r="D1983" s="3"/>
      <c r="E1983" s="2">
        <v>45694</v>
      </c>
      <c r="F1983">
        <v>195900</v>
      </c>
      <c r="G1983">
        <v>16700</v>
      </c>
      <c r="H1983">
        <v>352</v>
      </c>
      <c r="I1983">
        <v>13</v>
      </c>
      <c r="J1983">
        <v>49</v>
      </c>
      <c r="K1983">
        <v>145</v>
      </c>
      <c r="L1983" t="s">
        <v>3284</v>
      </c>
      <c r="M1983" t="s">
        <v>4377</v>
      </c>
      <c r="N1983" t="s">
        <v>1630</v>
      </c>
      <c r="O1983" s="4">
        <v>45698.6216782407</v>
      </c>
      <c r="P1983" t="s">
        <v>57</v>
      </c>
      <c r="Q1983" t="s">
        <v>1631</v>
      </c>
      <c r="R1983" t="s">
        <v>4384</v>
      </c>
      <c r="S1983" t="s">
        <v>3245</v>
      </c>
      <c r="T1983" t="s">
        <v>57</v>
      </c>
    </row>
    <row r="1984" ht="25.5" customHeight="1" spans="1:20">
      <c r="A1984" t="s">
        <v>764</v>
      </c>
      <c r="B1984" t="s">
        <v>56</v>
      </c>
      <c r="C1984" t="s">
        <v>4376</v>
      </c>
      <c r="D1984" s="3"/>
      <c r="E1984" s="2">
        <v>45695</v>
      </c>
      <c r="F1984">
        <v>195900</v>
      </c>
      <c r="G1984">
        <v>16800</v>
      </c>
      <c r="H1984">
        <v>354</v>
      </c>
      <c r="I1984">
        <v>13</v>
      </c>
      <c r="J1984">
        <v>49</v>
      </c>
      <c r="K1984">
        <v>145</v>
      </c>
      <c r="L1984" t="s">
        <v>3284</v>
      </c>
      <c r="M1984" t="s">
        <v>4377</v>
      </c>
      <c r="N1984" t="s">
        <v>1630</v>
      </c>
      <c r="O1984" s="4">
        <v>45695.7237615741</v>
      </c>
      <c r="P1984" t="s">
        <v>57</v>
      </c>
      <c r="Q1984" t="s">
        <v>1631</v>
      </c>
      <c r="R1984" t="s">
        <v>4385</v>
      </c>
      <c r="T1984" t="s">
        <v>57</v>
      </c>
    </row>
    <row r="1985" ht="25.5" customHeight="1" spans="1:20">
      <c r="A1985" t="s">
        <v>764</v>
      </c>
      <c r="B1985" t="s">
        <v>56</v>
      </c>
      <c r="C1985" t="s">
        <v>4376</v>
      </c>
      <c r="D1985" s="3"/>
      <c r="E1985" s="2">
        <v>45696</v>
      </c>
      <c r="F1985">
        <v>195900</v>
      </c>
      <c r="G1985">
        <v>16900</v>
      </c>
      <c r="H1985">
        <v>354</v>
      </c>
      <c r="I1985">
        <v>13</v>
      </c>
      <c r="J1985">
        <v>50</v>
      </c>
      <c r="K1985">
        <v>145</v>
      </c>
      <c r="L1985" t="s">
        <v>3284</v>
      </c>
      <c r="M1985" t="s">
        <v>4377</v>
      </c>
      <c r="N1985" t="s">
        <v>1630</v>
      </c>
      <c r="O1985" s="4">
        <v>45696.4382638889</v>
      </c>
      <c r="P1985" t="s">
        <v>57</v>
      </c>
      <c r="Q1985" t="s">
        <v>1631</v>
      </c>
      <c r="R1985" t="s">
        <v>4386</v>
      </c>
      <c r="T1985" t="s">
        <v>57</v>
      </c>
    </row>
    <row r="1986" ht="25.5" customHeight="1" spans="1:20">
      <c r="A1986" t="s">
        <v>2005</v>
      </c>
      <c r="B1986" t="s">
        <v>4387</v>
      </c>
      <c r="C1986" t="s">
        <v>4388</v>
      </c>
      <c r="D1986" s="3"/>
      <c r="E1986" s="2"/>
      <c r="M1986" t="s">
        <v>4389</v>
      </c>
      <c r="N1986" t="s">
        <v>4070</v>
      </c>
      <c r="O1986" s="4">
        <v>45670.743587963</v>
      </c>
      <c r="P1986" t="s">
        <v>4390</v>
      </c>
      <c r="Q1986" t="s">
        <v>4391</v>
      </c>
      <c r="R1986" t="s">
        <v>3133</v>
      </c>
      <c r="T1986" t="s">
        <v>4390</v>
      </c>
    </row>
    <row r="1987" ht="25.5" customHeight="1" spans="1:20">
      <c r="A1987" t="s">
        <v>2005</v>
      </c>
      <c r="B1987" t="s">
        <v>4387</v>
      </c>
      <c r="C1987" t="s">
        <v>4388</v>
      </c>
      <c r="D1987" s="3"/>
      <c r="E1987" s="2"/>
      <c r="M1987" t="s">
        <v>4389</v>
      </c>
      <c r="N1987" t="s">
        <v>4070</v>
      </c>
      <c r="O1987" s="4">
        <v>45670.743587963</v>
      </c>
      <c r="P1987" t="s">
        <v>4390</v>
      </c>
      <c r="Q1987" t="s">
        <v>4391</v>
      </c>
      <c r="R1987" t="s">
        <v>3133</v>
      </c>
      <c r="T1987" t="s">
        <v>4390</v>
      </c>
    </row>
    <row r="1988" ht="25.5" customHeight="1" spans="1:20">
      <c r="A1988" t="s">
        <v>2005</v>
      </c>
      <c r="B1988" t="s">
        <v>4387</v>
      </c>
      <c r="C1988" t="s">
        <v>4388</v>
      </c>
      <c r="D1988" s="3"/>
      <c r="E1988" s="2"/>
      <c r="M1988" t="s">
        <v>4389</v>
      </c>
      <c r="N1988" t="s">
        <v>4070</v>
      </c>
      <c r="O1988" s="4">
        <v>45670.743587963</v>
      </c>
      <c r="P1988" t="s">
        <v>4390</v>
      </c>
      <c r="Q1988" t="s">
        <v>4391</v>
      </c>
      <c r="R1988" t="s">
        <v>3133</v>
      </c>
      <c r="T1988" t="s">
        <v>4390</v>
      </c>
    </row>
    <row r="1989" ht="25.5" customHeight="1" spans="1:20">
      <c r="A1989" t="s">
        <v>2005</v>
      </c>
      <c r="B1989" t="s">
        <v>4387</v>
      </c>
      <c r="C1989" t="s">
        <v>4388</v>
      </c>
      <c r="D1989" s="3"/>
      <c r="E1989" s="2"/>
      <c r="M1989" t="s">
        <v>4389</v>
      </c>
      <c r="N1989" t="s">
        <v>4070</v>
      </c>
      <c r="O1989" s="4">
        <v>45670.743587963</v>
      </c>
      <c r="P1989" t="s">
        <v>4390</v>
      </c>
      <c r="Q1989" t="s">
        <v>4391</v>
      </c>
      <c r="R1989" t="s">
        <v>3133</v>
      </c>
      <c r="T1989" t="s">
        <v>4390</v>
      </c>
    </row>
    <row r="1990" ht="25.5" customHeight="1" spans="1:20">
      <c r="A1990" t="s">
        <v>2844</v>
      </c>
      <c r="B1990" t="s">
        <v>56</v>
      </c>
      <c r="C1990" t="s">
        <v>4392</v>
      </c>
      <c r="D1990" s="3" t="str">
        <f>HYPERLINK("https://www.tiktok.com/@xerviatv","https://www.tiktok.com/@xerviatv")</f>
        <v>https://www.tiktok.com/@xerviatv</v>
      </c>
      <c r="E1990" s="2">
        <v>45670</v>
      </c>
      <c r="F1990">
        <v>106800</v>
      </c>
      <c r="G1990">
        <v>19800</v>
      </c>
      <c r="H1990">
        <v>2061</v>
      </c>
      <c r="I1990">
        <v>9</v>
      </c>
      <c r="J1990">
        <v>194</v>
      </c>
      <c r="K1990">
        <v>61</v>
      </c>
      <c r="L1990" t="s">
        <v>3298</v>
      </c>
      <c r="M1990" t="s">
        <v>3132</v>
      </c>
      <c r="N1990" t="s">
        <v>1630</v>
      </c>
      <c r="O1990" s="4">
        <v>45671.7077430556</v>
      </c>
      <c r="P1990" t="s">
        <v>57</v>
      </c>
      <c r="Q1990" t="s">
        <v>1753</v>
      </c>
      <c r="R1990" t="s">
        <v>4393</v>
      </c>
      <c r="T1990" t="s">
        <v>57</v>
      </c>
    </row>
    <row r="1991" ht="25.5" customHeight="1" spans="1:20">
      <c r="A1991" t="s">
        <v>2844</v>
      </c>
      <c r="B1991" t="s">
        <v>56</v>
      </c>
      <c r="C1991" t="s">
        <v>4392</v>
      </c>
      <c r="D1991" s="3"/>
      <c r="E1991" s="2">
        <v>45671</v>
      </c>
      <c r="F1991">
        <v>106900</v>
      </c>
      <c r="G1991">
        <v>23100</v>
      </c>
      <c r="H1991">
        <v>2900</v>
      </c>
      <c r="I1991">
        <v>11</v>
      </c>
      <c r="J1991">
        <v>253</v>
      </c>
      <c r="K1991">
        <v>68</v>
      </c>
      <c r="L1991" t="s">
        <v>3227</v>
      </c>
      <c r="M1991" t="s">
        <v>3132</v>
      </c>
      <c r="N1991" t="s">
        <v>1630</v>
      </c>
      <c r="O1991" s="4">
        <v>45672.5030092593</v>
      </c>
      <c r="P1991" t="s">
        <v>57</v>
      </c>
      <c r="Q1991" t="s">
        <v>1753</v>
      </c>
      <c r="R1991" t="s">
        <v>4394</v>
      </c>
      <c r="T1991" t="s">
        <v>57</v>
      </c>
    </row>
    <row r="1992" ht="25.5" customHeight="1" spans="1:20">
      <c r="A1992" t="s">
        <v>2844</v>
      </c>
      <c r="B1992" t="s">
        <v>56</v>
      </c>
      <c r="C1992" t="s">
        <v>4392</v>
      </c>
      <c r="D1992" s="3"/>
      <c r="E1992" s="2">
        <v>45672</v>
      </c>
      <c r="F1992">
        <v>106900</v>
      </c>
      <c r="G1992">
        <v>23200</v>
      </c>
      <c r="H1992">
        <v>2900</v>
      </c>
      <c r="I1992">
        <v>11</v>
      </c>
      <c r="J1992">
        <v>254</v>
      </c>
      <c r="K1992">
        <v>68</v>
      </c>
      <c r="L1992" t="s">
        <v>3227</v>
      </c>
      <c r="M1992" t="s">
        <v>3132</v>
      </c>
      <c r="N1992" t="s">
        <v>1630</v>
      </c>
      <c r="O1992" s="4">
        <v>45672.5342361111</v>
      </c>
      <c r="P1992" t="s">
        <v>57</v>
      </c>
      <c r="Q1992" t="s">
        <v>1753</v>
      </c>
      <c r="R1992" t="s">
        <v>4395</v>
      </c>
      <c r="T1992" t="s">
        <v>57</v>
      </c>
    </row>
    <row r="1993" ht="25.5" customHeight="1" spans="1:20">
      <c r="A1993" t="s">
        <v>2844</v>
      </c>
      <c r="B1993" t="s">
        <v>56</v>
      </c>
      <c r="C1993" t="s">
        <v>4392</v>
      </c>
      <c r="D1993" s="3"/>
      <c r="E1993" s="2">
        <v>45673</v>
      </c>
      <c r="F1993">
        <v>107000</v>
      </c>
      <c r="G1993">
        <v>23200</v>
      </c>
      <c r="H1993">
        <v>2901</v>
      </c>
      <c r="I1993">
        <v>12</v>
      </c>
      <c r="J1993">
        <v>254</v>
      </c>
      <c r="K1993">
        <v>68</v>
      </c>
      <c r="L1993" t="s">
        <v>3227</v>
      </c>
      <c r="M1993" t="s">
        <v>3132</v>
      </c>
      <c r="N1993" t="s">
        <v>1630</v>
      </c>
      <c r="O1993" s="4">
        <v>45673.6235648148</v>
      </c>
      <c r="P1993" t="s">
        <v>57</v>
      </c>
      <c r="Q1993" t="s">
        <v>1753</v>
      </c>
      <c r="R1993" t="s">
        <v>4396</v>
      </c>
      <c r="T1993" t="s">
        <v>57</v>
      </c>
    </row>
    <row r="1994" ht="25.5" customHeight="1" spans="1:20">
      <c r="A1994" t="s">
        <v>2844</v>
      </c>
      <c r="B1994" t="s">
        <v>56</v>
      </c>
      <c r="C1994" t="s">
        <v>4392</v>
      </c>
      <c r="D1994" s="3"/>
      <c r="E1994" s="2">
        <v>45674</v>
      </c>
      <c r="F1994">
        <v>107000</v>
      </c>
      <c r="G1994">
        <v>23200</v>
      </c>
      <c r="H1994">
        <v>2901</v>
      </c>
      <c r="I1994">
        <v>12</v>
      </c>
      <c r="J1994">
        <v>254</v>
      </c>
      <c r="K1994">
        <v>68</v>
      </c>
      <c r="L1994" t="s">
        <v>3227</v>
      </c>
      <c r="M1994" t="s">
        <v>3132</v>
      </c>
      <c r="N1994" t="s">
        <v>1630</v>
      </c>
      <c r="O1994" s="4">
        <v>45674.678912037</v>
      </c>
      <c r="P1994" t="s">
        <v>57</v>
      </c>
      <c r="Q1994" t="s">
        <v>1753</v>
      </c>
      <c r="R1994" t="s">
        <v>4396</v>
      </c>
      <c r="T1994" t="s">
        <v>57</v>
      </c>
    </row>
    <row r="1995" ht="25.5" customHeight="1" spans="1:20">
      <c r="A1995" t="s">
        <v>2844</v>
      </c>
      <c r="B1995" t="s">
        <v>56</v>
      </c>
      <c r="C1995" t="s">
        <v>4392</v>
      </c>
      <c r="D1995" s="3"/>
      <c r="E1995" s="2">
        <v>45677</v>
      </c>
      <c r="F1995">
        <v>107100</v>
      </c>
      <c r="G1995">
        <v>23300</v>
      </c>
      <c r="H1995">
        <v>2902</v>
      </c>
      <c r="I1995">
        <v>14</v>
      </c>
      <c r="J1995">
        <v>253</v>
      </c>
      <c r="K1995">
        <v>68</v>
      </c>
      <c r="L1995" t="s">
        <v>3227</v>
      </c>
      <c r="M1995" t="s">
        <v>3132</v>
      </c>
      <c r="N1995" t="s">
        <v>1630</v>
      </c>
      <c r="O1995" s="4">
        <v>45677.4382060185</v>
      </c>
      <c r="P1995" t="s">
        <v>57</v>
      </c>
      <c r="Q1995" t="s">
        <v>1753</v>
      </c>
      <c r="R1995" t="s">
        <v>4397</v>
      </c>
      <c r="T1995" t="s">
        <v>57</v>
      </c>
    </row>
    <row r="1996" ht="25.5" customHeight="1" spans="1:20">
      <c r="A1996" t="s">
        <v>2844</v>
      </c>
      <c r="B1996" t="s">
        <v>56</v>
      </c>
      <c r="C1996" t="s">
        <v>4392</v>
      </c>
      <c r="D1996" s="3"/>
      <c r="E1996" s="2">
        <v>45678</v>
      </c>
      <c r="F1996">
        <v>107100</v>
      </c>
      <c r="G1996">
        <v>23300</v>
      </c>
      <c r="H1996">
        <v>2903</v>
      </c>
      <c r="I1996">
        <v>14</v>
      </c>
      <c r="J1996">
        <v>253</v>
      </c>
      <c r="K1996">
        <v>68</v>
      </c>
      <c r="L1996" t="s">
        <v>3227</v>
      </c>
      <c r="M1996" t="s">
        <v>3132</v>
      </c>
      <c r="N1996" t="s">
        <v>1630</v>
      </c>
      <c r="O1996" s="4">
        <v>45678.6599652778</v>
      </c>
      <c r="P1996" t="s">
        <v>57</v>
      </c>
      <c r="Q1996" t="s">
        <v>1753</v>
      </c>
      <c r="R1996" t="s">
        <v>4398</v>
      </c>
      <c r="T1996" t="s">
        <v>57</v>
      </c>
    </row>
    <row r="1997" ht="25.5" customHeight="1" spans="1:20">
      <c r="A1997" t="s">
        <v>2844</v>
      </c>
      <c r="B1997" t="s">
        <v>56</v>
      </c>
      <c r="C1997" t="s">
        <v>4392</v>
      </c>
      <c r="D1997" s="3"/>
      <c r="E1997" s="2">
        <v>45679</v>
      </c>
      <c r="F1997">
        <v>107100</v>
      </c>
      <c r="G1997">
        <v>23300</v>
      </c>
      <c r="H1997">
        <v>2904</v>
      </c>
      <c r="I1997">
        <v>15</v>
      </c>
      <c r="J1997">
        <v>252</v>
      </c>
      <c r="K1997">
        <v>68</v>
      </c>
      <c r="L1997" t="s">
        <v>3227</v>
      </c>
      <c r="M1997" t="s">
        <v>3132</v>
      </c>
      <c r="N1997" t="s">
        <v>1630</v>
      </c>
      <c r="O1997" s="4">
        <v>45679.70125</v>
      </c>
      <c r="P1997" t="s">
        <v>57</v>
      </c>
      <c r="Q1997" t="s">
        <v>1753</v>
      </c>
      <c r="R1997" t="s">
        <v>4399</v>
      </c>
      <c r="T1997" t="s">
        <v>57</v>
      </c>
    </row>
    <row r="1998" ht="25.5" customHeight="1" spans="1:20">
      <c r="A1998" t="s">
        <v>2844</v>
      </c>
      <c r="B1998" t="s">
        <v>56</v>
      </c>
      <c r="C1998" t="s">
        <v>4392</v>
      </c>
      <c r="D1998" s="3"/>
      <c r="E1998" s="2">
        <v>45680</v>
      </c>
      <c r="F1998">
        <v>107200</v>
      </c>
      <c r="G1998">
        <v>23300</v>
      </c>
      <c r="H1998">
        <v>2904</v>
      </c>
      <c r="I1998">
        <v>15</v>
      </c>
      <c r="J1998">
        <v>252</v>
      </c>
      <c r="K1998">
        <v>68</v>
      </c>
      <c r="L1998" t="s">
        <v>3227</v>
      </c>
      <c r="M1998" t="s">
        <v>3132</v>
      </c>
      <c r="N1998" t="s">
        <v>1630</v>
      </c>
      <c r="O1998" s="4">
        <v>45680.6618518519</v>
      </c>
      <c r="P1998" t="s">
        <v>57</v>
      </c>
      <c r="Q1998" t="s">
        <v>1753</v>
      </c>
      <c r="R1998" t="s">
        <v>4399</v>
      </c>
      <c r="T1998" t="s">
        <v>57</v>
      </c>
    </row>
    <row r="1999" ht="25.5" customHeight="1" spans="1:20">
      <c r="A1999" t="s">
        <v>2844</v>
      </c>
      <c r="B1999" t="s">
        <v>56</v>
      </c>
      <c r="C1999" t="s">
        <v>4392</v>
      </c>
      <c r="D1999" s="3"/>
      <c r="E1999" s="2">
        <v>45681</v>
      </c>
      <c r="F1999">
        <v>107200</v>
      </c>
      <c r="G1999">
        <v>23300</v>
      </c>
      <c r="H1999">
        <v>2904</v>
      </c>
      <c r="I1999">
        <v>15</v>
      </c>
      <c r="J1999">
        <v>252</v>
      </c>
      <c r="K1999">
        <v>68</v>
      </c>
      <c r="L1999" t="s">
        <v>3227</v>
      </c>
      <c r="M1999" t="s">
        <v>3132</v>
      </c>
      <c r="N1999" t="s">
        <v>1630</v>
      </c>
      <c r="O1999" s="4">
        <v>45681.6482291667</v>
      </c>
      <c r="P1999" t="s">
        <v>57</v>
      </c>
      <c r="Q1999" t="s">
        <v>1753</v>
      </c>
      <c r="R1999" t="s">
        <v>4399</v>
      </c>
      <c r="T1999" t="s">
        <v>57</v>
      </c>
    </row>
    <row r="2000" ht="25.5" customHeight="1" spans="1:20">
      <c r="A2000" t="s">
        <v>2844</v>
      </c>
      <c r="B2000" t="s">
        <v>56</v>
      </c>
      <c r="C2000" t="s">
        <v>4392</v>
      </c>
      <c r="D2000" s="3"/>
      <c r="E2000" s="2">
        <v>45683</v>
      </c>
      <c r="F2000">
        <v>107200</v>
      </c>
      <c r="G2000">
        <v>23400</v>
      </c>
      <c r="H2000">
        <v>2904</v>
      </c>
      <c r="I2000">
        <v>15</v>
      </c>
      <c r="J2000">
        <v>252</v>
      </c>
      <c r="K2000">
        <v>68</v>
      </c>
      <c r="L2000" t="s">
        <v>3227</v>
      </c>
      <c r="M2000" t="s">
        <v>3132</v>
      </c>
      <c r="N2000" t="s">
        <v>1630</v>
      </c>
      <c r="O2000" s="4">
        <v>45683.7883912037</v>
      </c>
      <c r="P2000" t="s">
        <v>57</v>
      </c>
      <c r="Q2000" t="s">
        <v>1753</v>
      </c>
      <c r="R2000" t="s">
        <v>4399</v>
      </c>
      <c r="T2000" t="s">
        <v>57</v>
      </c>
    </row>
    <row r="2001" ht="25.5" customHeight="1" spans="1:20">
      <c r="A2001" t="s">
        <v>2844</v>
      </c>
      <c r="B2001" t="s">
        <v>56</v>
      </c>
      <c r="C2001" t="s">
        <v>4392</v>
      </c>
      <c r="D2001" s="3"/>
      <c r="E2001" s="2">
        <v>45684</v>
      </c>
      <c r="F2001">
        <v>107200</v>
      </c>
      <c r="G2001">
        <v>23400</v>
      </c>
      <c r="H2001">
        <v>2904</v>
      </c>
      <c r="I2001">
        <v>15</v>
      </c>
      <c r="J2001">
        <v>252</v>
      </c>
      <c r="K2001">
        <v>68</v>
      </c>
      <c r="L2001" t="s">
        <v>3227</v>
      </c>
      <c r="M2001" t="s">
        <v>3132</v>
      </c>
      <c r="N2001" t="s">
        <v>1630</v>
      </c>
      <c r="O2001" s="4">
        <v>45684.8663078704</v>
      </c>
      <c r="P2001" t="s">
        <v>57</v>
      </c>
      <c r="Q2001" t="s">
        <v>1753</v>
      </c>
      <c r="R2001" t="s">
        <v>4399</v>
      </c>
      <c r="T2001" t="s">
        <v>57</v>
      </c>
    </row>
    <row r="2002" ht="25.5" customHeight="1" spans="1:20">
      <c r="A2002" t="s">
        <v>2844</v>
      </c>
      <c r="B2002" t="s">
        <v>56</v>
      </c>
      <c r="C2002" t="s">
        <v>4392</v>
      </c>
      <c r="D2002" s="3"/>
      <c r="E2002" s="2">
        <v>45693</v>
      </c>
      <c r="F2002">
        <v>107300</v>
      </c>
      <c r="G2002">
        <v>23500</v>
      </c>
      <c r="H2002">
        <v>2904</v>
      </c>
      <c r="I2002">
        <v>16</v>
      </c>
      <c r="J2002">
        <v>254</v>
      </c>
      <c r="K2002">
        <v>68</v>
      </c>
      <c r="L2002" t="s">
        <v>3227</v>
      </c>
      <c r="M2002" t="s">
        <v>3132</v>
      </c>
      <c r="N2002" t="s">
        <v>1630</v>
      </c>
      <c r="O2002" s="4">
        <v>45693.8302430556</v>
      </c>
      <c r="P2002" t="s">
        <v>57</v>
      </c>
      <c r="Q2002" t="s">
        <v>1753</v>
      </c>
      <c r="R2002" t="s">
        <v>4400</v>
      </c>
      <c r="T2002" t="s">
        <v>57</v>
      </c>
    </row>
    <row r="2003" ht="25.5" customHeight="1" spans="1:20">
      <c r="A2003" t="s">
        <v>2844</v>
      </c>
      <c r="B2003" t="s">
        <v>56</v>
      </c>
      <c r="C2003" t="s">
        <v>4392</v>
      </c>
      <c r="D2003" s="3"/>
      <c r="E2003" s="2">
        <v>45694</v>
      </c>
      <c r="F2003">
        <v>107300</v>
      </c>
      <c r="G2003">
        <v>23500</v>
      </c>
      <c r="H2003">
        <v>2904</v>
      </c>
      <c r="I2003">
        <v>16</v>
      </c>
      <c r="J2003">
        <v>254</v>
      </c>
      <c r="K2003">
        <v>68</v>
      </c>
      <c r="L2003" t="s">
        <v>3227</v>
      </c>
      <c r="M2003" t="s">
        <v>3132</v>
      </c>
      <c r="N2003" t="s">
        <v>1630</v>
      </c>
      <c r="O2003" s="4">
        <v>45698.6216782407</v>
      </c>
      <c r="P2003" t="s">
        <v>57</v>
      </c>
      <c r="Q2003" t="s">
        <v>1753</v>
      </c>
      <c r="R2003" t="s">
        <v>4400</v>
      </c>
      <c r="S2003" t="s">
        <v>3245</v>
      </c>
      <c r="T2003" t="s">
        <v>57</v>
      </c>
    </row>
    <row r="2004" ht="25.5" customHeight="1" spans="1:20">
      <c r="A2004" t="s">
        <v>1853</v>
      </c>
      <c r="B2004" t="s">
        <v>4401</v>
      </c>
      <c r="D2004" s="3"/>
      <c r="E2004" s="2"/>
      <c r="M2004" t="s">
        <v>4005</v>
      </c>
      <c r="N2004" t="s">
        <v>4402</v>
      </c>
      <c r="O2004" s="4">
        <v>45670.743587963</v>
      </c>
      <c r="P2004" t="s">
        <v>4403</v>
      </c>
      <c r="R2004" t="s">
        <v>3133</v>
      </c>
      <c r="T2004" t="s">
        <v>4403</v>
      </c>
    </row>
    <row r="2005" ht="25.5" customHeight="1" spans="1:20">
      <c r="A2005" t="s">
        <v>1853</v>
      </c>
      <c r="B2005" t="s">
        <v>4401</v>
      </c>
      <c r="D2005" s="3"/>
      <c r="E2005" s="2"/>
      <c r="M2005" t="s">
        <v>4005</v>
      </c>
      <c r="N2005" t="s">
        <v>4402</v>
      </c>
      <c r="O2005" s="4">
        <v>45670.743587963</v>
      </c>
      <c r="P2005" t="s">
        <v>4403</v>
      </c>
      <c r="R2005" t="s">
        <v>3133</v>
      </c>
      <c r="T2005" t="s">
        <v>4403</v>
      </c>
    </row>
    <row r="2006" ht="25.5" customHeight="1" spans="1:20">
      <c r="A2006" t="s">
        <v>1853</v>
      </c>
      <c r="B2006" t="s">
        <v>4401</v>
      </c>
      <c r="D2006" s="3"/>
      <c r="E2006" s="2"/>
      <c r="M2006" t="s">
        <v>4005</v>
      </c>
      <c r="N2006" t="s">
        <v>4402</v>
      </c>
      <c r="O2006" s="4">
        <v>45670.743587963</v>
      </c>
      <c r="P2006" t="s">
        <v>4403</v>
      </c>
      <c r="R2006" t="s">
        <v>3133</v>
      </c>
      <c r="T2006" t="s">
        <v>4403</v>
      </c>
    </row>
    <row r="2007" ht="25.5" customHeight="1" spans="1:20">
      <c r="A2007" t="s">
        <v>316</v>
      </c>
      <c r="B2007" t="s">
        <v>4404</v>
      </c>
      <c r="C2007" t="s">
        <v>4405</v>
      </c>
      <c r="D2007" s="3"/>
      <c r="E2007" s="2"/>
      <c r="M2007" t="s">
        <v>3352</v>
      </c>
      <c r="N2007" t="s">
        <v>3533</v>
      </c>
      <c r="O2007" s="4">
        <v>45670.743587963</v>
      </c>
      <c r="P2007" t="s">
        <v>4406</v>
      </c>
      <c r="Q2007" t="s">
        <v>4407</v>
      </c>
      <c r="R2007" t="s">
        <v>3133</v>
      </c>
      <c r="T2007" t="s">
        <v>4406</v>
      </c>
    </row>
    <row r="2008" ht="25.5" customHeight="1" spans="1:20">
      <c r="A2008" t="s">
        <v>2072</v>
      </c>
      <c r="B2008" t="s">
        <v>65</v>
      </c>
      <c r="C2008" t="s">
        <v>4408</v>
      </c>
      <c r="D2008" s="3" t="str">
        <f>HYPERLINK("https://www.instagram.com/artificialmente.ia/","https://www.instagram.com/artificialmente.ia/")</f>
        <v>https://www.instagram.com/artificialmente.ia/</v>
      </c>
      <c r="E2008" s="2">
        <v>45670</v>
      </c>
      <c r="F2008">
        <v>125000</v>
      </c>
      <c r="H2008">
        <v>677</v>
      </c>
      <c r="I2008">
        <v>175</v>
      </c>
      <c r="L2008" t="s">
        <v>3331</v>
      </c>
      <c r="M2008" t="s">
        <v>3139</v>
      </c>
      <c r="N2008" t="s">
        <v>1630</v>
      </c>
      <c r="O2008" s="4">
        <v>45670.7860648148</v>
      </c>
      <c r="P2008" t="s">
        <v>66</v>
      </c>
      <c r="Q2008" t="s">
        <v>1631</v>
      </c>
      <c r="R2008" t="s">
        <v>4409</v>
      </c>
      <c r="T2008" t="s">
        <v>66</v>
      </c>
    </row>
    <row r="2009" ht="25.5" customHeight="1" spans="1:20">
      <c r="A2009" t="s">
        <v>2072</v>
      </c>
      <c r="B2009" t="s">
        <v>65</v>
      </c>
      <c r="C2009" t="s">
        <v>4408</v>
      </c>
      <c r="D2009" s="3"/>
      <c r="E2009" s="2">
        <v>45671</v>
      </c>
      <c r="F2009">
        <v>125000</v>
      </c>
      <c r="H2009">
        <v>783</v>
      </c>
      <c r="I2009">
        <v>217</v>
      </c>
      <c r="L2009" t="s">
        <v>3331</v>
      </c>
      <c r="M2009" t="s">
        <v>3139</v>
      </c>
      <c r="N2009" t="s">
        <v>1630</v>
      </c>
      <c r="O2009" s="4">
        <v>45672.5030092593</v>
      </c>
      <c r="P2009" t="s">
        <v>66</v>
      </c>
      <c r="Q2009" t="s">
        <v>1631</v>
      </c>
      <c r="R2009" t="s">
        <v>4267</v>
      </c>
      <c r="T2009" t="s">
        <v>66</v>
      </c>
    </row>
    <row r="2010" ht="25.5" customHeight="1" spans="1:20">
      <c r="A2010" t="s">
        <v>2072</v>
      </c>
      <c r="B2010" t="s">
        <v>65</v>
      </c>
      <c r="C2010" t="s">
        <v>4408</v>
      </c>
      <c r="D2010" s="3"/>
      <c r="E2010" s="2">
        <v>45672</v>
      </c>
      <c r="F2010">
        <v>125000</v>
      </c>
      <c r="G2010">
        <v>54781</v>
      </c>
      <c r="H2010">
        <v>810</v>
      </c>
      <c r="I2010">
        <v>225</v>
      </c>
      <c r="L2010" t="s">
        <v>3331</v>
      </c>
      <c r="M2010" t="s">
        <v>3139</v>
      </c>
      <c r="N2010" t="s">
        <v>1630</v>
      </c>
      <c r="O2010" s="4">
        <v>45698.3976967593</v>
      </c>
      <c r="P2010" t="s">
        <v>66</v>
      </c>
      <c r="Q2010" t="s">
        <v>1631</v>
      </c>
      <c r="R2010" t="s">
        <v>4410</v>
      </c>
      <c r="T2010" t="s">
        <v>66</v>
      </c>
    </row>
    <row r="2011" ht="25.5" customHeight="1" spans="1:20">
      <c r="A2011" t="s">
        <v>2072</v>
      </c>
      <c r="B2011" t="s">
        <v>65</v>
      </c>
      <c r="C2011" t="s">
        <v>4408</v>
      </c>
      <c r="D2011" s="3"/>
      <c r="E2011" s="2">
        <v>45673</v>
      </c>
      <c r="F2011">
        <v>125000</v>
      </c>
      <c r="G2011">
        <v>54781</v>
      </c>
      <c r="H2011">
        <v>825</v>
      </c>
      <c r="I2011">
        <v>229</v>
      </c>
      <c r="L2011" t="s">
        <v>3331</v>
      </c>
      <c r="M2011" t="s">
        <v>3139</v>
      </c>
      <c r="N2011" t="s">
        <v>1630</v>
      </c>
      <c r="O2011" s="4">
        <v>45698.3977199074</v>
      </c>
      <c r="P2011" t="s">
        <v>66</v>
      </c>
      <c r="Q2011" t="s">
        <v>1631</v>
      </c>
      <c r="R2011" t="s">
        <v>4411</v>
      </c>
      <c r="T2011" t="s">
        <v>66</v>
      </c>
    </row>
    <row r="2012" ht="25.5" customHeight="1" spans="1:20">
      <c r="A2012" t="s">
        <v>2072</v>
      </c>
      <c r="B2012" t="s">
        <v>65</v>
      </c>
      <c r="C2012" t="s">
        <v>4408</v>
      </c>
      <c r="D2012" s="3"/>
      <c r="E2012" s="2">
        <v>45674</v>
      </c>
      <c r="F2012">
        <v>125000</v>
      </c>
      <c r="G2012">
        <v>54781</v>
      </c>
      <c r="H2012">
        <v>848</v>
      </c>
      <c r="I2012">
        <v>251</v>
      </c>
      <c r="L2012" t="s">
        <v>3331</v>
      </c>
      <c r="M2012" t="s">
        <v>3139</v>
      </c>
      <c r="N2012" t="s">
        <v>1630</v>
      </c>
      <c r="O2012" s="4">
        <v>45698.3977199074</v>
      </c>
      <c r="P2012" t="s">
        <v>66</v>
      </c>
      <c r="Q2012" t="s">
        <v>1631</v>
      </c>
      <c r="R2012" t="s">
        <v>4412</v>
      </c>
      <c r="T2012" t="s">
        <v>66</v>
      </c>
    </row>
    <row r="2013" ht="25.5" customHeight="1" spans="1:20">
      <c r="A2013" t="s">
        <v>2072</v>
      </c>
      <c r="B2013" t="s">
        <v>65</v>
      </c>
      <c r="C2013" t="s">
        <v>4408</v>
      </c>
      <c r="D2013" s="3"/>
      <c r="E2013" s="2">
        <v>45677</v>
      </c>
      <c r="F2013">
        <v>127000</v>
      </c>
      <c r="G2013">
        <v>54781</v>
      </c>
      <c r="H2013">
        <v>893</v>
      </c>
      <c r="I2013">
        <v>265</v>
      </c>
      <c r="L2013" t="s">
        <v>3331</v>
      </c>
      <c r="M2013" t="s">
        <v>3139</v>
      </c>
      <c r="N2013" t="s">
        <v>1630</v>
      </c>
      <c r="O2013" s="4">
        <v>45698.3977314815</v>
      </c>
      <c r="P2013" t="s">
        <v>66</v>
      </c>
      <c r="Q2013" t="s">
        <v>1631</v>
      </c>
      <c r="R2013" t="s">
        <v>4413</v>
      </c>
      <c r="T2013" t="s">
        <v>66</v>
      </c>
    </row>
    <row r="2014" ht="25.5" customHeight="1" spans="1:20">
      <c r="A2014" t="s">
        <v>2072</v>
      </c>
      <c r="B2014" t="s">
        <v>65</v>
      </c>
      <c r="C2014" t="s">
        <v>4408</v>
      </c>
      <c r="D2014" s="3"/>
      <c r="E2014" s="2">
        <v>45678</v>
      </c>
      <c r="F2014">
        <v>128000</v>
      </c>
      <c r="G2014">
        <v>54781</v>
      </c>
      <c r="H2014">
        <v>904</v>
      </c>
      <c r="I2014">
        <v>269</v>
      </c>
      <c r="L2014" t="s">
        <v>3331</v>
      </c>
      <c r="M2014" t="s">
        <v>3139</v>
      </c>
      <c r="N2014" t="s">
        <v>1630</v>
      </c>
      <c r="O2014" s="4">
        <v>45698.3977430556</v>
      </c>
      <c r="P2014" t="s">
        <v>66</v>
      </c>
      <c r="Q2014" t="s">
        <v>1631</v>
      </c>
      <c r="R2014" t="s">
        <v>4414</v>
      </c>
      <c r="T2014" t="s">
        <v>66</v>
      </c>
    </row>
    <row r="2015" ht="25.5" customHeight="1" spans="1:20">
      <c r="A2015" t="s">
        <v>2072</v>
      </c>
      <c r="B2015" t="s">
        <v>65</v>
      </c>
      <c r="C2015" t="s">
        <v>4408</v>
      </c>
      <c r="D2015" s="3"/>
      <c r="E2015" s="2">
        <v>45679</v>
      </c>
      <c r="F2015">
        <v>129000</v>
      </c>
      <c r="G2015">
        <v>54781</v>
      </c>
      <c r="H2015">
        <v>914</v>
      </c>
      <c r="I2015">
        <v>273</v>
      </c>
      <c r="L2015" t="s">
        <v>3331</v>
      </c>
      <c r="M2015" t="s">
        <v>3139</v>
      </c>
      <c r="N2015" t="s">
        <v>1630</v>
      </c>
      <c r="O2015" s="4">
        <v>45698.3977546296</v>
      </c>
      <c r="P2015" t="s">
        <v>66</v>
      </c>
      <c r="Q2015" t="s">
        <v>1631</v>
      </c>
      <c r="R2015" t="s">
        <v>4415</v>
      </c>
      <c r="T2015" t="s">
        <v>66</v>
      </c>
    </row>
    <row r="2016" ht="25.5" customHeight="1" spans="1:20">
      <c r="A2016" t="s">
        <v>2072</v>
      </c>
      <c r="B2016" t="s">
        <v>65</v>
      </c>
      <c r="C2016" t="s">
        <v>4408</v>
      </c>
      <c r="D2016" s="3"/>
      <c r="E2016" s="2">
        <v>45680</v>
      </c>
      <c r="F2016">
        <v>130000</v>
      </c>
      <c r="G2016">
        <v>54781</v>
      </c>
      <c r="H2016">
        <v>923</v>
      </c>
      <c r="I2016">
        <v>279</v>
      </c>
      <c r="L2016" t="s">
        <v>3331</v>
      </c>
      <c r="M2016" t="s">
        <v>3139</v>
      </c>
      <c r="N2016" t="s">
        <v>1630</v>
      </c>
      <c r="O2016" s="4">
        <v>45698.3977430556</v>
      </c>
      <c r="P2016" t="s">
        <v>66</v>
      </c>
      <c r="Q2016" t="s">
        <v>1631</v>
      </c>
      <c r="R2016" t="s">
        <v>4416</v>
      </c>
      <c r="T2016" t="s">
        <v>66</v>
      </c>
    </row>
    <row r="2017" ht="25.5" customHeight="1" spans="1:20">
      <c r="A2017" t="s">
        <v>2072</v>
      </c>
      <c r="B2017" t="s">
        <v>65</v>
      </c>
      <c r="C2017" t="s">
        <v>4408</v>
      </c>
      <c r="D2017" s="3"/>
      <c r="E2017" s="2">
        <v>45681</v>
      </c>
      <c r="F2017">
        <v>131000</v>
      </c>
      <c r="G2017">
        <v>54781</v>
      </c>
      <c r="H2017">
        <v>928</v>
      </c>
      <c r="I2017">
        <v>283</v>
      </c>
      <c r="L2017" t="s">
        <v>3331</v>
      </c>
      <c r="M2017" t="s">
        <v>3139</v>
      </c>
      <c r="N2017" t="s">
        <v>1630</v>
      </c>
      <c r="O2017" s="4">
        <v>45698.3977662037</v>
      </c>
      <c r="P2017" t="s">
        <v>66</v>
      </c>
      <c r="Q2017" t="s">
        <v>1631</v>
      </c>
      <c r="R2017" t="s">
        <v>4417</v>
      </c>
      <c r="T2017" t="s">
        <v>66</v>
      </c>
    </row>
    <row r="2018" ht="25.5" customHeight="1" spans="1:20">
      <c r="A2018" t="s">
        <v>2072</v>
      </c>
      <c r="B2018" t="s">
        <v>65</v>
      </c>
      <c r="C2018" t="s">
        <v>4408</v>
      </c>
      <c r="D2018" s="3"/>
      <c r="E2018" s="2">
        <v>45683</v>
      </c>
      <c r="F2018">
        <v>132000</v>
      </c>
      <c r="G2018">
        <v>54781</v>
      </c>
      <c r="H2018">
        <v>931</v>
      </c>
      <c r="I2018">
        <v>290</v>
      </c>
      <c r="L2018" t="s">
        <v>3331</v>
      </c>
      <c r="M2018" t="s">
        <v>3139</v>
      </c>
      <c r="N2018" t="s">
        <v>1630</v>
      </c>
      <c r="O2018" s="4">
        <v>45698.3977662037</v>
      </c>
      <c r="P2018" t="s">
        <v>66</v>
      </c>
      <c r="Q2018" t="s">
        <v>1631</v>
      </c>
      <c r="R2018" t="s">
        <v>4418</v>
      </c>
      <c r="T2018" t="s">
        <v>66</v>
      </c>
    </row>
    <row r="2019" ht="25.5" customHeight="1" spans="1:20">
      <c r="A2019" t="s">
        <v>2072</v>
      </c>
      <c r="B2019" t="s">
        <v>65</v>
      </c>
      <c r="C2019" t="s">
        <v>4408</v>
      </c>
      <c r="D2019" s="3"/>
      <c r="E2019" s="2">
        <v>45684</v>
      </c>
      <c r="F2019">
        <v>132000</v>
      </c>
      <c r="G2019">
        <v>54781</v>
      </c>
      <c r="H2019">
        <v>931</v>
      </c>
      <c r="I2019">
        <v>290</v>
      </c>
      <c r="L2019" t="s">
        <v>3331</v>
      </c>
      <c r="M2019" t="s">
        <v>3139</v>
      </c>
      <c r="N2019" t="s">
        <v>1630</v>
      </c>
      <c r="O2019" s="4">
        <v>45698.3977777778</v>
      </c>
      <c r="P2019" t="s">
        <v>66</v>
      </c>
      <c r="Q2019" t="s">
        <v>1631</v>
      </c>
      <c r="R2019" t="s">
        <v>4418</v>
      </c>
      <c r="T2019" t="s">
        <v>66</v>
      </c>
    </row>
    <row r="2020" ht="25.5" customHeight="1" spans="1:20">
      <c r="A2020" t="s">
        <v>2072</v>
      </c>
      <c r="B2020" t="s">
        <v>65</v>
      </c>
      <c r="C2020" t="s">
        <v>4408</v>
      </c>
      <c r="D2020" s="3"/>
      <c r="E2020" s="2">
        <v>45693</v>
      </c>
      <c r="F2020">
        <v>135000</v>
      </c>
      <c r="G2020">
        <v>54781</v>
      </c>
      <c r="H2020">
        <v>948</v>
      </c>
      <c r="I2020">
        <v>294</v>
      </c>
      <c r="L2020" t="s">
        <v>3331</v>
      </c>
      <c r="M2020" t="s">
        <v>3139</v>
      </c>
      <c r="N2020" t="s">
        <v>1630</v>
      </c>
      <c r="O2020" s="4">
        <v>45698.3977777778</v>
      </c>
      <c r="P2020" t="s">
        <v>66</v>
      </c>
      <c r="Q2020" t="s">
        <v>1631</v>
      </c>
      <c r="R2020" t="s">
        <v>4419</v>
      </c>
      <c r="T2020" t="s">
        <v>66</v>
      </c>
    </row>
    <row r="2021" ht="25.5" customHeight="1" spans="1:20">
      <c r="A2021" t="s">
        <v>2072</v>
      </c>
      <c r="B2021" t="s">
        <v>65</v>
      </c>
      <c r="C2021" t="s">
        <v>4408</v>
      </c>
      <c r="D2021" s="3"/>
      <c r="E2021" s="2">
        <v>45694</v>
      </c>
      <c r="F2021">
        <v>136000</v>
      </c>
      <c r="G2021">
        <v>54781</v>
      </c>
      <c r="H2021">
        <v>949</v>
      </c>
      <c r="I2021">
        <v>294</v>
      </c>
      <c r="L2021" t="s">
        <v>3331</v>
      </c>
      <c r="M2021" t="s">
        <v>3139</v>
      </c>
      <c r="N2021" t="s">
        <v>1630</v>
      </c>
      <c r="O2021" s="4">
        <v>45698.6216782407</v>
      </c>
      <c r="P2021" t="s">
        <v>66</v>
      </c>
      <c r="Q2021" t="s">
        <v>1631</v>
      </c>
      <c r="R2021" t="s">
        <v>4420</v>
      </c>
      <c r="S2021" t="s">
        <v>3245</v>
      </c>
      <c r="T2021" t="s">
        <v>66</v>
      </c>
    </row>
    <row r="2022" ht="25.5" customHeight="1" spans="1:20">
      <c r="A2022" t="s">
        <v>2072</v>
      </c>
      <c r="B2022" t="s">
        <v>65</v>
      </c>
      <c r="C2022" t="s">
        <v>4408</v>
      </c>
      <c r="D2022" s="3"/>
      <c r="E2022" s="2">
        <v>45695</v>
      </c>
      <c r="F2022">
        <v>136000</v>
      </c>
      <c r="G2022">
        <v>54781</v>
      </c>
      <c r="H2022">
        <v>948</v>
      </c>
      <c r="I2022">
        <v>294</v>
      </c>
      <c r="L2022" t="s">
        <v>3331</v>
      </c>
      <c r="M2022" t="s">
        <v>3139</v>
      </c>
      <c r="N2022" t="s">
        <v>1630</v>
      </c>
      <c r="O2022" s="4">
        <v>45698.3978009259</v>
      </c>
      <c r="P2022" t="s">
        <v>66</v>
      </c>
      <c r="Q2022" t="s">
        <v>1631</v>
      </c>
      <c r="R2022" t="s">
        <v>4419</v>
      </c>
      <c r="T2022" t="s">
        <v>66</v>
      </c>
    </row>
    <row r="2023" ht="25.5" customHeight="1" spans="1:20">
      <c r="A2023" t="s">
        <v>2826</v>
      </c>
      <c r="B2023" t="s">
        <v>65</v>
      </c>
      <c r="C2023" t="s">
        <v>4421</v>
      </c>
      <c r="D2023" s="3" t="str">
        <f>HYPERLINK("https://www.instagram.com/cleandeskspace/reels/","https://www.instagram.com/cleandeskspace/reels/")</f>
        <v>https://www.instagram.com/cleandeskspace/reels/</v>
      </c>
      <c r="E2023" s="2">
        <v>45666</v>
      </c>
      <c r="F2023">
        <v>74200</v>
      </c>
      <c r="G2023">
        <v>2001</v>
      </c>
      <c r="H2023">
        <v>36</v>
      </c>
      <c r="I2023">
        <v>0</v>
      </c>
      <c r="L2023" t="s">
        <v>3138</v>
      </c>
      <c r="M2023" t="s">
        <v>3393</v>
      </c>
      <c r="N2023" t="s">
        <v>1630</v>
      </c>
      <c r="O2023" s="4">
        <v>45670.7864236111</v>
      </c>
      <c r="P2023" t="s">
        <v>116</v>
      </c>
      <c r="Q2023" t="s">
        <v>1887</v>
      </c>
      <c r="R2023" t="s">
        <v>3504</v>
      </c>
      <c r="T2023" t="s">
        <v>116</v>
      </c>
    </row>
    <row r="2024" ht="25.5" customHeight="1" spans="1:20">
      <c r="A2024" t="s">
        <v>2826</v>
      </c>
      <c r="B2024" t="s">
        <v>65</v>
      </c>
      <c r="C2024" t="s">
        <v>4421</v>
      </c>
      <c r="D2024" s="3"/>
      <c r="E2024" s="2">
        <v>45671</v>
      </c>
      <c r="F2024">
        <v>74200</v>
      </c>
      <c r="G2024">
        <v>2068</v>
      </c>
      <c r="H2024">
        <v>38</v>
      </c>
      <c r="I2024">
        <v>0</v>
      </c>
      <c r="L2024" t="s">
        <v>3138</v>
      </c>
      <c r="M2024" t="s">
        <v>3393</v>
      </c>
      <c r="N2024" t="s">
        <v>1630</v>
      </c>
      <c r="O2024" s="4">
        <v>45672.5030092593</v>
      </c>
      <c r="P2024" t="s">
        <v>116</v>
      </c>
      <c r="Q2024" t="s">
        <v>1887</v>
      </c>
      <c r="R2024" t="s">
        <v>3506</v>
      </c>
      <c r="T2024" t="s">
        <v>116</v>
      </c>
    </row>
    <row r="2025" ht="25.5" customHeight="1" spans="1:20">
      <c r="A2025" t="s">
        <v>2826</v>
      </c>
      <c r="B2025" t="s">
        <v>65</v>
      </c>
      <c r="C2025" t="s">
        <v>4421</v>
      </c>
      <c r="D2025" s="3"/>
      <c r="E2025" s="2">
        <v>45672</v>
      </c>
      <c r="F2025">
        <v>74200</v>
      </c>
      <c r="G2025">
        <v>2118</v>
      </c>
      <c r="H2025">
        <v>39</v>
      </c>
      <c r="I2025">
        <v>0</v>
      </c>
      <c r="L2025" t="s">
        <v>3138</v>
      </c>
      <c r="M2025" t="s">
        <v>3393</v>
      </c>
      <c r="N2025" t="s">
        <v>1630</v>
      </c>
      <c r="O2025" s="4">
        <v>45672.5120023148</v>
      </c>
      <c r="P2025" t="s">
        <v>116</v>
      </c>
      <c r="Q2025" t="s">
        <v>1887</v>
      </c>
      <c r="R2025" t="s">
        <v>3941</v>
      </c>
      <c r="T2025" t="s">
        <v>116</v>
      </c>
    </row>
    <row r="2026" ht="25.5" customHeight="1" spans="1:20">
      <c r="A2026" t="s">
        <v>2826</v>
      </c>
      <c r="B2026" t="s">
        <v>65</v>
      </c>
      <c r="C2026" t="s">
        <v>4421</v>
      </c>
      <c r="D2026" s="3"/>
      <c r="E2026" s="2">
        <v>45673</v>
      </c>
      <c r="F2026">
        <v>74200</v>
      </c>
      <c r="G2026">
        <v>2148</v>
      </c>
      <c r="H2026">
        <v>39</v>
      </c>
      <c r="I2026">
        <v>0</v>
      </c>
      <c r="L2026" t="s">
        <v>3138</v>
      </c>
      <c r="M2026" t="s">
        <v>3393</v>
      </c>
      <c r="N2026" t="s">
        <v>1630</v>
      </c>
      <c r="O2026" s="4">
        <v>45673.4949884259</v>
      </c>
      <c r="P2026" t="s">
        <v>116</v>
      </c>
      <c r="Q2026" t="s">
        <v>1887</v>
      </c>
      <c r="R2026" t="s">
        <v>3941</v>
      </c>
      <c r="T2026" t="s">
        <v>116</v>
      </c>
    </row>
    <row r="2027" ht="25.5" customHeight="1" spans="1:20">
      <c r="A2027" t="s">
        <v>2826</v>
      </c>
      <c r="B2027" t="s">
        <v>65</v>
      </c>
      <c r="C2027" t="s">
        <v>4421</v>
      </c>
      <c r="D2027" s="3"/>
      <c r="E2027" s="2">
        <v>45674</v>
      </c>
      <c r="F2027">
        <v>74200</v>
      </c>
      <c r="G2027">
        <v>2185</v>
      </c>
      <c r="H2027">
        <v>39</v>
      </c>
      <c r="I2027">
        <v>0</v>
      </c>
      <c r="L2027" t="s">
        <v>3138</v>
      </c>
      <c r="M2027" t="s">
        <v>3393</v>
      </c>
      <c r="N2027" t="s">
        <v>1630</v>
      </c>
      <c r="O2027" s="4">
        <v>45674.6452083333</v>
      </c>
      <c r="P2027" t="s">
        <v>116</v>
      </c>
      <c r="Q2027" t="s">
        <v>1887</v>
      </c>
      <c r="R2027" t="s">
        <v>3941</v>
      </c>
      <c r="T2027" t="s">
        <v>116</v>
      </c>
    </row>
    <row r="2028" ht="25.5" customHeight="1" spans="1:20">
      <c r="A2028" t="s">
        <v>2826</v>
      </c>
      <c r="B2028" t="s">
        <v>65</v>
      </c>
      <c r="C2028" t="s">
        <v>4421</v>
      </c>
      <c r="D2028" s="3"/>
      <c r="E2028" s="2">
        <v>45677</v>
      </c>
      <c r="F2028">
        <v>74200</v>
      </c>
      <c r="G2028">
        <v>2275</v>
      </c>
      <c r="H2028">
        <v>39</v>
      </c>
      <c r="I2028">
        <v>0</v>
      </c>
      <c r="L2028" t="s">
        <v>3138</v>
      </c>
      <c r="M2028" t="s">
        <v>3393</v>
      </c>
      <c r="N2028" t="s">
        <v>1630</v>
      </c>
      <c r="O2028" s="4">
        <v>45677.4106828704</v>
      </c>
      <c r="P2028" t="s">
        <v>116</v>
      </c>
      <c r="Q2028" t="s">
        <v>1887</v>
      </c>
      <c r="R2028" t="s">
        <v>3941</v>
      </c>
      <c r="T2028" t="s">
        <v>116</v>
      </c>
    </row>
    <row r="2029" ht="25.5" customHeight="1" spans="1:20">
      <c r="A2029" t="s">
        <v>2826</v>
      </c>
      <c r="B2029" t="s">
        <v>65</v>
      </c>
      <c r="C2029" t="s">
        <v>4421</v>
      </c>
      <c r="D2029" s="3"/>
      <c r="E2029" s="2">
        <v>45678</v>
      </c>
      <c r="F2029">
        <v>74200</v>
      </c>
      <c r="G2029">
        <v>2310</v>
      </c>
      <c r="H2029">
        <v>39</v>
      </c>
      <c r="I2029">
        <v>0</v>
      </c>
      <c r="L2029" t="s">
        <v>3138</v>
      </c>
      <c r="M2029" t="s">
        <v>3393</v>
      </c>
      <c r="N2029" t="s">
        <v>1630</v>
      </c>
      <c r="O2029" s="4">
        <v>45678.5106828704</v>
      </c>
      <c r="P2029" t="s">
        <v>116</v>
      </c>
      <c r="Q2029" t="s">
        <v>1887</v>
      </c>
      <c r="R2029" t="s">
        <v>3941</v>
      </c>
      <c r="T2029" t="s">
        <v>116</v>
      </c>
    </row>
    <row r="2030" ht="25.5" customHeight="1" spans="1:20">
      <c r="A2030" t="s">
        <v>2826</v>
      </c>
      <c r="B2030" t="s">
        <v>65</v>
      </c>
      <c r="C2030" t="s">
        <v>4421</v>
      </c>
      <c r="D2030" s="3"/>
      <c r="E2030" s="2">
        <v>45679</v>
      </c>
      <c r="F2030">
        <v>74200</v>
      </c>
      <c r="G2030">
        <v>2331</v>
      </c>
      <c r="H2030">
        <v>39</v>
      </c>
      <c r="I2030">
        <v>0</v>
      </c>
      <c r="L2030" t="s">
        <v>3138</v>
      </c>
      <c r="M2030" t="s">
        <v>3393</v>
      </c>
      <c r="N2030" t="s">
        <v>1630</v>
      </c>
      <c r="O2030" s="4">
        <v>45679.6698032407</v>
      </c>
      <c r="P2030" t="s">
        <v>116</v>
      </c>
      <c r="Q2030" t="s">
        <v>1887</v>
      </c>
      <c r="R2030" t="s">
        <v>3941</v>
      </c>
      <c r="T2030" t="s">
        <v>116</v>
      </c>
    </row>
    <row r="2031" ht="25.5" customHeight="1" spans="1:20">
      <c r="A2031" t="s">
        <v>2826</v>
      </c>
      <c r="B2031" t="s">
        <v>65</v>
      </c>
      <c r="C2031" t="s">
        <v>4421</v>
      </c>
      <c r="D2031" s="3"/>
      <c r="E2031" s="2">
        <v>45680</v>
      </c>
      <c r="F2031">
        <v>74100</v>
      </c>
      <c r="G2031">
        <v>2343</v>
      </c>
      <c r="H2031">
        <v>39</v>
      </c>
      <c r="I2031">
        <v>0</v>
      </c>
      <c r="L2031" t="s">
        <v>3138</v>
      </c>
      <c r="M2031" t="s">
        <v>3393</v>
      </c>
      <c r="N2031" t="s">
        <v>1630</v>
      </c>
      <c r="O2031" s="4">
        <v>45680.5165509259</v>
      </c>
      <c r="P2031" t="s">
        <v>116</v>
      </c>
      <c r="Q2031" t="s">
        <v>1887</v>
      </c>
      <c r="R2031" t="s">
        <v>3941</v>
      </c>
      <c r="T2031" t="s">
        <v>116</v>
      </c>
    </row>
    <row r="2032" ht="25.5" customHeight="1" spans="1:20">
      <c r="A2032" t="s">
        <v>2826</v>
      </c>
      <c r="B2032" t="s">
        <v>65</v>
      </c>
      <c r="C2032" t="s">
        <v>4421</v>
      </c>
      <c r="D2032" s="3"/>
      <c r="E2032" s="2">
        <v>45681</v>
      </c>
      <c r="F2032">
        <v>74100</v>
      </c>
      <c r="G2032">
        <v>2355</v>
      </c>
      <c r="H2032">
        <v>39</v>
      </c>
      <c r="I2032">
        <v>0</v>
      </c>
      <c r="L2032" t="s">
        <v>3138</v>
      </c>
      <c r="M2032" t="s">
        <v>3393</v>
      </c>
      <c r="N2032" t="s">
        <v>1630</v>
      </c>
      <c r="O2032" s="4">
        <v>45681.5054166667</v>
      </c>
      <c r="P2032" t="s">
        <v>116</v>
      </c>
      <c r="Q2032" t="s">
        <v>1887</v>
      </c>
      <c r="R2032" t="s">
        <v>3941</v>
      </c>
      <c r="T2032" t="s">
        <v>116</v>
      </c>
    </row>
    <row r="2033" ht="25.5" customHeight="1" spans="1:20">
      <c r="A2033" t="s">
        <v>2826</v>
      </c>
      <c r="B2033" t="s">
        <v>65</v>
      </c>
      <c r="C2033" t="s">
        <v>4421</v>
      </c>
      <c r="D2033" s="3"/>
      <c r="E2033" s="2">
        <v>45683</v>
      </c>
      <c r="F2033">
        <v>74100</v>
      </c>
      <c r="G2033">
        <v>2400</v>
      </c>
      <c r="H2033">
        <v>39</v>
      </c>
      <c r="I2033">
        <v>0</v>
      </c>
      <c r="L2033" t="s">
        <v>3138</v>
      </c>
      <c r="M2033" t="s">
        <v>3393</v>
      </c>
      <c r="N2033" t="s">
        <v>1630</v>
      </c>
      <c r="O2033" s="4">
        <v>45683.7357523148</v>
      </c>
      <c r="P2033" t="s">
        <v>116</v>
      </c>
      <c r="Q2033" t="s">
        <v>1887</v>
      </c>
      <c r="R2033" t="s">
        <v>3941</v>
      </c>
      <c r="T2033" t="s">
        <v>116</v>
      </c>
    </row>
    <row r="2034" ht="25.5" customHeight="1" spans="1:20">
      <c r="A2034" t="s">
        <v>2826</v>
      </c>
      <c r="B2034" t="s">
        <v>65</v>
      </c>
      <c r="C2034" t="s">
        <v>4421</v>
      </c>
      <c r="D2034" s="3"/>
      <c r="E2034" s="2">
        <v>45684</v>
      </c>
      <c r="F2034">
        <v>74100</v>
      </c>
      <c r="G2034">
        <v>2416</v>
      </c>
      <c r="H2034">
        <v>39</v>
      </c>
      <c r="I2034">
        <v>0</v>
      </c>
      <c r="L2034" t="s">
        <v>3138</v>
      </c>
      <c r="M2034" t="s">
        <v>3393</v>
      </c>
      <c r="N2034" t="s">
        <v>1630</v>
      </c>
      <c r="O2034" s="4">
        <v>45684.7851388889</v>
      </c>
      <c r="P2034" t="s">
        <v>116</v>
      </c>
      <c r="Q2034" t="s">
        <v>1887</v>
      </c>
      <c r="R2034" t="s">
        <v>3941</v>
      </c>
      <c r="T2034" t="s">
        <v>116</v>
      </c>
    </row>
    <row r="2035" ht="25.5" customHeight="1" spans="1:20">
      <c r="A2035" t="s">
        <v>2826</v>
      </c>
      <c r="B2035" t="s">
        <v>65</v>
      </c>
      <c r="C2035" t="s">
        <v>4421</v>
      </c>
      <c r="D2035" s="3"/>
      <c r="E2035" s="2">
        <v>45693</v>
      </c>
      <c r="F2035">
        <v>74000</v>
      </c>
      <c r="G2035">
        <v>2504</v>
      </c>
      <c r="H2035">
        <v>42</v>
      </c>
      <c r="I2035">
        <v>0</v>
      </c>
      <c r="L2035" t="s">
        <v>3138</v>
      </c>
      <c r="M2035" t="s">
        <v>3393</v>
      </c>
      <c r="N2035" t="s">
        <v>1630</v>
      </c>
      <c r="O2035" s="4">
        <v>45693.7847800926</v>
      </c>
      <c r="P2035" t="s">
        <v>116</v>
      </c>
      <c r="Q2035" t="s">
        <v>1887</v>
      </c>
      <c r="R2035" t="s">
        <v>4032</v>
      </c>
      <c r="T2035" t="s">
        <v>116</v>
      </c>
    </row>
    <row r="2036" ht="25.5" customHeight="1" spans="1:20">
      <c r="A2036" t="s">
        <v>2826</v>
      </c>
      <c r="B2036" t="s">
        <v>65</v>
      </c>
      <c r="C2036" t="s">
        <v>4421</v>
      </c>
      <c r="D2036" s="3"/>
      <c r="E2036" s="2">
        <v>45694</v>
      </c>
      <c r="F2036">
        <v>74100</v>
      </c>
      <c r="G2036">
        <v>2510</v>
      </c>
      <c r="H2036">
        <v>42</v>
      </c>
      <c r="I2036">
        <v>0</v>
      </c>
      <c r="L2036" t="s">
        <v>3138</v>
      </c>
      <c r="M2036" t="s">
        <v>3393</v>
      </c>
      <c r="N2036" t="s">
        <v>1630</v>
      </c>
      <c r="O2036" s="4">
        <v>45698.6216782407</v>
      </c>
      <c r="P2036" t="s">
        <v>116</v>
      </c>
      <c r="Q2036" t="s">
        <v>1887</v>
      </c>
      <c r="R2036" t="s">
        <v>4032</v>
      </c>
      <c r="S2036" t="s">
        <v>3180</v>
      </c>
      <c r="T2036" t="s">
        <v>116</v>
      </c>
    </row>
    <row r="2037" ht="25.5" customHeight="1" spans="1:20">
      <c r="A2037" t="s">
        <v>2826</v>
      </c>
      <c r="B2037" t="s">
        <v>65</v>
      </c>
      <c r="C2037" t="s">
        <v>4421</v>
      </c>
      <c r="D2037" s="3"/>
      <c r="E2037" s="2">
        <v>45695</v>
      </c>
      <c r="F2037">
        <v>74100</v>
      </c>
      <c r="G2037">
        <v>2521</v>
      </c>
      <c r="H2037">
        <v>42</v>
      </c>
      <c r="I2037">
        <v>0</v>
      </c>
      <c r="L2037" t="s">
        <v>3138</v>
      </c>
      <c r="M2037" t="s">
        <v>3393</v>
      </c>
      <c r="N2037" t="s">
        <v>1630</v>
      </c>
      <c r="O2037" s="4">
        <v>45695.4996643519</v>
      </c>
      <c r="P2037" t="s">
        <v>116</v>
      </c>
      <c r="Q2037" t="s">
        <v>1887</v>
      </c>
      <c r="R2037" t="s">
        <v>4032</v>
      </c>
      <c r="T2037" t="s">
        <v>116</v>
      </c>
    </row>
    <row r="2038" ht="25.5" customHeight="1" spans="1:20">
      <c r="A2038" t="s">
        <v>2720</v>
      </c>
      <c r="B2038" t="s">
        <v>65</v>
      </c>
      <c r="C2038" t="s">
        <v>4422</v>
      </c>
      <c r="D2038" s="3" t="str">
        <f>HYPERLINK("https://www.instagram.com/closertech1/","https://www.instagram.com/closertech1/")</f>
        <v>https://www.instagram.com/closertech1/</v>
      </c>
      <c r="E2038" s="2">
        <v>45677</v>
      </c>
      <c r="F2038">
        <v>124000</v>
      </c>
      <c r="G2038">
        <v>39320</v>
      </c>
      <c r="H2038">
        <v>0</v>
      </c>
      <c r="I2038">
        <v>0</v>
      </c>
      <c r="L2038" t="s">
        <v>3138</v>
      </c>
      <c r="M2038" t="s">
        <v>3249</v>
      </c>
      <c r="N2038" t="s">
        <v>1630</v>
      </c>
      <c r="O2038" s="4">
        <v>45695.5965972222</v>
      </c>
      <c r="P2038" t="s">
        <v>66</v>
      </c>
      <c r="Q2038" t="s">
        <v>1753</v>
      </c>
      <c r="R2038" t="s">
        <v>3133</v>
      </c>
      <c r="T2038" t="s">
        <v>66</v>
      </c>
    </row>
    <row r="2039" ht="25.5" customHeight="1" spans="1:20">
      <c r="A2039" t="s">
        <v>2720</v>
      </c>
      <c r="B2039" t="s">
        <v>65</v>
      </c>
      <c r="C2039" t="s">
        <v>4422</v>
      </c>
      <c r="D2039" s="3"/>
      <c r="E2039" s="2">
        <v>45678</v>
      </c>
      <c r="F2039">
        <v>124000</v>
      </c>
      <c r="G2039">
        <v>39320</v>
      </c>
      <c r="H2039">
        <v>0</v>
      </c>
      <c r="I2039">
        <v>0</v>
      </c>
      <c r="L2039" t="s">
        <v>3138</v>
      </c>
      <c r="M2039" t="s">
        <v>3249</v>
      </c>
      <c r="N2039" t="s">
        <v>1630</v>
      </c>
      <c r="O2039" s="4">
        <v>45695.5966087963</v>
      </c>
      <c r="P2039" t="s">
        <v>66</v>
      </c>
      <c r="Q2039" t="s">
        <v>1753</v>
      </c>
      <c r="R2039" t="s">
        <v>3133</v>
      </c>
      <c r="T2039" t="s">
        <v>66</v>
      </c>
    </row>
    <row r="2040" ht="25.5" customHeight="1" spans="1:20">
      <c r="A2040" t="s">
        <v>2720</v>
      </c>
      <c r="B2040" t="s">
        <v>65</v>
      </c>
      <c r="C2040" t="s">
        <v>4422</v>
      </c>
      <c r="D2040" s="3"/>
      <c r="E2040" s="2">
        <v>45679</v>
      </c>
      <c r="F2040">
        <v>124000</v>
      </c>
      <c r="G2040">
        <v>39320</v>
      </c>
      <c r="H2040">
        <v>0</v>
      </c>
      <c r="I2040">
        <v>0</v>
      </c>
      <c r="L2040" t="s">
        <v>3138</v>
      </c>
      <c r="M2040" t="s">
        <v>3249</v>
      </c>
      <c r="N2040" t="s">
        <v>1630</v>
      </c>
      <c r="O2040" s="4">
        <v>45695.5966087963</v>
      </c>
      <c r="P2040" t="s">
        <v>66</v>
      </c>
      <c r="Q2040" t="s">
        <v>1753</v>
      </c>
      <c r="R2040" t="s">
        <v>3133</v>
      </c>
      <c r="T2040" t="s">
        <v>66</v>
      </c>
    </row>
    <row r="2041" ht="25.5" customHeight="1" spans="1:20">
      <c r="A2041" t="s">
        <v>2720</v>
      </c>
      <c r="B2041" t="s">
        <v>65</v>
      </c>
      <c r="C2041" t="s">
        <v>4422</v>
      </c>
      <c r="D2041" s="3"/>
      <c r="E2041" s="2">
        <v>45680</v>
      </c>
      <c r="F2041">
        <v>124000</v>
      </c>
      <c r="G2041">
        <v>39320</v>
      </c>
      <c r="H2041">
        <v>0</v>
      </c>
      <c r="I2041">
        <v>0</v>
      </c>
      <c r="L2041" t="s">
        <v>3138</v>
      </c>
      <c r="M2041" t="s">
        <v>3249</v>
      </c>
      <c r="N2041" t="s">
        <v>1630</v>
      </c>
      <c r="O2041" s="4">
        <v>45695.5966203704</v>
      </c>
      <c r="P2041" t="s">
        <v>66</v>
      </c>
      <c r="Q2041" t="s">
        <v>1753</v>
      </c>
      <c r="R2041" t="s">
        <v>3133</v>
      </c>
      <c r="T2041" t="s">
        <v>66</v>
      </c>
    </row>
    <row r="2042" ht="25.5" customHeight="1" spans="1:20">
      <c r="A2042" t="s">
        <v>2720</v>
      </c>
      <c r="B2042" t="s">
        <v>65</v>
      </c>
      <c r="C2042" t="s">
        <v>4422</v>
      </c>
      <c r="D2042" s="3"/>
      <c r="E2042" s="2">
        <v>45681</v>
      </c>
      <c r="F2042">
        <v>124000</v>
      </c>
      <c r="G2042">
        <v>39320</v>
      </c>
      <c r="H2042">
        <v>0</v>
      </c>
      <c r="I2042">
        <v>0</v>
      </c>
      <c r="L2042" t="s">
        <v>3138</v>
      </c>
      <c r="M2042" t="s">
        <v>3249</v>
      </c>
      <c r="N2042" t="s">
        <v>1630</v>
      </c>
      <c r="O2042" s="4">
        <v>45695.5966203704</v>
      </c>
      <c r="P2042" t="s">
        <v>66</v>
      </c>
      <c r="Q2042" t="s">
        <v>1753</v>
      </c>
      <c r="R2042" t="s">
        <v>3133</v>
      </c>
      <c r="T2042" t="s">
        <v>66</v>
      </c>
    </row>
    <row r="2043" ht="25.5" customHeight="1" spans="1:20">
      <c r="A2043" t="s">
        <v>2720</v>
      </c>
      <c r="B2043" t="s">
        <v>65</v>
      </c>
      <c r="C2043" t="s">
        <v>4422</v>
      </c>
      <c r="D2043" s="3"/>
      <c r="E2043" s="2">
        <v>45683</v>
      </c>
      <c r="F2043">
        <v>124000</v>
      </c>
      <c r="G2043">
        <v>39320</v>
      </c>
      <c r="H2043">
        <v>0</v>
      </c>
      <c r="I2043">
        <v>0</v>
      </c>
      <c r="L2043" t="s">
        <v>3138</v>
      </c>
      <c r="M2043" t="s">
        <v>3249</v>
      </c>
      <c r="N2043" t="s">
        <v>1630</v>
      </c>
      <c r="O2043" s="4">
        <v>45695.5966435185</v>
      </c>
      <c r="P2043" t="s">
        <v>66</v>
      </c>
      <c r="Q2043" t="s">
        <v>1753</v>
      </c>
      <c r="R2043" t="s">
        <v>3133</v>
      </c>
      <c r="T2043" t="s">
        <v>66</v>
      </c>
    </row>
    <row r="2044" ht="25.5" customHeight="1" spans="1:20">
      <c r="A2044" t="s">
        <v>2720</v>
      </c>
      <c r="B2044" t="s">
        <v>65</v>
      </c>
      <c r="C2044" t="s">
        <v>4422</v>
      </c>
      <c r="D2044" s="3"/>
      <c r="E2044" s="2">
        <v>45684</v>
      </c>
      <c r="F2044">
        <v>125000</v>
      </c>
      <c r="G2044">
        <v>39320</v>
      </c>
      <c r="H2044">
        <v>0</v>
      </c>
      <c r="I2044">
        <v>0</v>
      </c>
      <c r="L2044" t="s">
        <v>3138</v>
      </c>
      <c r="M2044" t="s">
        <v>3249</v>
      </c>
      <c r="N2044" t="s">
        <v>1630</v>
      </c>
      <c r="O2044" s="4">
        <v>45695.5966319444</v>
      </c>
      <c r="P2044" t="s">
        <v>66</v>
      </c>
      <c r="Q2044" t="s">
        <v>1753</v>
      </c>
      <c r="R2044" t="s">
        <v>3133</v>
      </c>
      <c r="T2044" t="s">
        <v>66</v>
      </c>
    </row>
    <row r="2045" ht="25.5" customHeight="1" spans="1:20">
      <c r="A2045" t="s">
        <v>2720</v>
      </c>
      <c r="B2045" t="s">
        <v>65</v>
      </c>
      <c r="C2045" t="s">
        <v>4422</v>
      </c>
      <c r="D2045" s="3" t="str">
        <f>HYPERLINK("https://www.instagram.com/closertech1/","https://www.instagram.com/closertech1/")</f>
        <v>https://www.instagram.com/closertech1/</v>
      </c>
      <c r="E2045" s="2">
        <v>45693</v>
      </c>
      <c r="F2045">
        <v>135000</v>
      </c>
      <c r="G2045">
        <v>39320</v>
      </c>
      <c r="H2045">
        <v>843</v>
      </c>
      <c r="I2045">
        <v>90</v>
      </c>
      <c r="L2045" t="s">
        <v>3331</v>
      </c>
      <c r="M2045" t="s">
        <v>3249</v>
      </c>
      <c r="N2045" t="s">
        <v>1630</v>
      </c>
      <c r="O2045" s="4">
        <v>45695.5966435185</v>
      </c>
      <c r="P2045" t="s">
        <v>66</v>
      </c>
      <c r="Q2045" t="s">
        <v>1753</v>
      </c>
      <c r="R2045" t="s">
        <v>4423</v>
      </c>
      <c r="T2045" t="s">
        <v>66</v>
      </c>
    </row>
    <row r="2046" ht="25.5" customHeight="1" spans="1:20">
      <c r="A2046" t="s">
        <v>2720</v>
      </c>
      <c r="B2046" t="s">
        <v>65</v>
      </c>
      <c r="C2046" t="s">
        <v>4422</v>
      </c>
      <c r="D2046" s="3"/>
      <c r="E2046" s="2">
        <v>45694</v>
      </c>
      <c r="F2046">
        <v>135000</v>
      </c>
      <c r="G2046">
        <v>39320</v>
      </c>
      <c r="H2046">
        <v>862</v>
      </c>
      <c r="I2046">
        <v>91</v>
      </c>
      <c r="L2046" t="s">
        <v>3331</v>
      </c>
      <c r="M2046" t="s">
        <v>3249</v>
      </c>
      <c r="N2046" t="s">
        <v>1630</v>
      </c>
      <c r="O2046" s="4">
        <v>45698.6216782407</v>
      </c>
      <c r="P2046" t="s">
        <v>66</v>
      </c>
      <c r="Q2046" t="s">
        <v>1753</v>
      </c>
      <c r="R2046" t="s">
        <v>4424</v>
      </c>
      <c r="S2046" t="s">
        <v>3245</v>
      </c>
      <c r="T2046" t="s">
        <v>66</v>
      </c>
    </row>
    <row r="2047" ht="25.5" customHeight="1" spans="1:20">
      <c r="A2047" t="s">
        <v>2720</v>
      </c>
      <c r="B2047" t="s">
        <v>65</v>
      </c>
      <c r="C2047" t="s">
        <v>4422</v>
      </c>
      <c r="D2047" s="3"/>
      <c r="E2047" s="2">
        <v>45695</v>
      </c>
      <c r="F2047">
        <v>135000</v>
      </c>
      <c r="G2047">
        <v>39320</v>
      </c>
      <c r="H2047">
        <v>889</v>
      </c>
      <c r="I2047">
        <v>92</v>
      </c>
      <c r="L2047" t="s">
        <v>3331</v>
      </c>
      <c r="M2047" t="s">
        <v>3249</v>
      </c>
      <c r="N2047" t="s">
        <v>1630</v>
      </c>
      <c r="O2047" s="4">
        <v>45695.5966666667</v>
      </c>
      <c r="P2047" t="s">
        <v>66</v>
      </c>
      <c r="Q2047" t="s">
        <v>1753</v>
      </c>
      <c r="R2047" t="s">
        <v>4425</v>
      </c>
      <c r="T2047" t="s">
        <v>66</v>
      </c>
    </row>
    <row r="2048" ht="25.5" customHeight="1" spans="1:20">
      <c r="A2048" t="s">
        <v>2720</v>
      </c>
      <c r="B2048" t="s">
        <v>65</v>
      </c>
      <c r="C2048" t="s">
        <v>4422</v>
      </c>
      <c r="D2048" s="3"/>
      <c r="E2048" s="2">
        <v>45696</v>
      </c>
      <c r="F2048">
        <v>135000</v>
      </c>
      <c r="G2048">
        <v>39320</v>
      </c>
      <c r="H2048">
        <v>901</v>
      </c>
      <c r="I2048">
        <v>93</v>
      </c>
      <c r="L2048" t="s">
        <v>3331</v>
      </c>
      <c r="M2048" t="s">
        <v>3249</v>
      </c>
      <c r="N2048" t="s">
        <v>1630</v>
      </c>
      <c r="O2048" s="4">
        <v>45696.460787037</v>
      </c>
      <c r="P2048" t="s">
        <v>66</v>
      </c>
      <c r="Q2048" t="s">
        <v>1753</v>
      </c>
      <c r="R2048" t="s">
        <v>3538</v>
      </c>
      <c r="T2048" t="s">
        <v>66</v>
      </c>
    </row>
    <row r="2049" ht="25.5" customHeight="1" spans="1:20">
      <c r="A2049" t="s">
        <v>2609</v>
      </c>
      <c r="B2049" t="s">
        <v>65</v>
      </c>
      <c r="C2049" t="s">
        <v>4426</v>
      </c>
      <c r="D2049" s="3"/>
      <c r="E2049" s="2">
        <v>45664</v>
      </c>
      <c r="F2049">
        <v>211800</v>
      </c>
      <c r="G2049">
        <v>8297</v>
      </c>
      <c r="H2049">
        <v>179</v>
      </c>
      <c r="I2049">
        <v>12</v>
      </c>
      <c r="L2049" t="s">
        <v>3138</v>
      </c>
      <c r="M2049" t="s">
        <v>3225</v>
      </c>
      <c r="N2049" t="s">
        <v>1630</v>
      </c>
      <c r="O2049" s="4">
        <v>45670.753587963</v>
      </c>
      <c r="P2049" t="s">
        <v>116</v>
      </c>
      <c r="Q2049" t="s">
        <v>97</v>
      </c>
      <c r="R2049" t="s">
        <v>3934</v>
      </c>
      <c r="T2049" t="s">
        <v>116</v>
      </c>
    </row>
    <row r="2050" ht="25.5" customHeight="1" spans="1:20">
      <c r="A2050" t="s">
        <v>2609</v>
      </c>
      <c r="B2050" t="s">
        <v>65</v>
      </c>
      <c r="C2050" t="s">
        <v>4426</v>
      </c>
      <c r="D2050" s="3"/>
      <c r="E2050" s="2">
        <v>45665</v>
      </c>
      <c r="F2050">
        <v>212000</v>
      </c>
      <c r="G2050">
        <v>10100</v>
      </c>
      <c r="H2050">
        <v>213</v>
      </c>
      <c r="I2050">
        <v>18</v>
      </c>
      <c r="L2050" t="s">
        <v>3138</v>
      </c>
      <c r="M2050" t="s">
        <v>3225</v>
      </c>
      <c r="N2050" t="s">
        <v>1630</v>
      </c>
      <c r="O2050" s="4">
        <v>45672.5030092593</v>
      </c>
      <c r="P2050" t="s">
        <v>116</v>
      </c>
      <c r="Q2050" t="s">
        <v>97</v>
      </c>
      <c r="R2050" t="s">
        <v>3406</v>
      </c>
      <c r="T2050" t="s">
        <v>116</v>
      </c>
    </row>
    <row r="2051" ht="25.5" customHeight="1" spans="1:20">
      <c r="A2051" t="s">
        <v>2609</v>
      </c>
      <c r="B2051" t="s">
        <v>65</v>
      </c>
      <c r="C2051" t="s">
        <v>4426</v>
      </c>
      <c r="D2051" s="3" t="str">
        <f>HYPERLINK("https://www.instagram.com/code.eka/reels/","https://www.instagram.com/code.eka/reels/")</f>
        <v>https://www.instagram.com/code.eka/reels/</v>
      </c>
      <c r="E2051" s="2">
        <v>45670</v>
      </c>
      <c r="F2051">
        <v>211000</v>
      </c>
      <c r="G2051">
        <v>15000</v>
      </c>
      <c r="H2051">
        <v>284</v>
      </c>
      <c r="I2051">
        <v>25</v>
      </c>
      <c r="L2051" t="s">
        <v>3138</v>
      </c>
      <c r="M2051" t="s">
        <v>3225</v>
      </c>
      <c r="N2051" t="s">
        <v>1630</v>
      </c>
      <c r="O2051" s="4">
        <v>45672.5030092593</v>
      </c>
      <c r="P2051" t="s">
        <v>116</v>
      </c>
      <c r="Q2051" t="s">
        <v>97</v>
      </c>
      <c r="R2051" t="s">
        <v>3500</v>
      </c>
      <c r="T2051" t="s">
        <v>116</v>
      </c>
    </row>
    <row r="2052" ht="25.5" customHeight="1" spans="1:20">
      <c r="A2052" t="s">
        <v>2609</v>
      </c>
      <c r="B2052" t="s">
        <v>65</v>
      </c>
      <c r="C2052" t="s">
        <v>4426</v>
      </c>
      <c r="D2052" s="3"/>
      <c r="E2052" s="2">
        <v>45671</v>
      </c>
      <c r="F2052">
        <v>211000</v>
      </c>
      <c r="G2052">
        <v>15300</v>
      </c>
      <c r="H2052">
        <v>287</v>
      </c>
      <c r="I2052">
        <v>25</v>
      </c>
      <c r="L2052" t="s">
        <v>3138</v>
      </c>
      <c r="M2052" t="s">
        <v>3225</v>
      </c>
      <c r="N2052" t="s">
        <v>1630</v>
      </c>
      <c r="O2052" s="4">
        <v>45672.5030092593</v>
      </c>
      <c r="P2052" t="s">
        <v>116</v>
      </c>
      <c r="Q2052" t="s">
        <v>97</v>
      </c>
      <c r="R2052" t="s">
        <v>3501</v>
      </c>
      <c r="T2052" t="s">
        <v>116</v>
      </c>
    </row>
    <row r="2053" ht="25.5" customHeight="1" spans="1:20">
      <c r="A2053" t="s">
        <v>2609</v>
      </c>
      <c r="B2053" t="s">
        <v>65</v>
      </c>
      <c r="C2053" t="s">
        <v>4426</v>
      </c>
      <c r="D2053" s="3"/>
      <c r="E2053" s="2">
        <v>45672</v>
      </c>
      <c r="F2053">
        <v>211000</v>
      </c>
      <c r="G2053">
        <v>15500</v>
      </c>
      <c r="H2053">
        <v>293</v>
      </c>
      <c r="I2053">
        <v>25</v>
      </c>
      <c r="L2053" t="s">
        <v>3138</v>
      </c>
      <c r="M2053" t="s">
        <v>3225</v>
      </c>
      <c r="N2053" t="s">
        <v>1630</v>
      </c>
      <c r="O2053" s="4">
        <v>45672.5121759259</v>
      </c>
      <c r="P2053" t="s">
        <v>116</v>
      </c>
      <c r="Q2053" t="s">
        <v>97</v>
      </c>
      <c r="R2053" t="s">
        <v>3502</v>
      </c>
      <c r="T2053" t="s">
        <v>116</v>
      </c>
    </row>
    <row r="2054" ht="25.5" customHeight="1" spans="1:20">
      <c r="A2054" t="s">
        <v>2609</v>
      </c>
      <c r="B2054" t="s">
        <v>65</v>
      </c>
      <c r="C2054" t="s">
        <v>4426</v>
      </c>
      <c r="D2054" s="3"/>
      <c r="E2054" s="2">
        <v>45673</v>
      </c>
      <c r="F2054">
        <v>211000</v>
      </c>
      <c r="G2054">
        <v>15800</v>
      </c>
      <c r="H2054">
        <v>297</v>
      </c>
      <c r="I2054">
        <v>25</v>
      </c>
      <c r="L2054" t="s">
        <v>3138</v>
      </c>
      <c r="M2054" t="s">
        <v>3225</v>
      </c>
      <c r="N2054" t="s">
        <v>1630</v>
      </c>
      <c r="O2054" s="4">
        <v>45673.4951967593</v>
      </c>
      <c r="P2054" t="s">
        <v>116</v>
      </c>
      <c r="Q2054" t="s">
        <v>97</v>
      </c>
      <c r="R2054" t="s">
        <v>4127</v>
      </c>
      <c r="T2054" t="s">
        <v>116</v>
      </c>
    </row>
    <row r="2055" ht="25.5" customHeight="1" spans="1:20">
      <c r="A2055" t="s">
        <v>2609</v>
      </c>
      <c r="B2055" t="s">
        <v>65</v>
      </c>
      <c r="C2055" t="s">
        <v>4426</v>
      </c>
      <c r="D2055" s="3"/>
      <c r="E2055" s="2">
        <v>45674</v>
      </c>
      <c r="F2055">
        <v>211000</v>
      </c>
      <c r="G2055">
        <v>16100</v>
      </c>
      <c r="H2055">
        <v>303</v>
      </c>
      <c r="I2055">
        <v>25</v>
      </c>
      <c r="L2055" t="s">
        <v>3138</v>
      </c>
      <c r="M2055" t="s">
        <v>3225</v>
      </c>
      <c r="N2055" t="s">
        <v>1630</v>
      </c>
      <c r="O2055" s="4">
        <v>45674.6455092593</v>
      </c>
      <c r="P2055" t="s">
        <v>116</v>
      </c>
      <c r="Q2055" t="s">
        <v>97</v>
      </c>
      <c r="R2055" t="s">
        <v>4427</v>
      </c>
      <c r="T2055" t="s">
        <v>116</v>
      </c>
    </row>
    <row r="2056" ht="25.5" customHeight="1" spans="1:20">
      <c r="A2056" t="s">
        <v>2609</v>
      </c>
      <c r="B2056" t="s">
        <v>65</v>
      </c>
      <c r="C2056" t="s">
        <v>4426</v>
      </c>
      <c r="D2056" s="3"/>
      <c r="E2056" s="2">
        <v>45677</v>
      </c>
      <c r="F2056">
        <v>212000</v>
      </c>
      <c r="G2056">
        <v>16900</v>
      </c>
      <c r="H2056">
        <v>309</v>
      </c>
      <c r="I2056">
        <v>27</v>
      </c>
      <c r="L2056" t="s">
        <v>3138</v>
      </c>
      <c r="M2056" t="s">
        <v>3225</v>
      </c>
      <c r="N2056" t="s">
        <v>1630</v>
      </c>
      <c r="O2056" s="4">
        <v>45677.4109259259</v>
      </c>
      <c r="P2056" t="s">
        <v>116</v>
      </c>
      <c r="Q2056" t="s">
        <v>97</v>
      </c>
      <c r="R2056" t="s">
        <v>4006</v>
      </c>
      <c r="T2056" t="s">
        <v>116</v>
      </c>
    </row>
    <row r="2057" ht="25.5" customHeight="1" spans="1:20">
      <c r="A2057" t="s">
        <v>2609</v>
      </c>
      <c r="B2057" t="s">
        <v>65</v>
      </c>
      <c r="C2057" t="s">
        <v>4426</v>
      </c>
      <c r="D2057" s="3"/>
      <c r="E2057" s="2">
        <v>45678</v>
      </c>
      <c r="F2057">
        <v>212000</v>
      </c>
      <c r="G2057">
        <v>17200</v>
      </c>
      <c r="H2057">
        <v>315</v>
      </c>
      <c r="I2057">
        <v>27</v>
      </c>
      <c r="L2057" t="s">
        <v>3138</v>
      </c>
      <c r="M2057" t="s">
        <v>3225</v>
      </c>
      <c r="N2057" t="s">
        <v>1630</v>
      </c>
      <c r="O2057" s="4">
        <v>45678.5110300926</v>
      </c>
      <c r="P2057" t="s">
        <v>116</v>
      </c>
      <c r="Q2057" t="s">
        <v>97</v>
      </c>
      <c r="R2057" t="s">
        <v>4428</v>
      </c>
      <c r="T2057" t="s">
        <v>116</v>
      </c>
    </row>
    <row r="2058" ht="25.5" customHeight="1" spans="1:20">
      <c r="A2058" t="s">
        <v>2609</v>
      </c>
      <c r="B2058" t="s">
        <v>65</v>
      </c>
      <c r="C2058" t="s">
        <v>4426</v>
      </c>
      <c r="D2058" s="3"/>
      <c r="E2058" s="2">
        <v>45679</v>
      </c>
      <c r="F2058">
        <v>212000</v>
      </c>
      <c r="G2058">
        <v>17300</v>
      </c>
      <c r="H2058">
        <v>316</v>
      </c>
      <c r="I2058">
        <v>27</v>
      </c>
      <c r="L2058" t="s">
        <v>3138</v>
      </c>
      <c r="M2058" t="s">
        <v>3225</v>
      </c>
      <c r="N2058" t="s">
        <v>1630</v>
      </c>
      <c r="O2058" s="4">
        <v>45679.6700694444</v>
      </c>
      <c r="P2058" t="s">
        <v>116</v>
      </c>
      <c r="Q2058" t="s">
        <v>97</v>
      </c>
      <c r="R2058" t="s">
        <v>4429</v>
      </c>
      <c r="T2058" t="s">
        <v>116</v>
      </c>
    </row>
    <row r="2059" ht="25.5" customHeight="1" spans="1:20">
      <c r="A2059" t="s">
        <v>2609</v>
      </c>
      <c r="B2059" t="s">
        <v>65</v>
      </c>
      <c r="C2059" t="s">
        <v>4426</v>
      </c>
      <c r="D2059" s="3"/>
      <c r="E2059" s="2">
        <v>45680</v>
      </c>
      <c r="F2059">
        <v>212000</v>
      </c>
      <c r="G2059">
        <v>17300</v>
      </c>
      <c r="H2059">
        <v>316</v>
      </c>
      <c r="I2059">
        <v>27</v>
      </c>
      <c r="L2059" t="s">
        <v>3138</v>
      </c>
      <c r="M2059" t="s">
        <v>3225</v>
      </c>
      <c r="N2059" t="s">
        <v>1630</v>
      </c>
      <c r="O2059" s="4">
        <v>45680.5167708333</v>
      </c>
      <c r="P2059" t="s">
        <v>116</v>
      </c>
      <c r="Q2059" t="s">
        <v>97</v>
      </c>
      <c r="R2059" t="s">
        <v>4429</v>
      </c>
      <c r="T2059" t="s">
        <v>116</v>
      </c>
    </row>
    <row r="2060" ht="25.5" customHeight="1" spans="1:20">
      <c r="A2060" t="s">
        <v>2609</v>
      </c>
      <c r="B2060" t="s">
        <v>65</v>
      </c>
      <c r="C2060" t="s">
        <v>4426</v>
      </c>
      <c r="D2060" s="3"/>
      <c r="E2060" s="2">
        <v>45681</v>
      </c>
      <c r="F2060">
        <v>212000</v>
      </c>
      <c r="G2060">
        <v>17400</v>
      </c>
      <c r="H2060">
        <v>316</v>
      </c>
      <c r="I2060">
        <v>27</v>
      </c>
      <c r="L2060" t="s">
        <v>3138</v>
      </c>
      <c r="M2060" t="s">
        <v>3225</v>
      </c>
      <c r="N2060" t="s">
        <v>1630</v>
      </c>
      <c r="O2060" s="4">
        <v>45681.5058217593</v>
      </c>
      <c r="P2060" t="s">
        <v>116</v>
      </c>
      <c r="Q2060" t="s">
        <v>97</v>
      </c>
      <c r="R2060" t="s">
        <v>4429</v>
      </c>
      <c r="T2060" t="s">
        <v>116</v>
      </c>
    </row>
    <row r="2061" ht="25.5" customHeight="1" spans="1:20">
      <c r="A2061" t="s">
        <v>2609</v>
      </c>
      <c r="B2061" t="s">
        <v>65</v>
      </c>
      <c r="C2061" t="s">
        <v>4426</v>
      </c>
      <c r="D2061" s="3"/>
      <c r="E2061" s="2">
        <v>45683</v>
      </c>
      <c r="F2061">
        <v>212000</v>
      </c>
      <c r="G2061">
        <v>17500</v>
      </c>
      <c r="H2061">
        <v>318</v>
      </c>
      <c r="I2061">
        <v>27</v>
      </c>
      <c r="L2061" t="s">
        <v>3138</v>
      </c>
      <c r="M2061" t="s">
        <v>3225</v>
      </c>
      <c r="N2061" t="s">
        <v>1630</v>
      </c>
      <c r="O2061" s="4">
        <v>45684.7854861111</v>
      </c>
      <c r="P2061" t="s">
        <v>116</v>
      </c>
      <c r="Q2061" t="s">
        <v>97</v>
      </c>
      <c r="R2061" t="s">
        <v>3312</v>
      </c>
      <c r="T2061" t="s">
        <v>116</v>
      </c>
    </row>
    <row r="2062" ht="25.5" customHeight="1" spans="1:20">
      <c r="A2062" t="s">
        <v>2609</v>
      </c>
      <c r="B2062" t="s">
        <v>65</v>
      </c>
      <c r="C2062" t="s">
        <v>4426</v>
      </c>
      <c r="D2062" s="3"/>
      <c r="E2062" s="2">
        <v>45684</v>
      </c>
      <c r="F2062">
        <v>213000</v>
      </c>
      <c r="G2062">
        <v>17500</v>
      </c>
      <c r="H2062">
        <v>318</v>
      </c>
      <c r="I2062">
        <v>27</v>
      </c>
      <c r="L2062" t="s">
        <v>3138</v>
      </c>
      <c r="M2062" t="s">
        <v>3225</v>
      </c>
      <c r="N2062" t="s">
        <v>1630</v>
      </c>
      <c r="O2062" s="4">
        <v>45684.7854976852</v>
      </c>
      <c r="P2062" t="s">
        <v>116</v>
      </c>
      <c r="Q2062" t="s">
        <v>97</v>
      </c>
      <c r="R2062" t="s">
        <v>3312</v>
      </c>
      <c r="T2062" t="s">
        <v>116</v>
      </c>
    </row>
    <row r="2063" ht="25.5" customHeight="1" spans="1:20">
      <c r="A2063" t="s">
        <v>2609</v>
      </c>
      <c r="B2063" t="s">
        <v>65</v>
      </c>
      <c r="C2063" t="s">
        <v>4426</v>
      </c>
      <c r="D2063" s="3"/>
      <c r="E2063" s="2">
        <v>45693</v>
      </c>
      <c r="F2063">
        <v>213000</v>
      </c>
      <c r="G2063">
        <v>17800</v>
      </c>
      <c r="H2063">
        <v>321</v>
      </c>
      <c r="I2063">
        <v>28</v>
      </c>
      <c r="L2063" t="s">
        <v>3138</v>
      </c>
      <c r="M2063" t="s">
        <v>3225</v>
      </c>
      <c r="N2063" t="s">
        <v>1630</v>
      </c>
      <c r="O2063" s="4">
        <v>45693.7853240741</v>
      </c>
      <c r="P2063" t="s">
        <v>116</v>
      </c>
      <c r="Q2063" t="s">
        <v>97</v>
      </c>
      <c r="R2063" t="s">
        <v>4430</v>
      </c>
      <c r="T2063" t="s">
        <v>116</v>
      </c>
    </row>
    <row r="2064" ht="25.5" customHeight="1" spans="1:20">
      <c r="A2064" t="s">
        <v>2609</v>
      </c>
      <c r="B2064" t="s">
        <v>65</v>
      </c>
      <c r="C2064" t="s">
        <v>4426</v>
      </c>
      <c r="D2064" s="3"/>
      <c r="E2064" s="2">
        <v>45694</v>
      </c>
      <c r="F2064">
        <v>213000</v>
      </c>
      <c r="G2064">
        <v>17700</v>
      </c>
      <c r="H2064">
        <v>321</v>
      </c>
      <c r="I2064">
        <v>28</v>
      </c>
      <c r="L2064" t="s">
        <v>3138</v>
      </c>
      <c r="M2064" t="s">
        <v>3225</v>
      </c>
      <c r="N2064" t="s">
        <v>1630</v>
      </c>
      <c r="O2064" s="4">
        <v>45698.6216782407</v>
      </c>
      <c r="P2064" t="s">
        <v>116</v>
      </c>
      <c r="Q2064" t="s">
        <v>97</v>
      </c>
      <c r="R2064" t="s">
        <v>4430</v>
      </c>
      <c r="S2064" t="s">
        <v>3245</v>
      </c>
      <c r="T2064" t="s">
        <v>116</v>
      </c>
    </row>
    <row r="2065" ht="25.5" customHeight="1" spans="1:20">
      <c r="A2065" t="s">
        <v>2609</v>
      </c>
      <c r="B2065" t="s">
        <v>65</v>
      </c>
      <c r="C2065" t="s">
        <v>4426</v>
      </c>
      <c r="D2065" s="3"/>
      <c r="E2065" s="2">
        <v>45695</v>
      </c>
      <c r="F2065">
        <v>213000</v>
      </c>
      <c r="G2065">
        <v>17800</v>
      </c>
      <c r="H2065">
        <v>321</v>
      </c>
      <c r="I2065">
        <v>28</v>
      </c>
      <c r="L2065" t="s">
        <v>3138</v>
      </c>
      <c r="M2065" t="s">
        <v>3225</v>
      </c>
      <c r="N2065" t="s">
        <v>1630</v>
      </c>
      <c r="O2065" s="4">
        <v>45695.5008333333</v>
      </c>
      <c r="P2065" t="s">
        <v>116</v>
      </c>
      <c r="Q2065" t="s">
        <v>97</v>
      </c>
      <c r="R2065" t="s">
        <v>4430</v>
      </c>
      <c r="T2065" t="s">
        <v>116</v>
      </c>
    </row>
    <row r="2066" ht="25.5" customHeight="1" spans="1:20">
      <c r="A2066" t="s">
        <v>3047</v>
      </c>
      <c r="B2066" t="s">
        <v>65</v>
      </c>
      <c r="C2066" t="s">
        <v>4431</v>
      </c>
      <c r="D2066" s="3"/>
      <c r="E2066" s="2">
        <v>45664</v>
      </c>
      <c r="F2066">
        <v>1946</v>
      </c>
      <c r="G2066">
        <v>944</v>
      </c>
      <c r="H2066">
        <v>182</v>
      </c>
      <c r="I2066">
        <v>88</v>
      </c>
      <c r="J2066">
        <v>4</v>
      </c>
      <c r="K2066">
        <v>8</v>
      </c>
      <c r="L2066" t="s">
        <v>3831</v>
      </c>
      <c r="M2066" t="s">
        <v>4432</v>
      </c>
      <c r="N2066" t="s">
        <v>1630</v>
      </c>
      <c r="O2066" s="4">
        <v>45695.4259722222</v>
      </c>
      <c r="P2066" t="s">
        <v>116</v>
      </c>
      <c r="Q2066" t="s">
        <v>97</v>
      </c>
      <c r="R2066" t="s">
        <v>3555</v>
      </c>
      <c r="T2066" t="s">
        <v>116</v>
      </c>
    </row>
    <row r="2067" ht="25.5" customHeight="1" spans="1:20">
      <c r="A2067" t="s">
        <v>3047</v>
      </c>
      <c r="B2067" t="s">
        <v>65</v>
      </c>
      <c r="C2067" t="s">
        <v>4431</v>
      </c>
      <c r="D2067" s="3"/>
      <c r="E2067" s="2">
        <v>45665</v>
      </c>
      <c r="F2067">
        <v>1949</v>
      </c>
      <c r="G2067">
        <v>1048</v>
      </c>
      <c r="H2067">
        <v>182</v>
      </c>
      <c r="I2067">
        <v>88</v>
      </c>
      <c r="J2067">
        <v>4</v>
      </c>
      <c r="K2067">
        <v>8</v>
      </c>
      <c r="L2067" t="s">
        <v>3831</v>
      </c>
      <c r="M2067" t="s">
        <v>4432</v>
      </c>
      <c r="N2067" t="s">
        <v>1630</v>
      </c>
      <c r="O2067" s="4">
        <v>45695.4259837963</v>
      </c>
      <c r="P2067" t="s">
        <v>116</v>
      </c>
      <c r="Q2067" t="s">
        <v>97</v>
      </c>
      <c r="R2067" t="s">
        <v>3555</v>
      </c>
      <c r="T2067" t="s">
        <v>116</v>
      </c>
    </row>
    <row r="2068" ht="25.5" customHeight="1" spans="1:20">
      <c r="A2068" t="s">
        <v>3047</v>
      </c>
      <c r="B2068" t="s">
        <v>65</v>
      </c>
      <c r="C2068" t="s">
        <v>4431</v>
      </c>
      <c r="D2068" s="3" t="str">
        <f>HYPERLINK("https://www.instagram.com/cozywith_m/reels/","https://www.instagram.com/cozywith_m/reels/")</f>
        <v>https://www.instagram.com/cozywith_m/reels/</v>
      </c>
      <c r="E2068" s="2">
        <v>45670</v>
      </c>
      <c r="F2068">
        <v>1962</v>
      </c>
      <c r="G2068">
        <v>1711</v>
      </c>
      <c r="H2068">
        <v>182</v>
      </c>
      <c r="I2068">
        <v>88</v>
      </c>
      <c r="J2068">
        <v>4</v>
      </c>
      <c r="K2068">
        <v>8</v>
      </c>
      <c r="L2068" t="s">
        <v>3831</v>
      </c>
      <c r="M2068" t="s">
        <v>4432</v>
      </c>
      <c r="N2068" t="s">
        <v>1630</v>
      </c>
      <c r="O2068" s="4">
        <v>45695.4259837963</v>
      </c>
      <c r="P2068" t="s">
        <v>116</v>
      </c>
      <c r="Q2068" t="s">
        <v>97</v>
      </c>
      <c r="R2068" t="s">
        <v>3555</v>
      </c>
      <c r="T2068" t="s">
        <v>116</v>
      </c>
    </row>
    <row r="2069" ht="25.5" customHeight="1" spans="1:20">
      <c r="A2069" t="s">
        <v>3047</v>
      </c>
      <c r="B2069" t="s">
        <v>65</v>
      </c>
      <c r="C2069" t="s">
        <v>4431</v>
      </c>
      <c r="D2069" s="3"/>
      <c r="E2069" s="2">
        <v>45671</v>
      </c>
      <c r="F2069">
        <v>1964</v>
      </c>
      <c r="G2069">
        <v>1740</v>
      </c>
      <c r="H2069">
        <v>182</v>
      </c>
      <c r="I2069">
        <v>88</v>
      </c>
      <c r="J2069">
        <v>4</v>
      </c>
      <c r="K2069">
        <v>8</v>
      </c>
      <c r="L2069" t="s">
        <v>3831</v>
      </c>
      <c r="M2069" t="s">
        <v>4432</v>
      </c>
      <c r="N2069" t="s">
        <v>1630</v>
      </c>
      <c r="O2069" s="4">
        <v>45695.4259953704</v>
      </c>
      <c r="P2069" t="s">
        <v>116</v>
      </c>
      <c r="Q2069" t="s">
        <v>97</v>
      </c>
      <c r="R2069" t="s">
        <v>3555</v>
      </c>
      <c r="T2069" t="s">
        <v>116</v>
      </c>
    </row>
    <row r="2070" ht="25.5" customHeight="1" spans="1:20">
      <c r="A2070" t="s">
        <v>3047</v>
      </c>
      <c r="B2070" t="s">
        <v>65</v>
      </c>
      <c r="C2070" t="s">
        <v>4431</v>
      </c>
      <c r="D2070" s="3"/>
      <c r="E2070" s="2">
        <v>45672</v>
      </c>
      <c r="F2070">
        <v>1964</v>
      </c>
      <c r="G2070">
        <v>1818</v>
      </c>
      <c r="H2070">
        <v>182</v>
      </c>
      <c r="I2070">
        <v>88</v>
      </c>
      <c r="J2070">
        <v>4</v>
      </c>
      <c r="K2070">
        <v>8</v>
      </c>
      <c r="L2070" t="s">
        <v>3831</v>
      </c>
      <c r="M2070" t="s">
        <v>4432</v>
      </c>
      <c r="N2070" t="s">
        <v>1630</v>
      </c>
      <c r="O2070" s="4">
        <v>45695.4260069444</v>
      </c>
      <c r="P2070" t="s">
        <v>116</v>
      </c>
      <c r="Q2070" t="s">
        <v>97</v>
      </c>
      <c r="R2070" t="s">
        <v>3555</v>
      </c>
      <c r="T2070" t="s">
        <v>116</v>
      </c>
    </row>
    <row r="2071" ht="25.5" customHeight="1" spans="1:20">
      <c r="A2071" t="s">
        <v>3047</v>
      </c>
      <c r="B2071" t="s">
        <v>65</v>
      </c>
      <c r="C2071" t="s">
        <v>4431</v>
      </c>
      <c r="D2071" s="3"/>
      <c r="E2071" s="2">
        <v>45673</v>
      </c>
      <c r="F2071">
        <v>1972</v>
      </c>
      <c r="G2071">
        <v>1837</v>
      </c>
      <c r="H2071">
        <v>182</v>
      </c>
      <c r="I2071">
        <v>88</v>
      </c>
      <c r="J2071">
        <v>4</v>
      </c>
      <c r="K2071">
        <v>8</v>
      </c>
      <c r="L2071" t="s">
        <v>3831</v>
      </c>
      <c r="M2071" t="s">
        <v>4432</v>
      </c>
      <c r="N2071" t="s">
        <v>1630</v>
      </c>
      <c r="O2071" s="4">
        <v>45695.4260069444</v>
      </c>
      <c r="P2071" t="s">
        <v>116</v>
      </c>
      <c r="Q2071" t="s">
        <v>97</v>
      </c>
      <c r="R2071" t="s">
        <v>3555</v>
      </c>
      <c r="T2071" t="s">
        <v>116</v>
      </c>
    </row>
    <row r="2072" ht="25.5" customHeight="1" spans="1:20">
      <c r="A2072" t="s">
        <v>3047</v>
      </c>
      <c r="B2072" t="s">
        <v>65</v>
      </c>
      <c r="C2072" t="s">
        <v>4431</v>
      </c>
      <c r="D2072" s="3"/>
      <c r="E2072" s="2">
        <v>45674</v>
      </c>
      <c r="F2072">
        <v>1981</v>
      </c>
      <c r="G2072">
        <v>1922</v>
      </c>
      <c r="H2072">
        <v>182</v>
      </c>
      <c r="I2072">
        <v>88</v>
      </c>
      <c r="J2072">
        <v>4</v>
      </c>
      <c r="K2072">
        <v>8</v>
      </c>
      <c r="L2072" t="s">
        <v>3831</v>
      </c>
      <c r="M2072" t="s">
        <v>4432</v>
      </c>
      <c r="N2072" t="s">
        <v>1630</v>
      </c>
      <c r="O2072" s="4">
        <v>45695.4260185185</v>
      </c>
      <c r="P2072" t="s">
        <v>116</v>
      </c>
      <c r="Q2072" t="s">
        <v>97</v>
      </c>
      <c r="R2072" t="s">
        <v>3555</v>
      </c>
      <c r="T2072" t="s">
        <v>116</v>
      </c>
    </row>
    <row r="2073" ht="25.5" customHeight="1" spans="1:20">
      <c r="A2073" t="s">
        <v>3047</v>
      </c>
      <c r="B2073" t="s">
        <v>65</v>
      </c>
      <c r="C2073" t="s">
        <v>4431</v>
      </c>
      <c r="D2073" s="3"/>
      <c r="E2073" s="2">
        <v>45677</v>
      </c>
      <c r="F2073">
        <v>1983</v>
      </c>
      <c r="G2073">
        <v>2016</v>
      </c>
      <c r="H2073">
        <v>182</v>
      </c>
      <c r="I2073">
        <v>88</v>
      </c>
      <c r="J2073">
        <v>4</v>
      </c>
      <c r="K2073">
        <v>8</v>
      </c>
      <c r="L2073" t="s">
        <v>3831</v>
      </c>
      <c r="M2073" t="s">
        <v>4432</v>
      </c>
      <c r="N2073" t="s">
        <v>1630</v>
      </c>
      <c r="O2073" s="4">
        <v>45695.4260300926</v>
      </c>
      <c r="P2073" t="s">
        <v>116</v>
      </c>
      <c r="Q2073" t="s">
        <v>97</v>
      </c>
      <c r="R2073" t="s">
        <v>3555</v>
      </c>
      <c r="T2073" t="s">
        <v>116</v>
      </c>
    </row>
    <row r="2074" ht="25.5" customHeight="1" spans="1:20">
      <c r="A2074" t="s">
        <v>3047</v>
      </c>
      <c r="B2074" t="s">
        <v>65</v>
      </c>
      <c r="C2074" t="s">
        <v>4431</v>
      </c>
      <c r="D2074" s="3"/>
      <c r="E2074" s="2">
        <v>45678</v>
      </c>
      <c r="F2074">
        <v>1994</v>
      </c>
      <c r="G2074">
        <v>2027</v>
      </c>
      <c r="H2074">
        <v>182</v>
      </c>
      <c r="I2074">
        <v>88</v>
      </c>
      <c r="J2074">
        <v>4</v>
      </c>
      <c r="K2074">
        <v>8</v>
      </c>
      <c r="L2074" t="s">
        <v>3831</v>
      </c>
      <c r="M2074" t="s">
        <v>4432</v>
      </c>
      <c r="N2074" t="s">
        <v>1630</v>
      </c>
      <c r="O2074" s="4">
        <v>45695.4260300926</v>
      </c>
      <c r="P2074" t="s">
        <v>116</v>
      </c>
      <c r="Q2074" t="s">
        <v>97</v>
      </c>
      <c r="R2074" t="s">
        <v>3555</v>
      </c>
      <c r="T2074" t="s">
        <v>116</v>
      </c>
    </row>
    <row r="2075" ht="25.5" customHeight="1" spans="1:20">
      <c r="A2075" t="s">
        <v>3047</v>
      </c>
      <c r="B2075" t="s">
        <v>65</v>
      </c>
      <c r="C2075" t="s">
        <v>4431</v>
      </c>
      <c r="D2075" s="3"/>
      <c r="E2075" s="2">
        <v>45679</v>
      </c>
      <c r="F2075">
        <v>1986</v>
      </c>
      <c r="G2075">
        <v>2031</v>
      </c>
      <c r="H2075">
        <v>182</v>
      </c>
      <c r="I2075">
        <v>88</v>
      </c>
      <c r="J2075">
        <v>4</v>
      </c>
      <c r="K2075">
        <v>8</v>
      </c>
      <c r="L2075" t="s">
        <v>3831</v>
      </c>
      <c r="M2075" t="s">
        <v>4432</v>
      </c>
      <c r="N2075" t="s">
        <v>1630</v>
      </c>
      <c r="O2075" s="4">
        <v>45695.4260416667</v>
      </c>
      <c r="P2075" t="s">
        <v>116</v>
      </c>
      <c r="Q2075" t="s">
        <v>97</v>
      </c>
      <c r="R2075" t="s">
        <v>3555</v>
      </c>
      <c r="T2075" t="s">
        <v>116</v>
      </c>
    </row>
    <row r="2076" ht="25.5" customHeight="1" spans="1:20">
      <c r="A2076" t="s">
        <v>3047</v>
      </c>
      <c r="B2076" t="s">
        <v>65</v>
      </c>
      <c r="C2076" t="s">
        <v>4431</v>
      </c>
      <c r="D2076" s="3"/>
      <c r="E2076" s="2">
        <v>45680</v>
      </c>
      <c r="F2076">
        <v>1988</v>
      </c>
      <c r="G2076">
        <v>2035</v>
      </c>
      <c r="H2076">
        <v>182</v>
      </c>
      <c r="I2076">
        <v>88</v>
      </c>
      <c r="J2076">
        <v>4</v>
      </c>
      <c r="K2076">
        <v>8</v>
      </c>
      <c r="L2076" t="s">
        <v>3831</v>
      </c>
      <c r="M2076" t="s">
        <v>4432</v>
      </c>
      <c r="N2076" t="s">
        <v>1630</v>
      </c>
      <c r="O2076" s="4">
        <v>45695.4260532407</v>
      </c>
      <c r="P2076" t="s">
        <v>116</v>
      </c>
      <c r="Q2076" t="s">
        <v>97</v>
      </c>
      <c r="R2076" t="s">
        <v>3555</v>
      </c>
      <c r="T2076" t="s">
        <v>116</v>
      </c>
    </row>
    <row r="2077" ht="25.5" customHeight="1" spans="1:20">
      <c r="A2077" t="s">
        <v>3047</v>
      </c>
      <c r="B2077" t="s">
        <v>65</v>
      </c>
      <c r="C2077" t="s">
        <v>4431</v>
      </c>
      <c r="D2077" s="3"/>
      <c r="E2077" s="2">
        <v>45681</v>
      </c>
      <c r="F2077">
        <v>1994</v>
      </c>
      <c r="G2077">
        <v>2043</v>
      </c>
      <c r="H2077">
        <v>182</v>
      </c>
      <c r="I2077">
        <v>88</v>
      </c>
      <c r="J2077">
        <v>4</v>
      </c>
      <c r="K2077">
        <v>8</v>
      </c>
      <c r="L2077" t="s">
        <v>3831</v>
      </c>
      <c r="M2077" t="s">
        <v>4432</v>
      </c>
      <c r="N2077" t="s">
        <v>1630</v>
      </c>
      <c r="O2077" s="4">
        <v>45695.4260648148</v>
      </c>
      <c r="P2077" t="s">
        <v>116</v>
      </c>
      <c r="Q2077" t="s">
        <v>97</v>
      </c>
      <c r="R2077" t="s">
        <v>3555</v>
      </c>
      <c r="T2077" t="s">
        <v>116</v>
      </c>
    </row>
    <row r="2078" ht="25.5" customHeight="1" spans="1:20">
      <c r="A2078" t="s">
        <v>3047</v>
      </c>
      <c r="B2078" t="s">
        <v>65</v>
      </c>
      <c r="C2078" t="s">
        <v>4431</v>
      </c>
      <c r="D2078" s="3"/>
      <c r="E2078" s="2">
        <v>45683</v>
      </c>
      <c r="F2078">
        <v>2013</v>
      </c>
      <c r="G2078">
        <v>2050</v>
      </c>
      <c r="H2078">
        <v>182</v>
      </c>
      <c r="I2078">
        <v>88</v>
      </c>
      <c r="J2078">
        <v>4</v>
      </c>
      <c r="K2078">
        <v>8</v>
      </c>
      <c r="L2078" t="s">
        <v>3831</v>
      </c>
      <c r="M2078" t="s">
        <v>4432</v>
      </c>
      <c r="N2078" t="s">
        <v>1630</v>
      </c>
      <c r="O2078" s="4">
        <v>45695.4260648148</v>
      </c>
      <c r="P2078" t="s">
        <v>116</v>
      </c>
      <c r="Q2078" t="s">
        <v>97</v>
      </c>
      <c r="R2078" t="s">
        <v>3555</v>
      </c>
      <c r="T2078" t="s">
        <v>116</v>
      </c>
    </row>
    <row r="2079" ht="25.5" customHeight="1" spans="1:20">
      <c r="A2079" t="s">
        <v>3047</v>
      </c>
      <c r="B2079" t="s">
        <v>65</v>
      </c>
      <c r="C2079" t="s">
        <v>4431</v>
      </c>
      <c r="D2079" s="3"/>
      <c r="E2079" s="2">
        <v>45684</v>
      </c>
      <c r="F2079">
        <v>2015</v>
      </c>
      <c r="G2079">
        <v>2053</v>
      </c>
      <c r="H2079">
        <v>182</v>
      </c>
      <c r="I2079">
        <v>88</v>
      </c>
      <c r="J2079">
        <v>4</v>
      </c>
      <c r="K2079">
        <v>8</v>
      </c>
      <c r="L2079" t="s">
        <v>3831</v>
      </c>
      <c r="M2079" t="s">
        <v>4432</v>
      </c>
      <c r="N2079" t="s">
        <v>1630</v>
      </c>
      <c r="O2079" s="4">
        <v>45695.4260763889</v>
      </c>
      <c r="P2079" t="s">
        <v>116</v>
      </c>
      <c r="Q2079" t="s">
        <v>97</v>
      </c>
      <c r="R2079" t="s">
        <v>3555</v>
      </c>
      <c r="T2079" t="s">
        <v>116</v>
      </c>
    </row>
    <row r="2080" ht="25.5" customHeight="1" spans="1:20">
      <c r="A2080" t="s">
        <v>3047</v>
      </c>
      <c r="B2080" t="s">
        <v>65</v>
      </c>
      <c r="C2080" t="s">
        <v>4431</v>
      </c>
      <c r="D2080" s="3"/>
      <c r="E2080" s="2">
        <v>45693</v>
      </c>
      <c r="F2080">
        <v>2049</v>
      </c>
      <c r="G2080">
        <v>2088</v>
      </c>
      <c r="H2080">
        <v>182</v>
      </c>
      <c r="I2080">
        <v>88</v>
      </c>
      <c r="J2080">
        <v>4</v>
      </c>
      <c r="K2080">
        <v>8</v>
      </c>
      <c r="L2080" t="s">
        <v>3831</v>
      </c>
      <c r="M2080" t="s">
        <v>4432</v>
      </c>
      <c r="N2080" t="s">
        <v>1630</v>
      </c>
      <c r="O2080" s="4">
        <v>45695.426087963</v>
      </c>
      <c r="P2080" t="s">
        <v>116</v>
      </c>
      <c r="Q2080" t="s">
        <v>97</v>
      </c>
      <c r="R2080" t="s">
        <v>3555</v>
      </c>
      <c r="T2080" t="s">
        <v>116</v>
      </c>
    </row>
    <row r="2081" ht="25.5" customHeight="1" spans="1:20">
      <c r="A2081" t="s">
        <v>3047</v>
      </c>
      <c r="B2081" t="s">
        <v>65</v>
      </c>
      <c r="C2081" t="s">
        <v>4431</v>
      </c>
      <c r="D2081" s="3"/>
      <c r="E2081" s="2">
        <v>45694</v>
      </c>
      <c r="F2081">
        <v>2048</v>
      </c>
      <c r="G2081">
        <v>2089</v>
      </c>
      <c r="H2081">
        <v>182</v>
      </c>
      <c r="I2081">
        <v>88</v>
      </c>
      <c r="J2081">
        <v>4</v>
      </c>
      <c r="K2081">
        <v>8</v>
      </c>
      <c r="L2081" t="s">
        <v>3831</v>
      </c>
      <c r="M2081" t="s">
        <v>4432</v>
      </c>
      <c r="N2081" t="s">
        <v>1630</v>
      </c>
      <c r="O2081" s="4">
        <v>45698.6216782407</v>
      </c>
      <c r="P2081" t="s">
        <v>116</v>
      </c>
      <c r="Q2081" t="s">
        <v>97</v>
      </c>
      <c r="R2081" t="s">
        <v>3555</v>
      </c>
      <c r="S2081" t="s">
        <v>3301</v>
      </c>
      <c r="T2081" t="s">
        <v>116</v>
      </c>
    </row>
    <row r="2082" ht="25.5" customHeight="1" spans="1:20">
      <c r="A2082" t="s">
        <v>3047</v>
      </c>
      <c r="B2082" t="s">
        <v>65</v>
      </c>
      <c r="C2082" t="s">
        <v>4431</v>
      </c>
      <c r="D2082" s="3"/>
      <c r="E2082" s="2">
        <v>45695</v>
      </c>
      <c r="F2082">
        <v>2060</v>
      </c>
      <c r="G2082">
        <v>2094</v>
      </c>
      <c r="L2082" t="s">
        <v>3138</v>
      </c>
      <c r="M2082" t="s">
        <v>4432</v>
      </c>
      <c r="N2082" t="s">
        <v>1630</v>
      </c>
      <c r="O2082" s="4">
        <v>45695.5010300926</v>
      </c>
      <c r="P2082" t="s">
        <v>116</v>
      </c>
      <c r="Q2082" t="s">
        <v>97</v>
      </c>
      <c r="R2082" t="s">
        <v>3133</v>
      </c>
      <c r="T2082" t="s">
        <v>116</v>
      </c>
    </row>
    <row r="2083" ht="25.5" customHeight="1" spans="1:20">
      <c r="A2083" t="s">
        <v>3040</v>
      </c>
      <c r="B2083" t="s">
        <v>56</v>
      </c>
      <c r="C2083" t="s">
        <v>4433</v>
      </c>
      <c r="D2083" s="3"/>
      <c r="E2083" s="2">
        <v>45664</v>
      </c>
      <c r="F2083">
        <v>12700</v>
      </c>
      <c r="G2083">
        <v>3639</v>
      </c>
      <c r="H2083">
        <v>14</v>
      </c>
      <c r="I2083">
        <v>8</v>
      </c>
      <c r="J2083">
        <v>8</v>
      </c>
      <c r="K2083">
        <v>16</v>
      </c>
      <c r="L2083" t="s">
        <v>3331</v>
      </c>
      <c r="M2083" t="s">
        <v>4432</v>
      </c>
      <c r="N2083" t="s">
        <v>1630</v>
      </c>
      <c r="O2083" s="4">
        <v>45670.755775463</v>
      </c>
      <c r="P2083" t="s">
        <v>57</v>
      </c>
      <c r="Q2083" t="s">
        <v>97</v>
      </c>
      <c r="R2083" t="s">
        <v>3175</v>
      </c>
      <c r="T2083" t="s">
        <v>57</v>
      </c>
    </row>
    <row r="2084" ht="25.5" customHeight="1" spans="1:20">
      <c r="A2084" t="s">
        <v>3040</v>
      </c>
      <c r="B2084" t="s">
        <v>56</v>
      </c>
      <c r="C2084" t="s">
        <v>4433</v>
      </c>
      <c r="D2084" s="3"/>
      <c r="E2084" s="2">
        <v>45665</v>
      </c>
      <c r="F2084">
        <v>12700</v>
      </c>
      <c r="G2084">
        <v>5114</v>
      </c>
      <c r="H2084">
        <v>14</v>
      </c>
      <c r="I2084">
        <v>10</v>
      </c>
      <c r="J2084">
        <v>8</v>
      </c>
      <c r="K2084">
        <v>16</v>
      </c>
      <c r="L2084" t="s">
        <v>3331</v>
      </c>
      <c r="M2084" t="s">
        <v>4432</v>
      </c>
      <c r="N2084" t="s">
        <v>1630</v>
      </c>
      <c r="O2084" s="4">
        <v>45672.5030092593</v>
      </c>
      <c r="P2084" t="s">
        <v>57</v>
      </c>
      <c r="Q2084" t="s">
        <v>97</v>
      </c>
      <c r="R2084" t="s">
        <v>3174</v>
      </c>
      <c r="T2084" t="s">
        <v>57</v>
      </c>
    </row>
    <row r="2085" ht="25.5" customHeight="1" spans="1:20">
      <c r="A2085" t="s">
        <v>3040</v>
      </c>
      <c r="B2085" t="s">
        <v>56</v>
      </c>
      <c r="C2085" t="s">
        <v>4433</v>
      </c>
      <c r="D2085" s="3"/>
      <c r="E2085" s="2">
        <v>45670</v>
      </c>
      <c r="F2085">
        <v>12700</v>
      </c>
      <c r="G2085">
        <v>13300</v>
      </c>
      <c r="H2085">
        <v>22</v>
      </c>
      <c r="I2085">
        <v>10</v>
      </c>
      <c r="J2085">
        <v>9</v>
      </c>
      <c r="K2085">
        <v>23</v>
      </c>
      <c r="L2085" t="s">
        <v>3138</v>
      </c>
      <c r="M2085" t="s">
        <v>4432</v>
      </c>
      <c r="N2085" t="s">
        <v>1630</v>
      </c>
      <c r="O2085" s="4">
        <v>45672.5030092593</v>
      </c>
      <c r="P2085" t="s">
        <v>57</v>
      </c>
      <c r="Q2085" t="s">
        <v>97</v>
      </c>
      <c r="R2085" t="s">
        <v>3791</v>
      </c>
      <c r="T2085" t="s">
        <v>57</v>
      </c>
    </row>
    <row r="2086" ht="25.5" customHeight="1" spans="1:20">
      <c r="A2086" t="s">
        <v>3040</v>
      </c>
      <c r="B2086" t="s">
        <v>56</v>
      </c>
      <c r="C2086" t="s">
        <v>4433</v>
      </c>
      <c r="D2086" s="3"/>
      <c r="E2086" s="2">
        <v>45671</v>
      </c>
      <c r="F2086">
        <v>12700</v>
      </c>
      <c r="G2086">
        <v>13400</v>
      </c>
      <c r="H2086">
        <v>23</v>
      </c>
      <c r="I2086">
        <v>10</v>
      </c>
      <c r="J2086">
        <v>9</v>
      </c>
      <c r="K2086">
        <v>23</v>
      </c>
      <c r="L2086" t="s">
        <v>3138</v>
      </c>
      <c r="M2086" t="s">
        <v>4432</v>
      </c>
      <c r="N2086" t="s">
        <v>1630</v>
      </c>
      <c r="O2086" s="4">
        <v>45672.5030092593</v>
      </c>
      <c r="P2086" t="s">
        <v>57</v>
      </c>
      <c r="Q2086" t="s">
        <v>97</v>
      </c>
      <c r="R2086" t="s">
        <v>3775</v>
      </c>
      <c r="T2086" t="s">
        <v>57</v>
      </c>
    </row>
    <row r="2087" ht="25.5" customHeight="1" spans="1:20">
      <c r="A2087" t="s">
        <v>3040</v>
      </c>
      <c r="B2087" t="s">
        <v>56</v>
      </c>
      <c r="C2087" t="s">
        <v>4433</v>
      </c>
      <c r="D2087" s="3"/>
      <c r="E2087" s="2">
        <v>45672</v>
      </c>
      <c r="F2087">
        <v>12700</v>
      </c>
      <c r="G2087">
        <v>13400</v>
      </c>
      <c r="H2087">
        <v>24</v>
      </c>
      <c r="I2087">
        <v>10</v>
      </c>
      <c r="J2087">
        <v>9</v>
      </c>
      <c r="K2087">
        <v>23</v>
      </c>
      <c r="L2087" t="s">
        <v>3138</v>
      </c>
      <c r="M2087" t="s">
        <v>4432</v>
      </c>
      <c r="N2087" t="s">
        <v>1630</v>
      </c>
      <c r="O2087" s="4">
        <v>45672.5327314815</v>
      </c>
      <c r="P2087" t="s">
        <v>57</v>
      </c>
      <c r="Q2087" t="s">
        <v>97</v>
      </c>
      <c r="R2087" t="s">
        <v>3792</v>
      </c>
      <c r="T2087" t="s">
        <v>57</v>
      </c>
    </row>
    <row r="2088" ht="25.5" customHeight="1" spans="1:20">
      <c r="A2088" t="s">
        <v>3040</v>
      </c>
      <c r="B2088" t="s">
        <v>56</v>
      </c>
      <c r="C2088" t="s">
        <v>4433</v>
      </c>
      <c r="D2088" s="3"/>
      <c r="E2088" s="2">
        <v>45673</v>
      </c>
      <c r="F2088">
        <v>12700</v>
      </c>
      <c r="G2088">
        <v>13400</v>
      </c>
      <c r="H2088">
        <v>25</v>
      </c>
      <c r="I2088">
        <v>10</v>
      </c>
      <c r="J2088">
        <v>9</v>
      </c>
      <c r="K2088">
        <v>23</v>
      </c>
      <c r="L2088" t="s">
        <v>3138</v>
      </c>
      <c r="M2088" t="s">
        <v>4432</v>
      </c>
      <c r="N2088" t="s">
        <v>1630</v>
      </c>
      <c r="O2088" s="4">
        <v>45673.6237268519</v>
      </c>
      <c r="P2088" t="s">
        <v>57</v>
      </c>
      <c r="Q2088" t="s">
        <v>97</v>
      </c>
      <c r="R2088" t="s">
        <v>3398</v>
      </c>
      <c r="T2088" t="s">
        <v>57</v>
      </c>
    </row>
    <row r="2089" ht="25.5" customHeight="1" spans="1:20">
      <c r="A2089" t="s">
        <v>3040</v>
      </c>
      <c r="B2089" t="s">
        <v>56</v>
      </c>
      <c r="C2089" t="s">
        <v>4433</v>
      </c>
      <c r="D2089" s="3"/>
      <c r="E2089" s="2">
        <v>45674</v>
      </c>
      <c r="F2089">
        <v>12700</v>
      </c>
      <c r="G2089">
        <v>13400</v>
      </c>
      <c r="H2089">
        <v>25</v>
      </c>
      <c r="I2089">
        <v>10</v>
      </c>
      <c r="J2089">
        <v>9</v>
      </c>
      <c r="K2089">
        <v>23</v>
      </c>
      <c r="L2089" t="s">
        <v>3138</v>
      </c>
      <c r="M2089" t="s">
        <v>4432</v>
      </c>
      <c r="N2089" t="s">
        <v>1630</v>
      </c>
      <c r="O2089" s="4">
        <v>45674.6790277778</v>
      </c>
      <c r="P2089" t="s">
        <v>57</v>
      </c>
      <c r="Q2089" t="s">
        <v>97</v>
      </c>
      <c r="R2089" t="s">
        <v>3398</v>
      </c>
      <c r="T2089" t="s">
        <v>57</v>
      </c>
    </row>
    <row r="2090" ht="25.5" customHeight="1" spans="1:20">
      <c r="A2090" t="s">
        <v>3040</v>
      </c>
      <c r="B2090" t="s">
        <v>56</v>
      </c>
      <c r="C2090" t="s">
        <v>4433</v>
      </c>
      <c r="D2090" s="3"/>
      <c r="E2090" s="2">
        <v>45677</v>
      </c>
      <c r="F2090">
        <v>12700</v>
      </c>
      <c r="G2090">
        <v>13400</v>
      </c>
      <c r="H2090">
        <v>25</v>
      </c>
      <c r="I2090">
        <v>10</v>
      </c>
      <c r="J2090">
        <v>9</v>
      </c>
      <c r="K2090">
        <v>23</v>
      </c>
      <c r="L2090" t="s">
        <v>3138</v>
      </c>
      <c r="M2090" t="s">
        <v>4432</v>
      </c>
      <c r="N2090" t="s">
        <v>1630</v>
      </c>
      <c r="O2090" s="4">
        <v>45677.4383912037</v>
      </c>
      <c r="P2090" t="s">
        <v>57</v>
      </c>
      <c r="Q2090" t="s">
        <v>97</v>
      </c>
      <c r="R2090" t="s">
        <v>3398</v>
      </c>
      <c r="T2090" t="s">
        <v>57</v>
      </c>
    </row>
    <row r="2091" ht="25.5" customHeight="1" spans="1:20">
      <c r="A2091" t="s">
        <v>3040</v>
      </c>
      <c r="B2091" t="s">
        <v>56</v>
      </c>
      <c r="C2091" t="s">
        <v>4433</v>
      </c>
      <c r="D2091" s="3"/>
      <c r="E2091" s="2">
        <v>45678</v>
      </c>
      <c r="F2091">
        <v>12700</v>
      </c>
      <c r="G2091">
        <v>13400</v>
      </c>
      <c r="H2091">
        <v>25</v>
      </c>
      <c r="I2091">
        <v>10</v>
      </c>
      <c r="J2091">
        <v>9</v>
      </c>
      <c r="K2091">
        <v>23</v>
      </c>
      <c r="L2091" t="s">
        <v>3138</v>
      </c>
      <c r="M2091" t="s">
        <v>4432</v>
      </c>
      <c r="N2091" t="s">
        <v>1630</v>
      </c>
      <c r="O2091" s="4">
        <v>45678.6605671296</v>
      </c>
      <c r="P2091" t="s">
        <v>57</v>
      </c>
      <c r="Q2091" t="s">
        <v>97</v>
      </c>
      <c r="R2091" t="s">
        <v>3398</v>
      </c>
      <c r="T2091" t="s">
        <v>57</v>
      </c>
    </row>
    <row r="2092" ht="25.5" customHeight="1" spans="1:20">
      <c r="A2092" t="s">
        <v>3040</v>
      </c>
      <c r="B2092" t="s">
        <v>56</v>
      </c>
      <c r="C2092" t="s">
        <v>4433</v>
      </c>
      <c r="D2092" s="3"/>
      <c r="E2092" s="2">
        <v>45679</v>
      </c>
      <c r="F2092">
        <v>12700</v>
      </c>
      <c r="G2092">
        <v>13400</v>
      </c>
      <c r="H2092">
        <v>25</v>
      </c>
      <c r="I2092">
        <v>10</v>
      </c>
      <c r="J2092">
        <v>9</v>
      </c>
      <c r="K2092">
        <v>23</v>
      </c>
      <c r="L2092" t="s">
        <v>3138</v>
      </c>
      <c r="M2092" t="s">
        <v>4432</v>
      </c>
      <c r="N2092" t="s">
        <v>1630</v>
      </c>
      <c r="O2092" s="4">
        <v>45679.6996296296</v>
      </c>
      <c r="P2092" t="s">
        <v>57</v>
      </c>
      <c r="Q2092" t="s">
        <v>97</v>
      </c>
      <c r="R2092" t="s">
        <v>3398</v>
      </c>
      <c r="T2092" t="s">
        <v>57</v>
      </c>
    </row>
    <row r="2093" ht="25.5" customHeight="1" spans="1:20">
      <c r="A2093" t="s">
        <v>3040</v>
      </c>
      <c r="B2093" t="s">
        <v>56</v>
      </c>
      <c r="C2093" t="s">
        <v>4433</v>
      </c>
      <c r="D2093" s="3"/>
      <c r="E2093" s="2">
        <v>45680</v>
      </c>
      <c r="F2093">
        <v>12700</v>
      </c>
      <c r="G2093">
        <v>14200</v>
      </c>
      <c r="H2093">
        <v>26</v>
      </c>
      <c r="I2093">
        <v>10</v>
      </c>
      <c r="J2093">
        <v>9</v>
      </c>
      <c r="K2093">
        <v>23</v>
      </c>
      <c r="L2093" t="s">
        <v>3138</v>
      </c>
      <c r="M2093" t="s">
        <v>4432</v>
      </c>
      <c r="N2093" t="s">
        <v>1630</v>
      </c>
      <c r="O2093" s="4">
        <v>45680.6621064815</v>
      </c>
      <c r="P2093" t="s">
        <v>57</v>
      </c>
      <c r="Q2093" t="s">
        <v>97</v>
      </c>
      <c r="R2093" t="s">
        <v>3558</v>
      </c>
      <c r="T2093" t="s">
        <v>57</v>
      </c>
    </row>
    <row r="2094" ht="25.5" customHeight="1" spans="1:20">
      <c r="A2094" t="s">
        <v>3040</v>
      </c>
      <c r="B2094" t="s">
        <v>56</v>
      </c>
      <c r="C2094" t="s">
        <v>4433</v>
      </c>
      <c r="D2094" s="3"/>
      <c r="E2094" s="2">
        <v>45681</v>
      </c>
      <c r="F2094">
        <v>12700</v>
      </c>
      <c r="G2094">
        <v>15100</v>
      </c>
      <c r="H2094">
        <v>26</v>
      </c>
      <c r="I2094">
        <v>10</v>
      </c>
      <c r="J2094">
        <v>9</v>
      </c>
      <c r="K2094">
        <v>23</v>
      </c>
      <c r="L2094" t="s">
        <v>3138</v>
      </c>
      <c r="M2094" t="s">
        <v>4432</v>
      </c>
      <c r="N2094" t="s">
        <v>1630</v>
      </c>
      <c r="O2094" s="4">
        <v>45681.6488888889</v>
      </c>
      <c r="P2094" t="s">
        <v>57</v>
      </c>
      <c r="Q2094" t="s">
        <v>97</v>
      </c>
      <c r="R2094" t="s">
        <v>3558</v>
      </c>
      <c r="T2094" t="s">
        <v>57</v>
      </c>
    </row>
    <row r="2095" ht="25.5" customHeight="1" spans="1:20">
      <c r="A2095" t="s">
        <v>3040</v>
      </c>
      <c r="B2095" t="s">
        <v>56</v>
      </c>
      <c r="C2095" t="s">
        <v>4433</v>
      </c>
      <c r="D2095" s="3"/>
      <c r="E2095" s="2">
        <v>45683</v>
      </c>
      <c r="F2095">
        <v>12700</v>
      </c>
      <c r="G2095">
        <v>16100</v>
      </c>
      <c r="H2095">
        <v>26</v>
      </c>
      <c r="I2095">
        <v>10</v>
      </c>
      <c r="J2095">
        <v>9</v>
      </c>
      <c r="K2095">
        <v>23</v>
      </c>
      <c r="L2095" t="s">
        <v>3138</v>
      </c>
      <c r="M2095" t="s">
        <v>4432</v>
      </c>
      <c r="N2095" t="s">
        <v>1630</v>
      </c>
      <c r="O2095" s="4">
        <v>45683.7886226852</v>
      </c>
      <c r="P2095" t="s">
        <v>57</v>
      </c>
      <c r="Q2095" t="s">
        <v>97</v>
      </c>
      <c r="R2095" t="s">
        <v>3558</v>
      </c>
      <c r="T2095" t="s">
        <v>57</v>
      </c>
    </row>
    <row r="2096" ht="25.5" customHeight="1" spans="1:20">
      <c r="A2096" t="s">
        <v>3040</v>
      </c>
      <c r="B2096" t="s">
        <v>56</v>
      </c>
      <c r="C2096" t="s">
        <v>4433</v>
      </c>
      <c r="D2096" s="3"/>
      <c r="E2096" s="2">
        <v>45684</v>
      </c>
      <c r="F2096">
        <v>12700</v>
      </c>
      <c r="G2096">
        <v>16100</v>
      </c>
      <c r="H2096">
        <v>27</v>
      </c>
      <c r="I2096">
        <v>10</v>
      </c>
      <c r="J2096">
        <v>9</v>
      </c>
      <c r="K2096">
        <v>23</v>
      </c>
      <c r="L2096" t="s">
        <v>3138</v>
      </c>
      <c r="M2096" t="s">
        <v>4432</v>
      </c>
      <c r="N2096" t="s">
        <v>1630</v>
      </c>
      <c r="O2096" s="4">
        <v>45684.8664467593</v>
      </c>
      <c r="P2096" t="s">
        <v>57</v>
      </c>
      <c r="Q2096" t="s">
        <v>97</v>
      </c>
      <c r="R2096" t="s">
        <v>3795</v>
      </c>
      <c r="T2096" t="s">
        <v>57</v>
      </c>
    </row>
    <row r="2097" ht="25.5" customHeight="1" spans="1:20">
      <c r="A2097" t="s">
        <v>3040</v>
      </c>
      <c r="B2097" t="s">
        <v>56</v>
      </c>
      <c r="C2097" t="s">
        <v>4433</v>
      </c>
      <c r="D2097" s="3"/>
      <c r="E2097" s="2">
        <v>45693</v>
      </c>
      <c r="F2097">
        <v>12700</v>
      </c>
      <c r="G2097">
        <v>16100</v>
      </c>
      <c r="H2097">
        <v>27</v>
      </c>
      <c r="I2097">
        <v>10</v>
      </c>
      <c r="J2097">
        <v>9</v>
      </c>
      <c r="K2097">
        <v>23</v>
      </c>
      <c r="L2097" t="s">
        <v>3138</v>
      </c>
      <c r="M2097" t="s">
        <v>4432</v>
      </c>
      <c r="N2097" t="s">
        <v>1630</v>
      </c>
      <c r="O2097" s="4">
        <v>45693.8303587963</v>
      </c>
      <c r="P2097" t="s">
        <v>57</v>
      </c>
      <c r="Q2097" t="s">
        <v>97</v>
      </c>
      <c r="R2097" t="s">
        <v>3795</v>
      </c>
      <c r="T2097" t="s">
        <v>57</v>
      </c>
    </row>
    <row r="2098" ht="25.5" customHeight="1" spans="1:20">
      <c r="A2098" t="s">
        <v>3040</v>
      </c>
      <c r="B2098" t="s">
        <v>56</v>
      </c>
      <c r="C2098" t="s">
        <v>4433</v>
      </c>
      <c r="D2098" s="3"/>
      <c r="E2098" s="2">
        <v>45694</v>
      </c>
      <c r="F2098">
        <v>12700</v>
      </c>
      <c r="G2098">
        <v>16100</v>
      </c>
      <c r="H2098">
        <v>27</v>
      </c>
      <c r="I2098">
        <v>10</v>
      </c>
      <c r="J2098">
        <v>9</v>
      </c>
      <c r="K2098">
        <v>23</v>
      </c>
      <c r="L2098" t="s">
        <v>3138</v>
      </c>
      <c r="M2098" t="s">
        <v>4432</v>
      </c>
      <c r="N2098" t="s">
        <v>1630</v>
      </c>
      <c r="O2098" s="4">
        <v>45698.6216782407</v>
      </c>
      <c r="P2098" t="s">
        <v>57</v>
      </c>
      <c r="Q2098" t="s">
        <v>97</v>
      </c>
      <c r="R2098" t="s">
        <v>3795</v>
      </c>
      <c r="S2098" t="s">
        <v>3180</v>
      </c>
      <c r="T2098" t="s">
        <v>57</v>
      </c>
    </row>
    <row r="2099" ht="25.5" customHeight="1" spans="1:20">
      <c r="A2099" t="s">
        <v>3048</v>
      </c>
      <c r="B2099" t="s">
        <v>65</v>
      </c>
      <c r="C2099" t="s">
        <v>4434</v>
      </c>
      <c r="D2099" s="3" t="str">
        <f>HYPERLINK("https://www.instagram.com/cozywith_m/","https://www.instagram.com/cozywith_m/")</f>
        <v>https://www.instagram.com/cozywith_m/</v>
      </c>
      <c r="E2099" s="2">
        <v>45668</v>
      </c>
      <c r="F2099">
        <v>1962</v>
      </c>
      <c r="L2099" t="s">
        <v>3138</v>
      </c>
      <c r="M2099" t="s">
        <v>4432</v>
      </c>
      <c r="N2099" t="s">
        <v>1630</v>
      </c>
      <c r="O2099" s="4">
        <v>45694.7190509259</v>
      </c>
      <c r="P2099" t="s">
        <v>66</v>
      </c>
      <c r="Q2099" t="s">
        <v>97</v>
      </c>
      <c r="R2099" t="s">
        <v>3133</v>
      </c>
      <c r="T2099" t="s">
        <v>66</v>
      </c>
    </row>
    <row r="2100" ht="25.5" customHeight="1" spans="1:20">
      <c r="A2100" t="s">
        <v>3048</v>
      </c>
      <c r="B2100" t="s">
        <v>65</v>
      </c>
      <c r="C2100" t="s">
        <v>4434</v>
      </c>
      <c r="D2100" s="3"/>
      <c r="E2100" s="2">
        <v>45671</v>
      </c>
      <c r="F2100">
        <v>1964</v>
      </c>
      <c r="L2100" t="s">
        <v>3138</v>
      </c>
      <c r="M2100" t="s">
        <v>4432</v>
      </c>
      <c r="N2100" t="s">
        <v>1630</v>
      </c>
      <c r="O2100" s="4">
        <v>45672.5030092593</v>
      </c>
      <c r="P2100" t="s">
        <v>66</v>
      </c>
      <c r="Q2100" t="s">
        <v>97</v>
      </c>
      <c r="R2100" t="s">
        <v>3133</v>
      </c>
      <c r="T2100" t="s">
        <v>66</v>
      </c>
    </row>
    <row r="2101" ht="25.5" customHeight="1" spans="1:20">
      <c r="A2101" t="s">
        <v>3048</v>
      </c>
      <c r="B2101" t="s">
        <v>65</v>
      </c>
      <c r="C2101" t="s">
        <v>4434</v>
      </c>
      <c r="D2101" s="3"/>
      <c r="E2101" s="2">
        <v>45672</v>
      </c>
      <c r="F2101">
        <v>1964</v>
      </c>
      <c r="G2101">
        <v>572</v>
      </c>
      <c r="H2101">
        <v>164</v>
      </c>
      <c r="I2101">
        <v>74</v>
      </c>
      <c r="J2101">
        <v>10</v>
      </c>
      <c r="K2101">
        <v>2</v>
      </c>
      <c r="L2101" t="s">
        <v>3612</v>
      </c>
      <c r="M2101" t="s">
        <v>4432</v>
      </c>
      <c r="N2101" t="s">
        <v>1630</v>
      </c>
      <c r="O2101" s="4">
        <v>45695.4801967593</v>
      </c>
      <c r="P2101" t="s">
        <v>66</v>
      </c>
      <c r="Q2101" t="s">
        <v>97</v>
      </c>
      <c r="R2101" t="s">
        <v>3550</v>
      </c>
      <c r="T2101" t="s">
        <v>66</v>
      </c>
    </row>
    <row r="2102" ht="25.5" customHeight="1" spans="1:20">
      <c r="A2102" t="s">
        <v>3048</v>
      </c>
      <c r="B2102" t="s">
        <v>65</v>
      </c>
      <c r="C2102" t="s">
        <v>4434</v>
      </c>
      <c r="D2102" s="3"/>
      <c r="E2102" s="2">
        <v>45673</v>
      </c>
      <c r="F2102">
        <v>1972</v>
      </c>
      <c r="G2102">
        <v>572</v>
      </c>
      <c r="H2102">
        <v>164</v>
      </c>
      <c r="I2102">
        <v>74</v>
      </c>
      <c r="J2102">
        <v>10</v>
      </c>
      <c r="K2102">
        <v>2</v>
      </c>
      <c r="L2102" t="s">
        <v>3612</v>
      </c>
      <c r="M2102" t="s">
        <v>4432</v>
      </c>
      <c r="N2102" t="s">
        <v>1630</v>
      </c>
      <c r="O2102" s="4">
        <v>45695.4802314815</v>
      </c>
      <c r="P2102" t="s">
        <v>66</v>
      </c>
      <c r="Q2102" t="s">
        <v>97</v>
      </c>
      <c r="R2102" t="s">
        <v>3550</v>
      </c>
      <c r="T2102" t="s">
        <v>66</v>
      </c>
    </row>
    <row r="2103" ht="25.5" customHeight="1" spans="1:20">
      <c r="A2103" t="s">
        <v>3048</v>
      </c>
      <c r="B2103" t="s">
        <v>65</v>
      </c>
      <c r="C2103" t="s">
        <v>4434</v>
      </c>
      <c r="D2103" s="3"/>
      <c r="E2103" s="2">
        <v>45674</v>
      </c>
      <c r="F2103">
        <v>1981</v>
      </c>
      <c r="G2103">
        <v>572</v>
      </c>
      <c r="H2103">
        <v>164</v>
      </c>
      <c r="I2103">
        <v>74</v>
      </c>
      <c r="J2103">
        <v>10</v>
      </c>
      <c r="K2103">
        <v>2</v>
      </c>
      <c r="L2103" t="s">
        <v>3612</v>
      </c>
      <c r="M2103" t="s">
        <v>4432</v>
      </c>
      <c r="N2103" t="s">
        <v>1630</v>
      </c>
      <c r="O2103" s="4">
        <v>45695.4802662037</v>
      </c>
      <c r="P2103" t="s">
        <v>66</v>
      </c>
      <c r="Q2103" t="s">
        <v>97</v>
      </c>
      <c r="R2103" t="s">
        <v>3550</v>
      </c>
      <c r="T2103" t="s">
        <v>66</v>
      </c>
    </row>
    <row r="2104" ht="25.5" customHeight="1" spans="1:20">
      <c r="A2104" t="s">
        <v>3048</v>
      </c>
      <c r="B2104" t="s">
        <v>65</v>
      </c>
      <c r="C2104" t="s">
        <v>4434</v>
      </c>
      <c r="D2104" s="3"/>
      <c r="E2104" s="2">
        <v>45677</v>
      </c>
      <c r="F2104">
        <v>1983</v>
      </c>
      <c r="G2104">
        <v>572</v>
      </c>
      <c r="H2104">
        <v>164</v>
      </c>
      <c r="I2104">
        <v>74</v>
      </c>
      <c r="J2104">
        <v>10</v>
      </c>
      <c r="K2104">
        <v>2</v>
      </c>
      <c r="L2104" t="s">
        <v>3612</v>
      </c>
      <c r="M2104" t="s">
        <v>4432</v>
      </c>
      <c r="N2104" t="s">
        <v>1630</v>
      </c>
      <c r="O2104" s="4">
        <v>45695.4802777778</v>
      </c>
      <c r="P2104" t="s">
        <v>66</v>
      </c>
      <c r="Q2104" t="s">
        <v>97</v>
      </c>
      <c r="R2104" t="s">
        <v>3550</v>
      </c>
      <c r="T2104" t="s">
        <v>66</v>
      </c>
    </row>
    <row r="2105" ht="25.5" customHeight="1" spans="1:20">
      <c r="A2105" t="s">
        <v>3048</v>
      </c>
      <c r="B2105" t="s">
        <v>65</v>
      </c>
      <c r="C2105" t="s">
        <v>4434</v>
      </c>
      <c r="D2105" s="3"/>
      <c r="E2105" s="2">
        <v>45678</v>
      </c>
      <c r="F2105">
        <v>1994</v>
      </c>
      <c r="G2105">
        <v>572</v>
      </c>
      <c r="H2105">
        <v>164</v>
      </c>
      <c r="I2105">
        <v>74</v>
      </c>
      <c r="J2105">
        <v>10</v>
      </c>
      <c r="K2105">
        <v>2</v>
      </c>
      <c r="L2105" t="s">
        <v>3612</v>
      </c>
      <c r="M2105" t="s">
        <v>4432</v>
      </c>
      <c r="N2105" t="s">
        <v>1630</v>
      </c>
      <c r="O2105" s="4">
        <v>45695.4802893518</v>
      </c>
      <c r="P2105" t="s">
        <v>66</v>
      </c>
      <c r="Q2105" t="s">
        <v>97</v>
      </c>
      <c r="R2105" t="s">
        <v>3550</v>
      </c>
      <c r="T2105" t="s">
        <v>66</v>
      </c>
    </row>
    <row r="2106" ht="25.5" customHeight="1" spans="1:20">
      <c r="A2106" t="s">
        <v>3048</v>
      </c>
      <c r="B2106" t="s">
        <v>65</v>
      </c>
      <c r="C2106" t="s">
        <v>4434</v>
      </c>
      <c r="D2106" s="3"/>
      <c r="E2106" s="2">
        <v>45679</v>
      </c>
      <c r="F2106">
        <v>1986</v>
      </c>
      <c r="G2106">
        <v>572</v>
      </c>
      <c r="H2106">
        <v>164</v>
      </c>
      <c r="I2106">
        <v>74</v>
      </c>
      <c r="J2106">
        <v>10</v>
      </c>
      <c r="K2106">
        <v>2</v>
      </c>
      <c r="L2106" t="s">
        <v>3612</v>
      </c>
      <c r="M2106" t="s">
        <v>4432</v>
      </c>
      <c r="N2106" t="s">
        <v>1630</v>
      </c>
      <c r="O2106" s="4">
        <v>45695.4803009259</v>
      </c>
      <c r="P2106" t="s">
        <v>66</v>
      </c>
      <c r="Q2106" t="s">
        <v>97</v>
      </c>
      <c r="R2106" t="s">
        <v>3550</v>
      </c>
      <c r="T2106" t="s">
        <v>66</v>
      </c>
    </row>
    <row r="2107" ht="25.5" customHeight="1" spans="1:20">
      <c r="A2107" t="s">
        <v>3048</v>
      </c>
      <c r="B2107" t="s">
        <v>65</v>
      </c>
      <c r="C2107" t="s">
        <v>4434</v>
      </c>
      <c r="D2107" s="3"/>
      <c r="E2107" s="2">
        <v>45680</v>
      </c>
      <c r="F2107">
        <v>1988</v>
      </c>
      <c r="G2107">
        <v>572</v>
      </c>
      <c r="H2107">
        <v>164</v>
      </c>
      <c r="I2107">
        <v>74</v>
      </c>
      <c r="J2107">
        <v>10</v>
      </c>
      <c r="K2107">
        <v>2</v>
      </c>
      <c r="L2107" t="s">
        <v>3612</v>
      </c>
      <c r="M2107" t="s">
        <v>4432</v>
      </c>
      <c r="N2107" t="s">
        <v>1630</v>
      </c>
      <c r="O2107" s="4">
        <v>45695.4803009259</v>
      </c>
      <c r="P2107" t="s">
        <v>66</v>
      </c>
      <c r="Q2107" t="s">
        <v>97</v>
      </c>
      <c r="R2107" t="s">
        <v>3550</v>
      </c>
      <c r="T2107" t="s">
        <v>66</v>
      </c>
    </row>
    <row r="2108" ht="25.5" customHeight="1" spans="1:20">
      <c r="A2108" t="s">
        <v>3048</v>
      </c>
      <c r="B2108" t="s">
        <v>65</v>
      </c>
      <c r="C2108" t="s">
        <v>4434</v>
      </c>
      <c r="D2108" s="3"/>
      <c r="E2108" s="2">
        <v>45681</v>
      </c>
      <c r="F2108">
        <v>1994</v>
      </c>
      <c r="G2108">
        <v>572</v>
      </c>
      <c r="H2108">
        <v>164</v>
      </c>
      <c r="I2108">
        <v>74</v>
      </c>
      <c r="J2108">
        <v>10</v>
      </c>
      <c r="K2108">
        <v>2</v>
      </c>
      <c r="L2108" t="s">
        <v>3612</v>
      </c>
      <c r="M2108" t="s">
        <v>4432</v>
      </c>
      <c r="N2108" t="s">
        <v>1630</v>
      </c>
      <c r="O2108" s="4">
        <v>45695.4803240741</v>
      </c>
      <c r="P2108" t="s">
        <v>66</v>
      </c>
      <c r="Q2108" t="s">
        <v>97</v>
      </c>
      <c r="R2108" t="s">
        <v>3550</v>
      </c>
      <c r="T2108" t="s">
        <v>66</v>
      </c>
    </row>
    <row r="2109" ht="25.5" customHeight="1" spans="1:20">
      <c r="A2109" t="s">
        <v>3048</v>
      </c>
      <c r="B2109" t="s">
        <v>65</v>
      </c>
      <c r="C2109" t="s">
        <v>4434</v>
      </c>
      <c r="D2109" s="3"/>
      <c r="E2109" s="2">
        <v>45683</v>
      </c>
      <c r="F2109">
        <v>2013</v>
      </c>
      <c r="G2109">
        <v>572</v>
      </c>
      <c r="H2109">
        <v>164</v>
      </c>
      <c r="I2109">
        <v>74</v>
      </c>
      <c r="J2109">
        <v>10</v>
      </c>
      <c r="K2109">
        <v>2</v>
      </c>
      <c r="L2109" t="s">
        <v>3612</v>
      </c>
      <c r="M2109" t="s">
        <v>4432</v>
      </c>
      <c r="N2109" t="s">
        <v>1630</v>
      </c>
      <c r="O2109" s="4">
        <v>45695.4803125</v>
      </c>
      <c r="P2109" t="s">
        <v>66</v>
      </c>
      <c r="Q2109" t="s">
        <v>97</v>
      </c>
      <c r="R2109" t="s">
        <v>3550</v>
      </c>
      <c r="T2109" t="s">
        <v>66</v>
      </c>
    </row>
    <row r="2110" ht="25.5" customHeight="1" spans="1:20">
      <c r="A2110" t="s">
        <v>3048</v>
      </c>
      <c r="B2110" t="s">
        <v>65</v>
      </c>
      <c r="C2110" t="s">
        <v>4434</v>
      </c>
      <c r="D2110" s="3"/>
      <c r="E2110" s="2">
        <v>45684</v>
      </c>
      <c r="F2110">
        <v>2015</v>
      </c>
      <c r="G2110">
        <v>572</v>
      </c>
      <c r="H2110">
        <v>164</v>
      </c>
      <c r="I2110">
        <v>74</v>
      </c>
      <c r="J2110">
        <v>10</v>
      </c>
      <c r="K2110">
        <v>2</v>
      </c>
      <c r="L2110" t="s">
        <v>3612</v>
      </c>
      <c r="M2110" t="s">
        <v>4432</v>
      </c>
      <c r="N2110" t="s">
        <v>1630</v>
      </c>
      <c r="O2110" s="4">
        <v>45695.4803356481</v>
      </c>
      <c r="P2110" t="s">
        <v>66</v>
      </c>
      <c r="Q2110" t="s">
        <v>97</v>
      </c>
      <c r="R2110" t="s">
        <v>3550</v>
      </c>
      <c r="T2110" t="s">
        <v>66</v>
      </c>
    </row>
    <row r="2111" ht="25.5" customHeight="1" spans="1:20">
      <c r="A2111" t="s">
        <v>3048</v>
      </c>
      <c r="B2111" t="s">
        <v>65</v>
      </c>
      <c r="C2111" t="s">
        <v>4434</v>
      </c>
      <c r="D2111" s="3"/>
      <c r="E2111" s="2">
        <v>45693</v>
      </c>
      <c r="F2111">
        <v>2049</v>
      </c>
      <c r="G2111">
        <v>572</v>
      </c>
      <c r="H2111">
        <v>164</v>
      </c>
      <c r="I2111">
        <v>74</v>
      </c>
      <c r="J2111">
        <v>10</v>
      </c>
      <c r="K2111">
        <v>2</v>
      </c>
      <c r="L2111" t="s">
        <v>3612</v>
      </c>
      <c r="M2111" t="s">
        <v>4432</v>
      </c>
      <c r="N2111" t="s">
        <v>1630</v>
      </c>
      <c r="O2111" s="4">
        <v>45695.4803356481</v>
      </c>
      <c r="P2111" t="s">
        <v>66</v>
      </c>
      <c r="Q2111" t="s">
        <v>97</v>
      </c>
      <c r="R2111" t="s">
        <v>3550</v>
      </c>
      <c r="T2111" t="s">
        <v>66</v>
      </c>
    </row>
    <row r="2112" ht="25.5" customHeight="1" spans="1:20">
      <c r="A2112" t="s">
        <v>3048</v>
      </c>
      <c r="B2112" t="s">
        <v>65</v>
      </c>
      <c r="C2112" t="s">
        <v>4434</v>
      </c>
      <c r="D2112" s="3"/>
      <c r="E2112" s="2">
        <v>45694</v>
      </c>
      <c r="F2112">
        <v>2048</v>
      </c>
      <c r="G2112">
        <v>572</v>
      </c>
      <c r="H2112">
        <v>164</v>
      </c>
      <c r="I2112">
        <v>74</v>
      </c>
      <c r="J2112">
        <v>10</v>
      </c>
      <c r="K2112">
        <v>2</v>
      </c>
      <c r="L2112" t="s">
        <v>3612</v>
      </c>
      <c r="M2112" t="s">
        <v>4432</v>
      </c>
      <c r="N2112" t="s">
        <v>1630</v>
      </c>
      <c r="O2112" s="4">
        <v>45698.6216782407</v>
      </c>
      <c r="P2112" t="s">
        <v>66</v>
      </c>
      <c r="Q2112" t="s">
        <v>97</v>
      </c>
      <c r="R2112" t="s">
        <v>3550</v>
      </c>
      <c r="S2112" t="s">
        <v>3301</v>
      </c>
      <c r="T2112" t="s">
        <v>66</v>
      </c>
    </row>
    <row r="2113" ht="25.5" customHeight="1" spans="1:20">
      <c r="A2113" t="s">
        <v>3049</v>
      </c>
      <c r="B2113" t="s">
        <v>56</v>
      </c>
      <c r="C2113" t="s">
        <v>4435</v>
      </c>
      <c r="D2113" s="3"/>
      <c r="E2113" s="2">
        <v>45667</v>
      </c>
      <c r="F2113">
        <v>12700</v>
      </c>
      <c r="G2113">
        <v>8622</v>
      </c>
      <c r="H2113">
        <v>11</v>
      </c>
      <c r="I2113">
        <v>2</v>
      </c>
      <c r="J2113">
        <v>5</v>
      </c>
      <c r="K2113">
        <v>1</v>
      </c>
      <c r="L2113" t="s">
        <v>3138</v>
      </c>
      <c r="M2113" t="s">
        <v>4432</v>
      </c>
      <c r="N2113" t="s">
        <v>1630</v>
      </c>
      <c r="O2113" s="4">
        <v>45670.8470833333</v>
      </c>
      <c r="P2113" t="s">
        <v>3050</v>
      </c>
      <c r="Q2113" t="s">
        <v>97</v>
      </c>
      <c r="R2113" t="s">
        <v>3877</v>
      </c>
      <c r="T2113" t="s">
        <v>3050</v>
      </c>
    </row>
    <row r="2114" ht="25.5" customHeight="1" spans="1:20">
      <c r="A2114" t="s">
        <v>3049</v>
      </c>
      <c r="B2114" t="s">
        <v>56</v>
      </c>
      <c r="C2114" t="s">
        <v>4435</v>
      </c>
      <c r="D2114" s="3"/>
      <c r="E2114" s="2">
        <v>45671</v>
      </c>
      <c r="F2114">
        <v>12700</v>
      </c>
      <c r="G2114">
        <v>8761</v>
      </c>
      <c r="H2114">
        <v>11</v>
      </c>
      <c r="I2114">
        <v>2</v>
      </c>
      <c r="J2114">
        <v>5</v>
      </c>
      <c r="K2114">
        <v>1</v>
      </c>
      <c r="L2114" t="s">
        <v>3138</v>
      </c>
      <c r="M2114" t="s">
        <v>4432</v>
      </c>
      <c r="N2114" t="s">
        <v>1630</v>
      </c>
      <c r="O2114" s="4">
        <v>45672.5030092593</v>
      </c>
      <c r="P2114" t="s">
        <v>3050</v>
      </c>
      <c r="Q2114" t="s">
        <v>97</v>
      </c>
      <c r="R2114" t="s">
        <v>3877</v>
      </c>
      <c r="T2114" t="s">
        <v>3050</v>
      </c>
    </row>
    <row r="2115" ht="25.5" customHeight="1" spans="1:20">
      <c r="A2115" t="s">
        <v>3049</v>
      </c>
      <c r="B2115" t="s">
        <v>56</v>
      </c>
      <c r="C2115" t="s">
        <v>4435</v>
      </c>
      <c r="D2115" s="3"/>
      <c r="E2115" s="2">
        <v>45672</v>
      </c>
      <c r="F2115">
        <v>12700</v>
      </c>
      <c r="G2115">
        <v>8867</v>
      </c>
      <c r="H2115">
        <v>11</v>
      </c>
      <c r="I2115">
        <v>2</v>
      </c>
      <c r="J2115">
        <v>5</v>
      </c>
      <c r="K2115">
        <v>1</v>
      </c>
      <c r="L2115" t="s">
        <v>3138</v>
      </c>
      <c r="M2115" t="s">
        <v>4432</v>
      </c>
      <c r="N2115" t="s">
        <v>1630</v>
      </c>
      <c r="O2115" s="4">
        <v>45672.5329050926</v>
      </c>
      <c r="P2115" t="s">
        <v>3050</v>
      </c>
      <c r="Q2115" t="s">
        <v>97</v>
      </c>
      <c r="R2115" t="s">
        <v>3877</v>
      </c>
      <c r="T2115" t="s">
        <v>3050</v>
      </c>
    </row>
    <row r="2116" ht="25.5" customHeight="1" spans="1:20">
      <c r="A2116" t="s">
        <v>3049</v>
      </c>
      <c r="B2116" t="s">
        <v>56</v>
      </c>
      <c r="C2116" t="s">
        <v>4435</v>
      </c>
      <c r="D2116" s="3"/>
      <c r="E2116" s="2">
        <v>45673</v>
      </c>
      <c r="F2116">
        <v>12700</v>
      </c>
      <c r="G2116">
        <v>9064</v>
      </c>
      <c r="H2116">
        <v>11</v>
      </c>
      <c r="I2116">
        <v>2</v>
      </c>
      <c r="J2116">
        <v>5</v>
      </c>
      <c r="K2116">
        <v>1</v>
      </c>
      <c r="L2116" t="s">
        <v>3138</v>
      </c>
      <c r="M2116" t="s">
        <v>4432</v>
      </c>
      <c r="N2116" t="s">
        <v>1630</v>
      </c>
      <c r="O2116" s="4">
        <v>45673.6238773148</v>
      </c>
      <c r="P2116" t="s">
        <v>3050</v>
      </c>
      <c r="Q2116" t="s">
        <v>97</v>
      </c>
      <c r="R2116" t="s">
        <v>3877</v>
      </c>
      <c r="T2116" t="s">
        <v>3050</v>
      </c>
    </row>
    <row r="2117" ht="25.5" customHeight="1" spans="1:20">
      <c r="A2117" t="s">
        <v>3049</v>
      </c>
      <c r="B2117" t="s">
        <v>56</v>
      </c>
      <c r="C2117" t="s">
        <v>4435</v>
      </c>
      <c r="D2117" s="3"/>
      <c r="E2117" s="2">
        <v>45674</v>
      </c>
      <c r="F2117">
        <v>12700</v>
      </c>
      <c r="G2117">
        <v>9580</v>
      </c>
      <c r="H2117">
        <v>9</v>
      </c>
      <c r="I2117">
        <v>2</v>
      </c>
      <c r="J2117">
        <v>5</v>
      </c>
      <c r="K2117">
        <v>1</v>
      </c>
      <c r="L2117" t="s">
        <v>3138</v>
      </c>
      <c r="M2117" t="s">
        <v>4432</v>
      </c>
      <c r="N2117" t="s">
        <v>1630</v>
      </c>
      <c r="O2117" s="4">
        <v>45674.6793518519</v>
      </c>
      <c r="P2117" t="s">
        <v>3050</v>
      </c>
      <c r="Q2117" t="s">
        <v>97</v>
      </c>
      <c r="R2117" t="s">
        <v>3860</v>
      </c>
      <c r="T2117" t="s">
        <v>3050</v>
      </c>
    </row>
    <row r="2118" ht="25.5" customHeight="1" spans="1:20">
      <c r="A2118" t="s">
        <v>3049</v>
      </c>
      <c r="B2118" t="s">
        <v>56</v>
      </c>
      <c r="C2118" t="s">
        <v>4435</v>
      </c>
      <c r="D2118" s="3"/>
      <c r="E2118" s="2">
        <v>45677</v>
      </c>
      <c r="F2118">
        <v>12700</v>
      </c>
      <c r="G2118">
        <v>10800</v>
      </c>
      <c r="H2118">
        <v>10</v>
      </c>
      <c r="I2118">
        <v>2</v>
      </c>
      <c r="J2118">
        <v>5</v>
      </c>
      <c r="K2118">
        <v>1</v>
      </c>
      <c r="L2118" t="s">
        <v>3138</v>
      </c>
      <c r="M2118" t="s">
        <v>4432</v>
      </c>
      <c r="N2118" t="s">
        <v>1630</v>
      </c>
      <c r="O2118" s="4">
        <v>45677.4385532407</v>
      </c>
      <c r="P2118" t="s">
        <v>3050</v>
      </c>
      <c r="Q2118" t="s">
        <v>97</v>
      </c>
      <c r="R2118" t="s">
        <v>3876</v>
      </c>
      <c r="T2118" t="s">
        <v>3050</v>
      </c>
    </row>
    <row r="2119" ht="25.5" customHeight="1" spans="1:20">
      <c r="A2119" t="s">
        <v>3049</v>
      </c>
      <c r="B2119" t="s">
        <v>56</v>
      </c>
      <c r="C2119" t="s">
        <v>4435</v>
      </c>
      <c r="D2119" s="3"/>
      <c r="E2119" s="2">
        <v>45678</v>
      </c>
      <c r="F2119">
        <v>12700</v>
      </c>
      <c r="G2119">
        <v>11300</v>
      </c>
      <c r="H2119">
        <v>10</v>
      </c>
      <c r="I2119">
        <v>2</v>
      </c>
      <c r="J2119">
        <v>5</v>
      </c>
      <c r="K2119">
        <v>1</v>
      </c>
      <c r="L2119" t="s">
        <v>3138</v>
      </c>
      <c r="M2119" t="s">
        <v>4432</v>
      </c>
      <c r="N2119" t="s">
        <v>1630</v>
      </c>
      <c r="O2119" s="4">
        <v>45678.6608101852</v>
      </c>
      <c r="P2119" t="s">
        <v>3050</v>
      </c>
      <c r="Q2119" t="s">
        <v>97</v>
      </c>
      <c r="R2119" t="s">
        <v>3876</v>
      </c>
      <c r="T2119" t="s">
        <v>3050</v>
      </c>
    </row>
    <row r="2120" ht="25.5" customHeight="1" spans="1:20">
      <c r="A2120" t="s">
        <v>3049</v>
      </c>
      <c r="B2120" t="s">
        <v>56</v>
      </c>
      <c r="C2120" t="s">
        <v>4435</v>
      </c>
      <c r="D2120" s="3"/>
      <c r="E2120" s="2">
        <v>45679</v>
      </c>
      <c r="F2120">
        <v>12700</v>
      </c>
      <c r="G2120">
        <v>11300</v>
      </c>
      <c r="H2120">
        <v>10</v>
      </c>
      <c r="I2120">
        <v>2</v>
      </c>
      <c r="J2120">
        <v>5</v>
      </c>
      <c r="K2120">
        <v>1</v>
      </c>
      <c r="L2120" t="s">
        <v>3138</v>
      </c>
      <c r="M2120" t="s">
        <v>4432</v>
      </c>
      <c r="N2120" t="s">
        <v>1630</v>
      </c>
      <c r="O2120" s="4">
        <v>45679.6998032407</v>
      </c>
      <c r="P2120" t="s">
        <v>3050</v>
      </c>
      <c r="Q2120" t="s">
        <v>97</v>
      </c>
      <c r="R2120" t="s">
        <v>3876</v>
      </c>
      <c r="T2120" t="s">
        <v>3050</v>
      </c>
    </row>
    <row r="2121" ht="25.5" customHeight="1" spans="1:20">
      <c r="A2121" t="s">
        <v>3049</v>
      </c>
      <c r="B2121" t="s">
        <v>56</v>
      </c>
      <c r="C2121" t="s">
        <v>4435</v>
      </c>
      <c r="D2121" s="3"/>
      <c r="E2121" s="2">
        <v>45680</v>
      </c>
      <c r="F2121">
        <v>12700</v>
      </c>
      <c r="G2121">
        <v>11300</v>
      </c>
      <c r="H2121">
        <v>10</v>
      </c>
      <c r="I2121">
        <v>2</v>
      </c>
      <c r="J2121">
        <v>5</v>
      </c>
      <c r="K2121">
        <v>1</v>
      </c>
      <c r="L2121" t="s">
        <v>3138</v>
      </c>
      <c r="M2121" t="s">
        <v>4432</v>
      </c>
      <c r="N2121" t="s">
        <v>1630</v>
      </c>
      <c r="O2121" s="4">
        <v>45680.6622222222</v>
      </c>
      <c r="P2121" t="s">
        <v>3050</v>
      </c>
      <c r="Q2121" t="s">
        <v>97</v>
      </c>
      <c r="R2121" t="s">
        <v>3876</v>
      </c>
      <c r="T2121" t="s">
        <v>3050</v>
      </c>
    </row>
    <row r="2122" ht="25.5" customHeight="1" spans="1:20">
      <c r="A2122" t="s">
        <v>3049</v>
      </c>
      <c r="B2122" t="s">
        <v>56</v>
      </c>
      <c r="C2122" t="s">
        <v>4435</v>
      </c>
      <c r="D2122" s="3"/>
      <c r="E2122" s="2">
        <v>45681</v>
      </c>
      <c r="F2122">
        <v>12700</v>
      </c>
      <c r="G2122">
        <v>11300</v>
      </c>
      <c r="H2122">
        <v>10</v>
      </c>
      <c r="I2122">
        <v>2</v>
      </c>
      <c r="J2122">
        <v>5</v>
      </c>
      <c r="K2122">
        <v>1</v>
      </c>
      <c r="L2122" t="s">
        <v>3138</v>
      </c>
      <c r="M2122" t="s">
        <v>4432</v>
      </c>
      <c r="N2122" t="s">
        <v>1630</v>
      </c>
      <c r="O2122" s="4">
        <v>45681.6489583333</v>
      </c>
      <c r="P2122" t="s">
        <v>3050</v>
      </c>
      <c r="Q2122" t="s">
        <v>97</v>
      </c>
      <c r="R2122" t="s">
        <v>3876</v>
      </c>
      <c r="T2122" t="s">
        <v>3050</v>
      </c>
    </row>
    <row r="2123" ht="25.5" customHeight="1" spans="1:20">
      <c r="A2123" t="s">
        <v>3049</v>
      </c>
      <c r="B2123" t="s">
        <v>56</v>
      </c>
      <c r="C2123" t="s">
        <v>4435</v>
      </c>
      <c r="D2123" s="3"/>
      <c r="E2123" s="2">
        <v>45683</v>
      </c>
      <c r="F2123">
        <v>12700</v>
      </c>
      <c r="G2123">
        <v>11300</v>
      </c>
      <c r="H2123">
        <v>10</v>
      </c>
      <c r="I2123">
        <v>2</v>
      </c>
      <c r="J2123">
        <v>5</v>
      </c>
      <c r="K2123">
        <v>1</v>
      </c>
      <c r="L2123" t="s">
        <v>3138</v>
      </c>
      <c r="M2123" t="s">
        <v>4432</v>
      </c>
      <c r="N2123" t="s">
        <v>1630</v>
      </c>
      <c r="O2123" s="4">
        <v>45683.7886689815</v>
      </c>
      <c r="P2123" t="s">
        <v>3050</v>
      </c>
      <c r="Q2123" t="s">
        <v>97</v>
      </c>
      <c r="R2123" t="s">
        <v>3876</v>
      </c>
      <c r="T2123" t="s">
        <v>3050</v>
      </c>
    </row>
    <row r="2124" ht="25.5" customHeight="1" spans="1:20">
      <c r="A2124" t="s">
        <v>3049</v>
      </c>
      <c r="B2124" t="s">
        <v>56</v>
      </c>
      <c r="C2124" t="s">
        <v>4435</v>
      </c>
      <c r="D2124" s="3"/>
      <c r="E2124" s="2">
        <v>45684</v>
      </c>
      <c r="F2124">
        <v>12700</v>
      </c>
      <c r="G2124">
        <v>11300</v>
      </c>
      <c r="H2124">
        <v>10</v>
      </c>
      <c r="I2124">
        <v>2</v>
      </c>
      <c r="J2124">
        <v>5</v>
      </c>
      <c r="K2124">
        <v>1</v>
      </c>
      <c r="L2124" t="s">
        <v>3138</v>
      </c>
      <c r="M2124" t="s">
        <v>4432</v>
      </c>
      <c r="N2124" t="s">
        <v>1630</v>
      </c>
      <c r="O2124" s="4">
        <v>45684.8665740741</v>
      </c>
      <c r="P2124" t="s">
        <v>3050</v>
      </c>
      <c r="Q2124" t="s">
        <v>97</v>
      </c>
      <c r="R2124" t="s">
        <v>3876</v>
      </c>
      <c r="T2124" t="s">
        <v>3050</v>
      </c>
    </row>
    <row r="2125" ht="25.5" customHeight="1" spans="1:20">
      <c r="A2125" t="s">
        <v>3049</v>
      </c>
      <c r="B2125" t="s">
        <v>56</v>
      </c>
      <c r="C2125" t="s">
        <v>4435</v>
      </c>
      <c r="D2125" s="3"/>
      <c r="E2125" s="2">
        <v>45693</v>
      </c>
      <c r="F2125">
        <v>12700</v>
      </c>
      <c r="G2125">
        <v>11300</v>
      </c>
      <c r="H2125">
        <v>10</v>
      </c>
      <c r="I2125">
        <v>2</v>
      </c>
      <c r="J2125">
        <v>5</v>
      </c>
      <c r="K2125">
        <v>1</v>
      </c>
      <c r="L2125" t="s">
        <v>3138</v>
      </c>
      <c r="M2125" t="s">
        <v>4432</v>
      </c>
      <c r="N2125" t="s">
        <v>1630</v>
      </c>
      <c r="O2125" s="4">
        <v>45693.8306712963</v>
      </c>
      <c r="P2125" t="s">
        <v>3050</v>
      </c>
      <c r="Q2125" t="s">
        <v>97</v>
      </c>
      <c r="R2125" t="s">
        <v>3876</v>
      </c>
      <c r="T2125" t="s">
        <v>3050</v>
      </c>
    </row>
    <row r="2126" ht="25.5" customHeight="1" spans="1:20">
      <c r="A2126" t="s">
        <v>3049</v>
      </c>
      <c r="B2126" t="s">
        <v>56</v>
      </c>
      <c r="C2126" t="s">
        <v>4435</v>
      </c>
      <c r="D2126" s="3"/>
      <c r="E2126" s="2">
        <v>45694</v>
      </c>
      <c r="F2126">
        <v>12700</v>
      </c>
      <c r="G2126">
        <v>11300</v>
      </c>
      <c r="H2126">
        <v>10</v>
      </c>
      <c r="I2126">
        <v>2</v>
      </c>
      <c r="J2126">
        <v>5</v>
      </c>
      <c r="K2126">
        <v>1</v>
      </c>
      <c r="L2126" t="s">
        <v>3138</v>
      </c>
      <c r="M2126" t="s">
        <v>4432</v>
      </c>
      <c r="N2126" t="s">
        <v>1630</v>
      </c>
      <c r="O2126" s="4">
        <v>45698.6216782407</v>
      </c>
      <c r="P2126" t="s">
        <v>3050</v>
      </c>
      <c r="Q2126" t="s">
        <v>97</v>
      </c>
      <c r="R2126" t="s">
        <v>3876</v>
      </c>
      <c r="S2126" t="s">
        <v>3180</v>
      </c>
      <c r="T2126" t="s">
        <v>3050</v>
      </c>
    </row>
    <row r="2127" ht="25.5" customHeight="1" spans="1:20">
      <c r="A2127" t="s">
        <v>2882</v>
      </c>
      <c r="B2127" t="s">
        <v>56</v>
      </c>
      <c r="C2127" t="s">
        <v>4436</v>
      </c>
      <c r="D2127" s="3"/>
      <c r="E2127" s="2">
        <v>45677</v>
      </c>
      <c r="F2127">
        <v>41600</v>
      </c>
      <c r="G2127">
        <v>1142</v>
      </c>
      <c r="H2127">
        <v>51</v>
      </c>
      <c r="I2127">
        <v>11</v>
      </c>
      <c r="J2127">
        <v>7</v>
      </c>
      <c r="K2127">
        <v>1</v>
      </c>
      <c r="L2127" t="s">
        <v>3258</v>
      </c>
      <c r="M2127" t="s">
        <v>3808</v>
      </c>
      <c r="N2127" t="s">
        <v>1630</v>
      </c>
      <c r="O2127" s="4">
        <v>45677.7263425926</v>
      </c>
      <c r="P2127" t="s">
        <v>57</v>
      </c>
      <c r="Q2127" t="s">
        <v>1703</v>
      </c>
      <c r="R2127" t="s">
        <v>3796</v>
      </c>
      <c r="T2127" t="s">
        <v>57</v>
      </c>
    </row>
    <row r="2128" ht="25.5" customHeight="1" spans="1:20">
      <c r="A2128" t="s">
        <v>2882</v>
      </c>
      <c r="B2128" t="s">
        <v>56</v>
      </c>
      <c r="C2128" t="s">
        <v>4436</v>
      </c>
      <c r="D2128" s="3"/>
      <c r="E2128" s="2">
        <v>45678</v>
      </c>
      <c r="F2128">
        <v>41600</v>
      </c>
      <c r="G2128">
        <v>1272</v>
      </c>
      <c r="H2128">
        <v>57</v>
      </c>
      <c r="I2128">
        <v>14</v>
      </c>
      <c r="J2128">
        <v>9</v>
      </c>
      <c r="K2128">
        <v>2</v>
      </c>
      <c r="L2128" t="s">
        <v>3258</v>
      </c>
      <c r="M2128" t="s">
        <v>3808</v>
      </c>
      <c r="N2128" t="s">
        <v>1630</v>
      </c>
      <c r="O2128" s="4">
        <v>45678.6610300926</v>
      </c>
      <c r="P2128" t="s">
        <v>57</v>
      </c>
      <c r="Q2128" t="s">
        <v>1703</v>
      </c>
      <c r="R2128" t="s">
        <v>3769</v>
      </c>
      <c r="T2128" t="s">
        <v>57</v>
      </c>
    </row>
    <row r="2129" ht="25.5" customHeight="1" spans="1:20">
      <c r="A2129" t="s">
        <v>2882</v>
      </c>
      <c r="B2129" t="s">
        <v>56</v>
      </c>
      <c r="C2129" t="s">
        <v>4436</v>
      </c>
      <c r="D2129" s="3"/>
      <c r="E2129" s="2">
        <v>45679</v>
      </c>
      <c r="F2129">
        <v>41600</v>
      </c>
      <c r="G2129">
        <v>1374</v>
      </c>
      <c r="H2129">
        <v>59</v>
      </c>
      <c r="I2129">
        <v>16</v>
      </c>
      <c r="J2129">
        <v>10</v>
      </c>
      <c r="K2129">
        <v>2</v>
      </c>
      <c r="L2129" t="s">
        <v>3258</v>
      </c>
      <c r="M2129" t="s">
        <v>3808</v>
      </c>
      <c r="N2129" t="s">
        <v>1630</v>
      </c>
      <c r="O2129" s="4">
        <v>45679.7002546296</v>
      </c>
      <c r="P2129" t="s">
        <v>57</v>
      </c>
      <c r="Q2129" t="s">
        <v>1703</v>
      </c>
      <c r="R2129" t="s">
        <v>3328</v>
      </c>
      <c r="T2129" t="s">
        <v>57</v>
      </c>
    </row>
    <row r="2130" ht="25.5" customHeight="1" spans="1:20">
      <c r="A2130" t="s">
        <v>2882</v>
      </c>
      <c r="B2130" t="s">
        <v>56</v>
      </c>
      <c r="C2130" t="s">
        <v>4436</v>
      </c>
      <c r="D2130" s="3"/>
      <c r="E2130" s="2">
        <v>45680</v>
      </c>
      <c r="F2130">
        <v>41600</v>
      </c>
      <c r="G2130">
        <v>1475</v>
      </c>
      <c r="H2130">
        <v>59</v>
      </c>
      <c r="I2130">
        <v>16</v>
      </c>
      <c r="J2130">
        <v>10</v>
      </c>
      <c r="K2130">
        <v>2</v>
      </c>
      <c r="L2130" t="s">
        <v>3195</v>
      </c>
      <c r="M2130" t="s">
        <v>3808</v>
      </c>
      <c r="N2130" t="s">
        <v>1630</v>
      </c>
      <c r="O2130" s="4">
        <v>45680.6626041667</v>
      </c>
      <c r="P2130" t="s">
        <v>57</v>
      </c>
      <c r="Q2130" t="s">
        <v>1703</v>
      </c>
      <c r="R2130" t="s">
        <v>3328</v>
      </c>
      <c r="T2130" t="s">
        <v>57</v>
      </c>
    </row>
    <row r="2131" ht="25.5" customHeight="1" spans="1:20">
      <c r="A2131" t="s">
        <v>2882</v>
      </c>
      <c r="B2131" t="s">
        <v>56</v>
      </c>
      <c r="C2131" t="s">
        <v>4436</v>
      </c>
      <c r="D2131" s="3"/>
      <c r="E2131" s="2">
        <v>45681</v>
      </c>
      <c r="F2131">
        <v>41600</v>
      </c>
      <c r="G2131">
        <v>1578</v>
      </c>
      <c r="H2131">
        <v>62</v>
      </c>
      <c r="I2131">
        <v>16</v>
      </c>
      <c r="J2131">
        <v>11</v>
      </c>
      <c r="K2131">
        <v>2</v>
      </c>
      <c r="L2131" t="s">
        <v>3195</v>
      </c>
      <c r="M2131" t="s">
        <v>3808</v>
      </c>
      <c r="N2131" t="s">
        <v>1630</v>
      </c>
      <c r="O2131" s="4">
        <v>45681.6491898148</v>
      </c>
      <c r="P2131" t="s">
        <v>57</v>
      </c>
      <c r="Q2131" t="s">
        <v>1703</v>
      </c>
      <c r="R2131" t="s">
        <v>3772</v>
      </c>
      <c r="T2131" t="s">
        <v>57</v>
      </c>
    </row>
    <row r="2132" ht="25.5" customHeight="1" spans="1:20">
      <c r="A2132" t="s">
        <v>2882</v>
      </c>
      <c r="B2132" t="s">
        <v>56</v>
      </c>
      <c r="C2132" t="s">
        <v>4436</v>
      </c>
      <c r="D2132" s="3"/>
      <c r="E2132" s="2">
        <v>45683</v>
      </c>
      <c r="F2132">
        <v>41700</v>
      </c>
      <c r="G2132">
        <v>1747</v>
      </c>
      <c r="H2132">
        <v>64</v>
      </c>
      <c r="I2132">
        <v>16</v>
      </c>
      <c r="J2132">
        <v>11</v>
      </c>
      <c r="K2132">
        <v>2</v>
      </c>
      <c r="L2132" t="s">
        <v>3195</v>
      </c>
      <c r="M2132" t="s">
        <v>3808</v>
      </c>
      <c r="N2132" t="s">
        <v>1630</v>
      </c>
      <c r="O2132" s="4">
        <v>45683.7889583333</v>
      </c>
      <c r="P2132" t="s">
        <v>57</v>
      </c>
      <c r="Q2132" t="s">
        <v>1703</v>
      </c>
      <c r="R2132" t="s">
        <v>3523</v>
      </c>
      <c r="T2132" t="s">
        <v>57</v>
      </c>
    </row>
    <row r="2133" ht="25.5" customHeight="1" spans="1:20">
      <c r="A2133" t="s">
        <v>2882</v>
      </c>
      <c r="B2133" t="s">
        <v>56</v>
      </c>
      <c r="C2133" t="s">
        <v>4436</v>
      </c>
      <c r="D2133" s="3"/>
      <c r="E2133" s="2">
        <v>45684</v>
      </c>
      <c r="F2133">
        <v>41700</v>
      </c>
      <c r="G2133">
        <v>1827</v>
      </c>
      <c r="H2133">
        <v>66</v>
      </c>
      <c r="I2133">
        <v>16</v>
      </c>
      <c r="J2133">
        <v>11</v>
      </c>
      <c r="K2133">
        <v>2</v>
      </c>
      <c r="L2133" t="s">
        <v>3195</v>
      </c>
      <c r="M2133" t="s">
        <v>3808</v>
      </c>
      <c r="N2133" t="s">
        <v>1630</v>
      </c>
      <c r="O2133" s="4">
        <v>45684.8668402778</v>
      </c>
      <c r="P2133" t="s">
        <v>57</v>
      </c>
      <c r="Q2133" t="s">
        <v>1703</v>
      </c>
      <c r="R2133" t="s">
        <v>3517</v>
      </c>
      <c r="T2133" t="s">
        <v>57</v>
      </c>
    </row>
    <row r="2134" ht="25.5" customHeight="1" spans="1:20">
      <c r="A2134" t="s">
        <v>2882</v>
      </c>
      <c r="B2134" t="s">
        <v>56</v>
      </c>
      <c r="C2134" t="s">
        <v>4436</v>
      </c>
      <c r="D2134" s="3"/>
      <c r="E2134" s="2">
        <v>45693</v>
      </c>
      <c r="F2134">
        <v>41800</v>
      </c>
      <c r="G2134">
        <v>2562</v>
      </c>
      <c r="H2134">
        <v>70</v>
      </c>
      <c r="I2134">
        <v>17</v>
      </c>
      <c r="J2134">
        <v>14</v>
      </c>
      <c r="K2134">
        <v>3</v>
      </c>
      <c r="L2134" t="s">
        <v>3208</v>
      </c>
      <c r="M2134" t="s">
        <v>3808</v>
      </c>
      <c r="N2134" t="s">
        <v>1630</v>
      </c>
      <c r="O2134" s="4">
        <v>45693.8310185185</v>
      </c>
      <c r="P2134" t="s">
        <v>57</v>
      </c>
      <c r="Q2134" t="s">
        <v>1703</v>
      </c>
      <c r="R2134" t="s">
        <v>4437</v>
      </c>
      <c r="T2134" t="s">
        <v>57</v>
      </c>
    </row>
    <row r="2135" ht="25.5" customHeight="1" spans="1:20">
      <c r="A2135" t="s">
        <v>2882</v>
      </c>
      <c r="B2135" t="s">
        <v>56</v>
      </c>
      <c r="C2135" t="s">
        <v>4436</v>
      </c>
      <c r="D2135" s="3"/>
      <c r="E2135" s="2">
        <v>45694</v>
      </c>
      <c r="F2135">
        <v>41800</v>
      </c>
      <c r="G2135">
        <v>2594</v>
      </c>
      <c r="H2135">
        <v>72</v>
      </c>
      <c r="I2135">
        <v>17</v>
      </c>
      <c r="J2135">
        <v>16</v>
      </c>
      <c r="K2135">
        <v>3</v>
      </c>
      <c r="L2135" t="s">
        <v>3208</v>
      </c>
      <c r="M2135" t="s">
        <v>3808</v>
      </c>
      <c r="N2135" t="s">
        <v>1630</v>
      </c>
      <c r="O2135" s="4">
        <v>45698.6216782407</v>
      </c>
      <c r="P2135" t="s">
        <v>57</v>
      </c>
      <c r="Q2135" t="s">
        <v>1703</v>
      </c>
      <c r="R2135" t="s">
        <v>3512</v>
      </c>
      <c r="S2135" t="s">
        <v>3180</v>
      </c>
      <c r="T2135" t="s">
        <v>57</v>
      </c>
    </row>
    <row r="2136" ht="25.5" customHeight="1" spans="1:20">
      <c r="A2136" t="s">
        <v>2882</v>
      </c>
      <c r="B2136" t="s">
        <v>56</v>
      </c>
      <c r="C2136" t="s">
        <v>4436</v>
      </c>
      <c r="D2136" s="3"/>
      <c r="E2136" s="2">
        <v>45695</v>
      </c>
      <c r="F2136">
        <v>41800</v>
      </c>
      <c r="G2136">
        <v>2638</v>
      </c>
      <c r="H2136">
        <v>75</v>
      </c>
      <c r="I2136">
        <v>17</v>
      </c>
      <c r="J2136">
        <v>17</v>
      </c>
      <c r="K2136">
        <v>3</v>
      </c>
      <c r="L2136" t="s">
        <v>3208</v>
      </c>
      <c r="M2136" t="s">
        <v>3808</v>
      </c>
      <c r="N2136" t="s">
        <v>1630</v>
      </c>
      <c r="O2136" s="4">
        <v>45695.7242708333</v>
      </c>
      <c r="P2136" t="s">
        <v>57</v>
      </c>
      <c r="Q2136" t="s">
        <v>1703</v>
      </c>
      <c r="R2136" t="s">
        <v>4438</v>
      </c>
      <c r="T2136" t="s">
        <v>57</v>
      </c>
    </row>
    <row r="2137" ht="25.5" customHeight="1" spans="1:20">
      <c r="A2137" t="s">
        <v>2882</v>
      </c>
      <c r="B2137" t="s">
        <v>56</v>
      </c>
      <c r="C2137" t="s">
        <v>4436</v>
      </c>
      <c r="D2137" s="3"/>
      <c r="E2137" s="2">
        <v>45696</v>
      </c>
      <c r="F2137">
        <v>41800</v>
      </c>
      <c r="G2137">
        <v>2678</v>
      </c>
      <c r="H2137">
        <v>78</v>
      </c>
      <c r="I2137">
        <v>17</v>
      </c>
      <c r="J2137">
        <v>18</v>
      </c>
      <c r="K2137">
        <v>3</v>
      </c>
      <c r="L2137" t="s">
        <v>3208</v>
      </c>
      <c r="M2137" t="s">
        <v>3808</v>
      </c>
      <c r="N2137" t="s">
        <v>1630</v>
      </c>
      <c r="O2137" s="4">
        <v>45696.4384490741</v>
      </c>
      <c r="P2137" t="s">
        <v>57</v>
      </c>
      <c r="Q2137" t="s">
        <v>1703</v>
      </c>
      <c r="R2137" t="s">
        <v>3391</v>
      </c>
      <c r="T2137" t="s">
        <v>57</v>
      </c>
    </row>
    <row r="2138" ht="25.5" customHeight="1" spans="1:20">
      <c r="A2138" t="s">
        <v>2064</v>
      </c>
      <c r="B2138" t="s">
        <v>65</v>
      </c>
      <c r="C2138" t="s">
        <v>4439</v>
      </c>
      <c r="D2138" s="3" t="str">
        <f>HYPERLINK("https://www.instagram.com/derjotech/reels/","https://www.instagram.com/derjotech/reels/")</f>
        <v>https://www.instagram.com/derjotech/reels/</v>
      </c>
      <c r="E2138" s="2">
        <v>45680</v>
      </c>
      <c r="F2138">
        <v>347000</v>
      </c>
      <c r="G2138">
        <v>8142</v>
      </c>
      <c r="H2138">
        <v>268</v>
      </c>
      <c r="I2138">
        <v>3</v>
      </c>
      <c r="L2138" t="s">
        <v>3138</v>
      </c>
      <c r="M2138" t="s">
        <v>3139</v>
      </c>
      <c r="N2138" t="s">
        <v>1630</v>
      </c>
      <c r="O2138" s="4">
        <v>45694.7192939815</v>
      </c>
      <c r="P2138" t="s">
        <v>116</v>
      </c>
      <c r="R2138" t="s">
        <v>3975</v>
      </c>
      <c r="T2138" t="s">
        <v>116</v>
      </c>
    </row>
    <row r="2139" ht="25.5" customHeight="1" spans="1:20">
      <c r="A2139" t="s">
        <v>2064</v>
      </c>
      <c r="B2139" t="s">
        <v>65</v>
      </c>
      <c r="C2139" t="s">
        <v>4439</v>
      </c>
      <c r="D2139" s="3"/>
      <c r="E2139" s="2">
        <v>45681</v>
      </c>
      <c r="F2139">
        <v>347000</v>
      </c>
      <c r="G2139">
        <v>8507</v>
      </c>
      <c r="H2139">
        <v>276</v>
      </c>
      <c r="I2139">
        <v>3</v>
      </c>
      <c r="L2139" t="s">
        <v>3138</v>
      </c>
      <c r="M2139" t="s">
        <v>3139</v>
      </c>
      <c r="N2139" t="s">
        <v>1630</v>
      </c>
      <c r="O2139" s="4">
        <v>45681.5064467593</v>
      </c>
      <c r="P2139" t="s">
        <v>116</v>
      </c>
      <c r="R2139" t="s">
        <v>4061</v>
      </c>
      <c r="T2139" t="s">
        <v>116</v>
      </c>
    </row>
    <row r="2140" ht="25.5" customHeight="1" spans="1:20">
      <c r="A2140" t="s">
        <v>2064</v>
      </c>
      <c r="B2140" t="s">
        <v>65</v>
      </c>
      <c r="C2140" t="s">
        <v>4439</v>
      </c>
      <c r="D2140" s="3"/>
      <c r="E2140" s="2">
        <v>45683</v>
      </c>
      <c r="M2140" t="s">
        <v>3139</v>
      </c>
      <c r="N2140" t="s">
        <v>1630</v>
      </c>
      <c r="O2140" s="4">
        <v>45684.7861226852</v>
      </c>
      <c r="P2140" t="s">
        <v>116</v>
      </c>
      <c r="R2140" t="s">
        <v>3133</v>
      </c>
      <c r="T2140" t="s">
        <v>116</v>
      </c>
    </row>
    <row r="2141" ht="25.5" customHeight="1" spans="1:20">
      <c r="A2141" t="s">
        <v>2830</v>
      </c>
      <c r="B2141" t="s">
        <v>65</v>
      </c>
      <c r="C2141" t="s">
        <v>4440</v>
      </c>
      <c r="D2141" s="3" t="str">
        <f>HYPERLINK("https://www.instagram.com/elitesetup/reels/","https://www.instagram.com/elitesetup/reels/")</f>
        <v>https://www.instagram.com/elitesetup/reels/</v>
      </c>
      <c r="E2141" s="2">
        <v>45666</v>
      </c>
      <c r="F2141">
        <v>57900</v>
      </c>
      <c r="G2141">
        <v>1916</v>
      </c>
      <c r="H2141">
        <v>42</v>
      </c>
      <c r="I2141">
        <v>1</v>
      </c>
      <c r="L2141" t="s">
        <v>3138</v>
      </c>
      <c r="M2141" t="s">
        <v>3393</v>
      </c>
      <c r="N2141" t="s">
        <v>1630</v>
      </c>
      <c r="O2141" s="4">
        <v>45670.7896180556</v>
      </c>
      <c r="P2141" t="s">
        <v>116</v>
      </c>
      <c r="Q2141" t="s">
        <v>97</v>
      </c>
      <c r="R2141" t="s">
        <v>3516</v>
      </c>
      <c r="T2141" t="s">
        <v>116</v>
      </c>
    </row>
    <row r="2142" ht="25.5" customHeight="1" spans="1:20">
      <c r="A2142" t="s">
        <v>2830</v>
      </c>
      <c r="B2142" t="s">
        <v>65</v>
      </c>
      <c r="C2142" t="s">
        <v>4440</v>
      </c>
      <c r="D2142" s="3"/>
      <c r="E2142" s="2">
        <v>45671</v>
      </c>
      <c r="F2142">
        <v>57800</v>
      </c>
      <c r="G2142">
        <v>1973</v>
      </c>
      <c r="H2142">
        <v>44</v>
      </c>
      <c r="I2142">
        <v>1</v>
      </c>
      <c r="L2142" t="s">
        <v>3138</v>
      </c>
      <c r="M2142" t="s">
        <v>3393</v>
      </c>
      <c r="N2142" t="s">
        <v>1630</v>
      </c>
      <c r="O2142" s="4">
        <v>45672.5030092593</v>
      </c>
      <c r="P2142" t="s">
        <v>116</v>
      </c>
      <c r="Q2142" t="s">
        <v>97</v>
      </c>
      <c r="R2142" t="s">
        <v>3508</v>
      </c>
      <c r="T2142" t="s">
        <v>116</v>
      </c>
    </row>
    <row r="2143" ht="25.5" customHeight="1" spans="1:20">
      <c r="A2143" t="s">
        <v>2830</v>
      </c>
      <c r="B2143" t="s">
        <v>65</v>
      </c>
      <c r="C2143" t="s">
        <v>4440</v>
      </c>
      <c r="D2143" s="3"/>
      <c r="E2143" s="2">
        <v>45672</v>
      </c>
      <c r="F2143">
        <v>57900</v>
      </c>
      <c r="G2143">
        <v>2004</v>
      </c>
      <c r="H2143">
        <v>45</v>
      </c>
      <c r="I2143">
        <v>1</v>
      </c>
      <c r="L2143" t="s">
        <v>3138</v>
      </c>
      <c r="M2143" t="s">
        <v>3393</v>
      </c>
      <c r="N2143" t="s">
        <v>1630</v>
      </c>
      <c r="O2143" s="4">
        <v>45672.5130324074</v>
      </c>
      <c r="P2143" t="s">
        <v>116</v>
      </c>
      <c r="Q2143" t="s">
        <v>97</v>
      </c>
      <c r="R2143" t="s">
        <v>3175</v>
      </c>
      <c r="T2143" t="s">
        <v>116</v>
      </c>
    </row>
    <row r="2144" ht="25.5" customHeight="1" spans="1:20">
      <c r="A2144" t="s">
        <v>2830</v>
      </c>
      <c r="B2144" t="s">
        <v>65</v>
      </c>
      <c r="C2144" t="s">
        <v>4440</v>
      </c>
      <c r="D2144" s="3"/>
      <c r="E2144" s="2">
        <v>45673</v>
      </c>
      <c r="F2144">
        <v>57800</v>
      </c>
      <c r="G2144">
        <v>2048</v>
      </c>
      <c r="H2144">
        <v>46</v>
      </c>
      <c r="I2144">
        <v>1</v>
      </c>
      <c r="L2144" t="s">
        <v>3138</v>
      </c>
      <c r="M2144" t="s">
        <v>3393</v>
      </c>
      <c r="N2144" t="s">
        <v>1630</v>
      </c>
      <c r="O2144" s="4">
        <v>45673.5028009259</v>
      </c>
      <c r="P2144" t="s">
        <v>116</v>
      </c>
      <c r="Q2144" t="s">
        <v>97</v>
      </c>
      <c r="R2144" t="s">
        <v>3173</v>
      </c>
      <c r="T2144" t="s">
        <v>116</v>
      </c>
    </row>
    <row r="2145" ht="25.5" customHeight="1" spans="1:20">
      <c r="A2145" t="s">
        <v>2830</v>
      </c>
      <c r="B2145" t="s">
        <v>65</v>
      </c>
      <c r="C2145" t="s">
        <v>4440</v>
      </c>
      <c r="D2145" s="3"/>
      <c r="E2145" s="2">
        <v>45674</v>
      </c>
      <c r="F2145">
        <v>57800</v>
      </c>
      <c r="G2145">
        <v>2103</v>
      </c>
      <c r="H2145">
        <v>48</v>
      </c>
      <c r="I2145">
        <v>1</v>
      </c>
      <c r="L2145" t="s">
        <v>3138</v>
      </c>
      <c r="M2145" t="s">
        <v>3393</v>
      </c>
      <c r="N2145" t="s">
        <v>1630</v>
      </c>
      <c r="O2145" s="4">
        <v>45674.6464814815</v>
      </c>
      <c r="P2145" t="s">
        <v>116</v>
      </c>
      <c r="Q2145" t="s">
        <v>97</v>
      </c>
      <c r="R2145" t="s">
        <v>3177</v>
      </c>
      <c r="T2145" t="s">
        <v>116</v>
      </c>
    </row>
    <row r="2146" ht="25.5" customHeight="1" spans="1:20">
      <c r="A2146" t="s">
        <v>2830</v>
      </c>
      <c r="B2146" t="s">
        <v>65</v>
      </c>
      <c r="C2146" t="s">
        <v>4440</v>
      </c>
      <c r="D2146" s="3"/>
      <c r="E2146" s="2">
        <v>45677</v>
      </c>
      <c r="F2146">
        <v>57800</v>
      </c>
      <c r="G2146">
        <v>2203</v>
      </c>
      <c r="H2146">
        <v>48</v>
      </c>
      <c r="I2146">
        <v>1</v>
      </c>
      <c r="L2146" t="s">
        <v>3138</v>
      </c>
      <c r="M2146" t="s">
        <v>3393</v>
      </c>
      <c r="N2146" t="s">
        <v>1630</v>
      </c>
      <c r="O2146" s="4">
        <v>45677.4122453704</v>
      </c>
      <c r="P2146" t="s">
        <v>116</v>
      </c>
      <c r="Q2146" t="s">
        <v>97</v>
      </c>
      <c r="R2146" t="s">
        <v>3177</v>
      </c>
      <c r="T2146" t="s">
        <v>116</v>
      </c>
    </row>
    <row r="2147" ht="25.5" customHeight="1" spans="1:20">
      <c r="A2147" t="s">
        <v>2830</v>
      </c>
      <c r="B2147" t="s">
        <v>65</v>
      </c>
      <c r="C2147" t="s">
        <v>4440</v>
      </c>
      <c r="D2147" s="3"/>
      <c r="E2147" s="2">
        <v>45678</v>
      </c>
      <c r="F2147">
        <v>57800</v>
      </c>
      <c r="G2147">
        <v>2223</v>
      </c>
      <c r="H2147">
        <v>48</v>
      </c>
      <c r="I2147">
        <v>1</v>
      </c>
      <c r="L2147" t="s">
        <v>3138</v>
      </c>
      <c r="M2147" t="s">
        <v>3393</v>
      </c>
      <c r="N2147" t="s">
        <v>1630</v>
      </c>
      <c r="O2147" s="4">
        <v>45678.5114467593</v>
      </c>
      <c r="P2147" t="s">
        <v>116</v>
      </c>
      <c r="Q2147" t="s">
        <v>97</v>
      </c>
      <c r="R2147" t="s">
        <v>3177</v>
      </c>
      <c r="T2147" t="s">
        <v>116</v>
      </c>
    </row>
    <row r="2148" ht="25.5" customHeight="1" spans="1:20">
      <c r="A2148" t="s">
        <v>2830</v>
      </c>
      <c r="B2148" t="s">
        <v>65</v>
      </c>
      <c r="C2148" t="s">
        <v>4440</v>
      </c>
      <c r="D2148" s="3"/>
      <c r="E2148" s="2">
        <v>45679</v>
      </c>
      <c r="F2148">
        <v>57800</v>
      </c>
      <c r="G2148">
        <v>2255</v>
      </c>
      <c r="H2148">
        <v>49</v>
      </c>
      <c r="I2148">
        <v>1</v>
      </c>
      <c r="L2148" t="s">
        <v>3138</v>
      </c>
      <c r="M2148" t="s">
        <v>3393</v>
      </c>
      <c r="N2148" t="s">
        <v>1630</v>
      </c>
      <c r="O2148" s="4">
        <v>45679.6714583333</v>
      </c>
      <c r="P2148" t="s">
        <v>116</v>
      </c>
      <c r="Q2148" t="s">
        <v>97</v>
      </c>
      <c r="R2148" t="s">
        <v>3176</v>
      </c>
      <c r="T2148" t="s">
        <v>116</v>
      </c>
    </row>
    <row r="2149" ht="25.5" customHeight="1" spans="1:20">
      <c r="A2149" t="s">
        <v>2830</v>
      </c>
      <c r="B2149" t="s">
        <v>65</v>
      </c>
      <c r="C2149" t="s">
        <v>4440</v>
      </c>
      <c r="D2149" s="3"/>
      <c r="E2149" s="2">
        <v>45680</v>
      </c>
      <c r="F2149">
        <v>57800</v>
      </c>
      <c r="G2149">
        <v>2267</v>
      </c>
      <c r="H2149">
        <v>49</v>
      </c>
      <c r="I2149">
        <v>1</v>
      </c>
      <c r="L2149" t="s">
        <v>3138</v>
      </c>
      <c r="M2149" t="s">
        <v>3393</v>
      </c>
      <c r="N2149" t="s">
        <v>1630</v>
      </c>
      <c r="O2149" s="4">
        <v>45680.6187037037</v>
      </c>
      <c r="P2149" t="s">
        <v>116</v>
      </c>
      <c r="Q2149" t="s">
        <v>97</v>
      </c>
      <c r="R2149" t="s">
        <v>3176</v>
      </c>
      <c r="T2149" t="s">
        <v>116</v>
      </c>
    </row>
    <row r="2150" ht="25.5" customHeight="1" spans="1:20">
      <c r="A2150" t="s">
        <v>2830</v>
      </c>
      <c r="B2150" t="s">
        <v>65</v>
      </c>
      <c r="C2150" t="s">
        <v>4440</v>
      </c>
      <c r="D2150" s="3"/>
      <c r="E2150" s="2">
        <v>45680</v>
      </c>
      <c r="F2150">
        <v>57800</v>
      </c>
      <c r="G2150">
        <v>2268</v>
      </c>
      <c r="H2150">
        <v>49</v>
      </c>
      <c r="I2150">
        <v>1</v>
      </c>
      <c r="L2150" t="s">
        <v>3138</v>
      </c>
      <c r="M2150" t="s">
        <v>3393</v>
      </c>
      <c r="N2150" t="s">
        <v>1630</v>
      </c>
      <c r="O2150" s="4">
        <v>45680.6212615741</v>
      </c>
      <c r="P2150" t="s">
        <v>116</v>
      </c>
      <c r="Q2150" t="s">
        <v>97</v>
      </c>
      <c r="R2150" t="s">
        <v>3176</v>
      </c>
      <c r="T2150" t="s">
        <v>116</v>
      </c>
    </row>
    <row r="2151" ht="25.5" customHeight="1" spans="1:20">
      <c r="A2151" t="s">
        <v>2830</v>
      </c>
      <c r="B2151" t="s">
        <v>65</v>
      </c>
      <c r="C2151" t="s">
        <v>4440</v>
      </c>
      <c r="D2151" s="3"/>
      <c r="E2151" s="2">
        <v>45681</v>
      </c>
      <c r="F2151">
        <v>57800</v>
      </c>
      <c r="G2151">
        <v>2275</v>
      </c>
      <c r="H2151">
        <v>49</v>
      </c>
      <c r="I2151">
        <v>1</v>
      </c>
      <c r="L2151" t="s">
        <v>3138</v>
      </c>
      <c r="M2151" t="s">
        <v>3393</v>
      </c>
      <c r="N2151" t="s">
        <v>1630</v>
      </c>
      <c r="O2151" s="4">
        <v>45681.5071759259</v>
      </c>
      <c r="P2151" t="s">
        <v>116</v>
      </c>
      <c r="Q2151" t="s">
        <v>97</v>
      </c>
      <c r="R2151" t="s">
        <v>3176</v>
      </c>
      <c r="T2151" t="s">
        <v>116</v>
      </c>
    </row>
    <row r="2152" ht="25.5" customHeight="1" spans="1:20">
      <c r="A2152" t="s">
        <v>2830</v>
      </c>
      <c r="B2152" t="s">
        <v>65</v>
      </c>
      <c r="C2152" t="s">
        <v>4440</v>
      </c>
      <c r="D2152" s="3"/>
      <c r="E2152" s="2">
        <v>45683</v>
      </c>
      <c r="F2152">
        <v>57800</v>
      </c>
      <c r="G2152">
        <v>2296</v>
      </c>
      <c r="H2152">
        <v>49</v>
      </c>
      <c r="I2152">
        <v>1</v>
      </c>
      <c r="L2152" t="s">
        <v>3138</v>
      </c>
      <c r="M2152" t="s">
        <v>3393</v>
      </c>
      <c r="N2152" t="s">
        <v>1630</v>
      </c>
      <c r="O2152" s="4">
        <v>45683.7388541667</v>
      </c>
      <c r="P2152" t="s">
        <v>116</v>
      </c>
      <c r="Q2152" t="s">
        <v>97</v>
      </c>
      <c r="R2152" t="s">
        <v>3176</v>
      </c>
      <c r="T2152" t="s">
        <v>116</v>
      </c>
    </row>
    <row r="2153" ht="25.5" customHeight="1" spans="1:20">
      <c r="A2153" t="s">
        <v>2830</v>
      </c>
      <c r="B2153" t="s">
        <v>65</v>
      </c>
      <c r="C2153" t="s">
        <v>4440</v>
      </c>
      <c r="D2153" s="3"/>
      <c r="E2153" s="2">
        <v>45684</v>
      </c>
      <c r="F2153">
        <v>57800</v>
      </c>
      <c r="G2153">
        <v>2306</v>
      </c>
      <c r="H2153">
        <v>49</v>
      </c>
      <c r="I2153">
        <v>1</v>
      </c>
      <c r="L2153" t="s">
        <v>3138</v>
      </c>
      <c r="M2153" t="s">
        <v>3393</v>
      </c>
      <c r="N2153" t="s">
        <v>1630</v>
      </c>
      <c r="O2153" s="4">
        <v>45684.7869907407</v>
      </c>
      <c r="P2153" t="s">
        <v>116</v>
      </c>
      <c r="Q2153" t="s">
        <v>97</v>
      </c>
      <c r="R2153" t="s">
        <v>3176</v>
      </c>
      <c r="T2153" t="s">
        <v>116</v>
      </c>
    </row>
    <row r="2154" ht="25.5" customHeight="1" spans="1:20">
      <c r="A2154" t="s">
        <v>2830</v>
      </c>
      <c r="B2154" t="s">
        <v>65</v>
      </c>
      <c r="C2154" t="s">
        <v>4440</v>
      </c>
      <c r="D2154" s="3"/>
      <c r="E2154" s="2">
        <v>45693</v>
      </c>
      <c r="F2154">
        <v>57800</v>
      </c>
      <c r="G2154">
        <v>2389</v>
      </c>
      <c r="H2154">
        <v>49</v>
      </c>
      <c r="I2154">
        <v>1</v>
      </c>
      <c r="L2154" t="s">
        <v>3138</v>
      </c>
      <c r="M2154" t="s">
        <v>3393</v>
      </c>
      <c r="N2154" t="s">
        <v>1630</v>
      </c>
      <c r="O2154" s="4">
        <v>45693.78625</v>
      </c>
      <c r="P2154" t="s">
        <v>116</v>
      </c>
      <c r="Q2154" t="s">
        <v>97</v>
      </c>
      <c r="R2154" t="s">
        <v>3176</v>
      </c>
      <c r="T2154" t="s">
        <v>116</v>
      </c>
    </row>
    <row r="2155" ht="25.5" customHeight="1" spans="1:20">
      <c r="A2155" t="s">
        <v>2830</v>
      </c>
      <c r="B2155" t="s">
        <v>65</v>
      </c>
      <c r="C2155" t="s">
        <v>4440</v>
      </c>
      <c r="D2155" s="3"/>
      <c r="E2155" s="2">
        <v>45694</v>
      </c>
      <c r="F2155">
        <v>57800</v>
      </c>
      <c r="G2155">
        <v>2395</v>
      </c>
      <c r="H2155">
        <v>49</v>
      </c>
      <c r="I2155">
        <v>1</v>
      </c>
      <c r="L2155" t="s">
        <v>3138</v>
      </c>
      <c r="M2155" t="s">
        <v>3393</v>
      </c>
      <c r="N2155" t="s">
        <v>1630</v>
      </c>
      <c r="O2155" s="4">
        <v>45698.6216782407</v>
      </c>
      <c r="P2155" t="s">
        <v>116</v>
      </c>
      <c r="Q2155" t="s">
        <v>97</v>
      </c>
      <c r="R2155" t="s">
        <v>3176</v>
      </c>
      <c r="S2155" t="s">
        <v>3180</v>
      </c>
      <c r="T2155" t="s">
        <v>116</v>
      </c>
    </row>
    <row r="2156" ht="25.5" customHeight="1" spans="1:20">
      <c r="A2156" t="s">
        <v>2830</v>
      </c>
      <c r="B2156" t="s">
        <v>65</v>
      </c>
      <c r="C2156" t="s">
        <v>4440</v>
      </c>
      <c r="D2156" s="3"/>
      <c r="E2156" s="2">
        <v>45695</v>
      </c>
      <c r="F2156">
        <v>57800</v>
      </c>
      <c r="G2156">
        <v>2403</v>
      </c>
      <c r="H2156">
        <v>49</v>
      </c>
      <c r="I2156">
        <v>1</v>
      </c>
      <c r="L2156" t="s">
        <v>3138</v>
      </c>
      <c r="M2156" t="s">
        <v>3393</v>
      </c>
      <c r="N2156" t="s">
        <v>1630</v>
      </c>
      <c r="O2156" s="4">
        <v>45695.5012731481</v>
      </c>
      <c r="P2156" t="s">
        <v>116</v>
      </c>
      <c r="Q2156" t="s">
        <v>97</v>
      </c>
      <c r="R2156" t="s">
        <v>3176</v>
      </c>
      <c r="T2156" t="s">
        <v>116</v>
      </c>
    </row>
    <row r="2157" ht="25.5" customHeight="1" spans="1:20">
      <c r="A2157" t="s">
        <v>2794</v>
      </c>
      <c r="B2157" t="s">
        <v>56</v>
      </c>
      <c r="C2157" t="s">
        <v>4441</v>
      </c>
      <c r="D2157" s="3" t="str">
        <f>HYPERLINK("https://www.tiktok.com/@elpakkun","https://www.tiktok.com/@elpakkun")</f>
        <v>https://www.tiktok.com/@elpakkun</v>
      </c>
      <c r="E2157" s="2">
        <v>45666</v>
      </c>
      <c r="F2157">
        <v>453900</v>
      </c>
      <c r="G2157">
        <v>13600</v>
      </c>
      <c r="H2157">
        <v>907</v>
      </c>
      <c r="I2157">
        <v>25</v>
      </c>
      <c r="J2157">
        <v>96</v>
      </c>
      <c r="K2157">
        <v>67</v>
      </c>
      <c r="L2157" t="s">
        <v>3248</v>
      </c>
      <c r="M2157" t="s">
        <v>3666</v>
      </c>
      <c r="N2157" t="s">
        <v>1630</v>
      </c>
      <c r="O2157" s="4">
        <v>45670.8661226852</v>
      </c>
      <c r="P2157" t="s">
        <v>57</v>
      </c>
      <c r="Q2157" t="s">
        <v>97</v>
      </c>
      <c r="R2157" t="s">
        <v>3199</v>
      </c>
      <c r="T2157" t="s">
        <v>57</v>
      </c>
    </row>
    <row r="2158" ht="25.5" customHeight="1" spans="1:20">
      <c r="A2158" t="s">
        <v>2794</v>
      </c>
      <c r="B2158" t="s">
        <v>56</v>
      </c>
      <c r="C2158" t="s">
        <v>4441</v>
      </c>
      <c r="D2158" s="3"/>
      <c r="E2158" s="2">
        <v>45671</v>
      </c>
      <c r="F2158">
        <v>457800</v>
      </c>
      <c r="G2158">
        <v>13700</v>
      </c>
      <c r="H2158">
        <v>908</v>
      </c>
      <c r="I2158">
        <v>25</v>
      </c>
      <c r="J2158">
        <v>96</v>
      </c>
      <c r="K2158">
        <v>67</v>
      </c>
      <c r="L2158" t="s">
        <v>3248</v>
      </c>
      <c r="M2158" t="s">
        <v>3666</v>
      </c>
      <c r="N2158" t="s">
        <v>1630</v>
      </c>
      <c r="O2158" s="4">
        <v>45672.5030092593</v>
      </c>
      <c r="P2158" t="s">
        <v>57</v>
      </c>
      <c r="Q2158" t="s">
        <v>97</v>
      </c>
      <c r="R2158" t="s">
        <v>4442</v>
      </c>
      <c r="T2158" t="s">
        <v>57</v>
      </c>
    </row>
    <row r="2159" ht="25.5" customHeight="1" spans="1:20">
      <c r="A2159" t="s">
        <v>2794</v>
      </c>
      <c r="B2159" t="s">
        <v>56</v>
      </c>
      <c r="C2159" t="s">
        <v>4441</v>
      </c>
      <c r="D2159" s="3"/>
      <c r="E2159" s="2">
        <v>45672</v>
      </c>
      <c r="F2159">
        <v>459600</v>
      </c>
      <c r="G2159">
        <v>13800</v>
      </c>
      <c r="H2159">
        <v>911</v>
      </c>
      <c r="I2159">
        <v>25</v>
      </c>
      <c r="J2159">
        <v>96</v>
      </c>
      <c r="K2159">
        <v>67</v>
      </c>
      <c r="L2159" t="s">
        <v>3248</v>
      </c>
      <c r="M2159" t="s">
        <v>3666</v>
      </c>
      <c r="N2159" t="s">
        <v>1630</v>
      </c>
      <c r="O2159" s="4">
        <v>45672.5331365741</v>
      </c>
      <c r="P2159" t="s">
        <v>57</v>
      </c>
      <c r="Q2159" t="s">
        <v>97</v>
      </c>
      <c r="R2159" t="s">
        <v>4412</v>
      </c>
      <c r="T2159" t="s">
        <v>57</v>
      </c>
    </row>
    <row r="2160" ht="25.5" customHeight="1" spans="1:20">
      <c r="A2160" t="s">
        <v>2794</v>
      </c>
      <c r="B2160" t="s">
        <v>56</v>
      </c>
      <c r="C2160" t="s">
        <v>4441</v>
      </c>
      <c r="D2160" s="3"/>
      <c r="E2160" s="2">
        <v>45673</v>
      </c>
      <c r="F2160">
        <v>461400</v>
      </c>
      <c r="G2160">
        <v>13800</v>
      </c>
      <c r="H2160">
        <v>913</v>
      </c>
      <c r="I2160">
        <v>25</v>
      </c>
      <c r="J2160">
        <v>97</v>
      </c>
      <c r="K2160">
        <v>67</v>
      </c>
      <c r="L2160" t="s">
        <v>3248</v>
      </c>
      <c r="M2160" t="s">
        <v>3666</v>
      </c>
      <c r="N2160" t="s">
        <v>1630</v>
      </c>
      <c r="O2160" s="4">
        <v>45673.6241666667</v>
      </c>
      <c r="P2160" t="s">
        <v>57</v>
      </c>
      <c r="Q2160" t="s">
        <v>97</v>
      </c>
      <c r="R2160" t="s">
        <v>4443</v>
      </c>
      <c r="T2160" t="s">
        <v>57</v>
      </c>
    </row>
    <row r="2161" ht="25.5" customHeight="1" spans="1:20">
      <c r="A2161" t="s">
        <v>2794</v>
      </c>
      <c r="B2161" t="s">
        <v>56</v>
      </c>
      <c r="C2161" t="s">
        <v>4441</v>
      </c>
      <c r="D2161" s="3"/>
      <c r="E2161" s="2">
        <v>45674</v>
      </c>
      <c r="F2161">
        <v>462500</v>
      </c>
      <c r="G2161">
        <v>13800</v>
      </c>
      <c r="H2161">
        <v>913</v>
      </c>
      <c r="I2161">
        <v>25</v>
      </c>
      <c r="J2161">
        <v>97</v>
      </c>
      <c r="K2161">
        <v>67</v>
      </c>
      <c r="L2161" t="s">
        <v>3248</v>
      </c>
      <c r="M2161" t="s">
        <v>3666</v>
      </c>
      <c r="N2161" t="s">
        <v>1630</v>
      </c>
      <c r="O2161" s="4">
        <v>45674.679537037</v>
      </c>
      <c r="P2161" t="s">
        <v>57</v>
      </c>
      <c r="Q2161" t="s">
        <v>97</v>
      </c>
      <c r="R2161" t="s">
        <v>4443</v>
      </c>
      <c r="T2161" t="s">
        <v>57</v>
      </c>
    </row>
    <row r="2162" ht="25.5" customHeight="1" spans="1:20">
      <c r="A2162" t="s">
        <v>2794</v>
      </c>
      <c r="B2162" t="s">
        <v>56</v>
      </c>
      <c r="C2162" t="s">
        <v>4441</v>
      </c>
      <c r="D2162" s="3"/>
      <c r="E2162" s="2">
        <v>45677</v>
      </c>
      <c r="F2162">
        <v>464600</v>
      </c>
      <c r="G2162">
        <v>13900</v>
      </c>
      <c r="H2162">
        <v>913</v>
      </c>
      <c r="I2162">
        <v>25</v>
      </c>
      <c r="J2162">
        <v>99</v>
      </c>
      <c r="K2162">
        <v>67</v>
      </c>
      <c r="L2162" t="s">
        <v>3248</v>
      </c>
      <c r="M2162" t="s">
        <v>3666</v>
      </c>
      <c r="N2162" t="s">
        <v>1630</v>
      </c>
      <c r="O2162" s="4">
        <v>45677.4387268519</v>
      </c>
      <c r="P2162" t="s">
        <v>57</v>
      </c>
      <c r="Q2162" t="s">
        <v>97</v>
      </c>
      <c r="R2162" t="s">
        <v>4444</v>
      </c>
      <c r="T2162" t="s">
        <v>57</v>
      </c>
    </row>
    <row r="2163" ht="25.5" customHeight="1" spans="1:20">
      <c r="A2163" t="s">
        <v>2794</v>
      </c>
      <c r="B2163" t="s">
        <v>56</v>
      </c>
      <c r="C2163" t="s">
        <v>4441</v>
      </c>
      <c r="D2163" s="3"/>
      <c r="E2163" s="2">
        <v>45678</v>
      </c>
      <c r="F2163">
        <v>467300</v>
      </c>
      <c r="G2163">
        <v>14000</v>
      </c>
      <c r="H2163">
        <v>914</v>
      </c>
      <c r="I2163">
        <v>25</v>
      </c>
      <c r="J2163">
        <v>99</v>
      </c>
      <c r="K2163">
        <v>67</v>
      </c>
      <c r="L2163" t="s">
        <v>3248</v>
      </c>
      <c r="M2163" t="s">
        <v>3666</v>
      </c>
      <c r="N2163" t="s">
        <v>1630</v>
      </c>
      <c r="O2163" s="4">
        <v>45678.6612384259</v>
      </c>
      <c r="P2163" t="s">
        <v>57</v>
      </c>
      <c r="Q2163" t="s">
        <v>97</v>
      </c>
      <c r="R2163" t="s">
        <v>4445</v>
      </c>
      <c r="T2163" t="s">
        <v>57</v>
      </c>
    </row>
    <row r="2164" ht="25.5" customHeight="1" spans="1:20">
      <c r="A2164" t="s">
        <v>2794</v>
      </c>
      <c r="B2164" t="s">
        <v>56</v>
      </c>
      <c r="C2164" t="s">
        <v>4441</v>
      </c>
      <c r="D2164" s="3"/>
      <c r="E2164" s="2">
        <v>45679</v>
      </c>
      <c r="F2164">
        <v>469500</v>
      </c>
      <c r="G2164">
        <v>14000</v>
      </c>
      <c r="H2164">
        <v>914</v>
      </c>
      <c r="I2164">
        <v>25</v>
      </c>
      <c r="J2164">
        <v>99</v>
      </c>
      <c r="K2164">
        <v>67</v>
      </c>
      <c r="L2164" t="s">
        <v>3248</v>
      </c>
      <c r="M2164" t="s">
        <v>3666</v>
      </c>
      <c r="N2164" t="s">
        <v>1630</v>
      </c>
      <c r="O2164" s="4">
        <v>45679.7014467593</v>
      </c>
      <c r="P2164" t="s">
        <v>57</v>
      </c>
      <c r="Q2164" t="s">
        <v>97</v>
      </c>
      <c r="R2164" t="s">
        <v>4445</v>
      </c>
      <c r="T2164" t="s">
        <v>57</v>
      </c>
    </row>
    <row r="2165" ht="25.5" customHeight="1" spans="1:20">
      <c r="A2165" t="s">
        <v>2794</v>
      </c>
      <c r="B2165" t="s">
        <v>56</v>
      </c>
      <c r="C2165" t="s">
        <v>4441</v>
      </c>
      <c r="D2165" s="3"/>
      <c r="E2165" s="2">
        <v>45680</v>
      </c>
      <c r="F2165">
        <v>471100</v>
      </c>
      <c r="G2165">
        <v>14100</v>
      </c>
      <c r="H2165">
        <v>914</v>
      </c>
      <c r="I2165">
        <v>25</v>
      </c>
      <c r="J2165">
        <v>99</v>
      </c>
      <c r="K2165">
        <v>67</v>
      </c>
      <c r="L2165" t="s">
        <v>3248</v>
      </c>
      <c r="M2165" t="s">
        <v>3666</v>
      </c>
      <c r="N2165" t="s">
        <v>1630</v>
      </c>
      <c r="O2165" s="4">
        <v>45680.6628819444</v>
      </c>
      <c r="P2165" t="s">
        <v>57</v>
      </c>
      <c r="Q2165" t="s">
        <v>97</v>
      </c>
      <c r="R2165" t="s">
        <v>4445</v>
      </c>
      <c r="T2165" t="s">
        <v>57</v>
      </c>
    </row>
    <row r="2166" ht="25.5" customHeight="1" spans="1:20">
      <c r="A2166" t="s">
        <v>2794</v>
      </c>
      <c r="B2166" t="s">
        <v>56</v>
      </c>
      <c r="C2166" t="s">
        <v>4441</v>
      </c>
      <c r="D2166" s="3"/>
      <c r="E2166" s="2">
        <v>45681</v>
      </c>
      <c r="F2166">
        <v>472500</v>
      </c>
      <c r="G2166">
        <v>14100</v>
      </c>
      <c r="H2166">
        <v>914</v>
      </c>
      <c r="I2166">
        <v>25</v>
      </c>
      <c r="J2166">
        <v>99</v>
      </c>
      <c r="K2166">
        <v>67</v>
      </c>
      <c r="L2166" t="s">
        <v>3248</v>
      </c>
      <c r="M2166" t="s">
        <v>3666</v>
      </c>
      <c r="N2166" t="s">
        <v>1630</v>
      </c>
      <c r="O2166" s="4">
        <v>45681.6493402778</v>
      </c>
      <c r="P2166" t="s">
        <v>57</v>
      </c>
      <c r="Q2166" t="s">
        <v>97</v>
      </c>
      <c r="R2166" t="s">
        <v>4445</v>
      </c>
      <c r="T2166" t="s">
        <v>57</v>
      </c>
    </row>
    <row r="2167" ht="25.5" customHeight="1" spans="1:20">
      <c r="A2167" t="s">
        <v>2794</v>
      </c>
      <c r="B2167" t="s">
        <v>56</v>
      </c>
      <c r="C2167" t="s">
        <v>4441</v>
      </c>
      <c r="D2167" s="3"/>
      <c r="E2167" s="2">
        <v>45683</v>
      </c>
      <c r="F2167">
        <v>474600</v>
      </c>
      <c r="G2167">
        <v>14200</v>
      </c>
      <c r="H2167">
        <v>916</v>
      </c>
      <c r="I2167">
        <v>25</v>
      </c>
      <c r="J2167">
        <v>99</v>
      </c>
      <c r="K2167">
        <v>67</v>
      </c>
      <c r="L2167" t="s">
        <v>3248</v>
      </c>
      <c r="M2167" t="s">
        <v>3666</v>
      </c>
      <c r="N2167" t="s">
        <v>1630</v>
      </c>
      <c r="O2167" s="4">
        <v>45683.7892824074</v>
      </c>
      <c r="P2167" t="s">
        <v>57</v>
      </c>
      <c r="Q2167" t="s">
        <v>97</v>
      </c>
      <c r="R2167" t="s">
        <v>4446</v>
      </c>
      <c r="T2167" t="s">
        <v>57</v>
      </c>
    </row>
    <row r="2168" ht="25.5" customHeight="1" spans="1:20">
      <c r="A2168" t="s">
        <v>2794</v>
      </c>
      <c r="B2168" t="s">
        <v>56</v>
      </c>
      <c r="C2168" t="s">
        <v>4441</v>
      </c>
      <c r="D2168" s="3"/>
      <c r="E2168" s="2">
        <v>45684</v>
      </c>
      <c r="F2168">
        <v>475900</v>
      </c>
      <c r="G2168">
        <v>14300</v>
      </c>
      <c r="H2168">
        <v>916</v>
      </c>
      <c r="I2168">
        <v>25</v>
      </c>
      <c r="J2168">
        <v>99</v>
      </c>
      <c r="K2168">
        <v>67</v>
      </c>
      <c r="L2168" t="s">
        <v>3248</v>
      </c>
      <c r="M2168" t="s">
        <v>3666</v>
      </c>
      <c r="N2168" t="s">
        <v>1630</v>
      </c>
      <c r="O2168" s="4">
        <v>45684.8670601852</v>
      </c>
      <c r="P2168" t="s">
        <v>57</v>
      </c>
      <c r="Q2168" t="s">
        <v>97</v>
      </c>
      <c r="R2168" t="s">
        <v>4446</v>
      </c>
      <c r="T2168" t="s">
        <v>57</v>
      </c>
    </row>
    <row r="2169" ht="25.5" customHeight="1" spans="1:20">
      <c r="A2169" t="s">
        <v>2794</v>
      </c>
      <c r="B2169" t="s">
        <v>56</v>
      </c>
      <c r="C2169" t="s">
        <v>4441</v>
      </c>
      <c r="D2169" s="3"/>
      <c r="E2169" s="2">
        <v>45693</v>
      </c>
      <c r="F2169">
        <v>487500</v>
      </c>
      <c r="G2169">
        <v>14400</v>
      </c>
      <c r="H2169">
        <v>917</v>
      </c>
      <c r="I2169">
        <v>25</v>
      </c>
      <c r="J2169">
        <v>99</v>
      </c>
      <c r="K2169">
        <v>67</v>
      </c>
      <c r="L2169" t="s">
        <v>3248</v>
      </c>
      <c r="M2169" t="s">
        <v>3666</v>
      </c>
      <c r="N2169" t="s">
        <v>1630</v>
      </c>
      <c r="O2169" s="4">
        <v>45693.8311921296</v>
      </c>
      <c r="P2169" t="s">
        <v>57</v>
      </c>
      <c r="Q2169" t="s">
        <v>97</v>
      </c>
      <c r="R2169" t="s">
        <v>4447</v>
      </c>
      <c r="T2169" t="s">
        <v>57</v>
      </c>
    </row>
    <row r="2170" ht="25.5" customHeight="1" spans="1:20">
      <c r="A2170" t="s">
        <v>2794</v>
      </c>
      <c r="B2170" t="s">
        <v>56</v>
      </c>
      <c r="C2170" t="s">
        <v>4441</v>
      </c>
      <c r="D2170" s="3"/>
      <c r="E2170" s="2">
        <v>45694</v>
      </c>
      <c r="F2170">
        <v>487700</v>
      </c>
      <c r="G2170">
        <v>14400</v>
      </c>
      <c r="H2170">
        <v>917</v>
      </c>
      <c r="I2170">
        <v>25</v>
      </c>
      <c r="J2170">
        <v>99</v>
      </c>
      <c r="K2170">
        <v>67</v>
      </c>
      <c r="L2170" t="s">
        <v>3248</v>
      </c>
      <c r="M2170" t="s">
        <v>3666</v>
      </c>
      <c r="N2170" t="s">
        <v>1630</v>
      </c>
      <c r="O2170" s="4">
        <v>45698.6216782407</v>
      </c>
      <c r="P2170" t="s">
        <v>57</v>
      </c>
      <c r="Q2170" t="s">
        <v>97</v>
      </c>
      <c r="R2170" t="s">
        <v>4447</v>
      </c>
      <c r="S2170" t="s">
        <v>3245</v>
      </c>
      <c r="T2170" t="s">
        <v>57</v>
      </c>
    </row>
    <row r="2171" ht="25.5" customHeight="1" spans="1:20">
      <c r="A2171" t="s">
        <v>3111</v>
      </c>
      <c r="B2171" t="s">
        <v>65</v>
      </c>
      <c r="C2171" t="s">
        <v>4448</v>
      </c>
      <c r="D2171" s="3" t="str">
        <f>HYPERLINK("https://www.instagram.com/forgoodcode/","https://www.instagram.com/forgoodcode/")</f>
        <v>https://www.instagram.com/forgoodcode/</v>
      </c>
      <c r="E2171" s="2">
        <v>45669</v>
      </c>
      <c r="F2171">
        <v>1800000</v>
      </c>
      <c r="G2171">
        <v>236722</v>
      </c>
      <c r="H2171">
        <v>3691</v>
      </c>
      <c r="I2171">
        <v>70</v>
      </c>
      <c r="J2171">
        <v>9400</v>
      </c>
      <c r="K2171">
        <v>2400</v>
      </c>
      <c r="L2171" t="s">
        <v>3138</v>
      </c>
      <c r="N2171" t="s">
        <v>1630</v>
      </c>
      <c r="O2171" s="4">
        <v>45695.4299421296</v>
      </c>
      <c r="P2171" t="s">
        <v>66</v>
      </c>
      <c r="Q2171" t="s">
        <v>1631</v>
      </c>
      <c r="R2171" t="s">
        <v>4449</v>
      </c>
      <c r="T2171" t="s">
        <v>66</v>
      </c>
    </row>
    <row r="2172" ht="25.5" customHeight="1" spans="1:20">
      <c r="A2172" t="s">
        <v>3111</v>
      </c>
      <c r="B2172" t="s">
        <v>65</v>
      </c>
      <c r="C2172" t="s">
        <v>4448</v>
      </c>
      <c r="D2172" s="3"/>
      <c r="E2172" s="2">
        <v>45671</v>
      </c>
      <c r="F2172">
        <v>1800000</v>
      </c>
      <c r="G2172">
        <v>236722</v>
      </c>
      <c r="H2172">
        <v>4232</v>
      </c>
      <c r="I2172">
        <v>74</v>
      </c>
      <c r="J2172">
        <v>9400</v>
      </c>
      <c r="K2172">
        <v>2400</v>
      </c>
      <c r="L2172" t="s">
        <v>3138</v>
      </c>
      <c r="N2172" t="s">
        <v>1630</v>
      </c>
      <c r="O2172" s="4">
        <v>45695.4299652778</v>
      </c>
      <c r="P2172" t="s">
        <v>66</v>
      </c>
      <c r="Q2172" t="s">
        <v>1631</v>
      </c>
      <c r="R2172" t="s">
        <v>4450</v>
      </c>
      <c r="T2172" t="s">
        <v>66</v>
      </c>
    </row>
    <row r="2173" ht="25.5" customHeight="1" spans="1:20">
      <c r="A2173" t="s">
        <v>3111</v>
      </c>
      <c r="B2173" t="s">
        <v>65</v>
      </c>
      <c r="C2173" t="s">
        <v>4448</v>
      </c>
      <c r="D2173" s="3"/>
      <c r="E2173" s="2">
        <v>45672</v>
      </c>
      <c r="F2173">
        <v>1800000</v>
      </c>
      <c r="G2173">
        <v>236722</v>
      </c>
      <c r="H2173">
        <v>4396</v>
      </c>
      <c r="I2173">
        <v>75</v>
      </c>
      <c r="J2173">
        <v>9400</v>
      </c>
      <c r="K2173">
        <v>2400</v>
      </c>
      <c r="L2173" t="s">
        <v>3138</v>
      </c>
      <c r="N2173" t="s">
        <v>1630</v>
      </c>
      <c r="O2173" s="4">
        <v>45695.4299537037</v>
      </c>
      <c r="P2173" t="s">
        <v>66</v>
      </c>
      <c r="Q2173" t="s">
        <v>1631</v>
      </c>
      <c r="R2173" t="s">
        <v>4451</v>
      </c>
      <c r="T2173" t="s">
        <v>66</v>
      </c>
    </row>
    <row r="2174" ht="25.5" customHeight="1" spans="1:20">
      <c r="A2174" t="s">
        <v>3111</v>
      </c>
      <c r="B2174" t="s">
        <v>65</v>
      </c>
      <c r="C2174" t="s">
        <v>4448</v>
      </c>
      <c r="D2174" s="3"/>
      <c r="E2174" s="2">
        <v>45673</v>
      </c>
      <c r="F2174">
        <v>1800000</v>
      </c>
      <c r="G2174">
        <v>236722</v>
      </c>
      <c r="H2174">
        <v>4464</v>
      </c>
      <c r="I2174">
        <v>76</v>
      </c>
      <c r="J2174">
        <v>9400</v>
      </c>
      <c r="K2174">
        <v>2400</v>
      </c>
      <c r="L2174" t="s">
        <v>3138</v>
      </c>
      <c r="N2174" t="s">
        <v>1630</v>
      </c>
      <c r="O2174" s="4">
        <v>45695.4299652778</v>
      </c>
      <c r="P2174" t="s">
        <v>66</v>
      </c>
      <c r="Q2174" t="s">
        <v>1631</v>
      </c>
      <c r="R2174" t="s">
        <v>4452</v>
      </c>
      <c r="T2174" t="s">
        <v>66</v>
      </c>
    </row>
    <row r="2175" ht="25.5" customHeight="1" spans="1:20">
      <c r="A2175" t="s">
        <v>3111</v>
      </c>
      <c r="B2175" t="s">
        <v>65</v>
      </c>
      <c r="C2175" t="s">
        <v>4448</v>
      </c>
      <c r="D2175" s="3"/>
      <c r="E2175" s="2">
        <v>45674</v>
      </c>
      <c r="F2175">
        <v>1800000</v>
      </c>
      <c r="G2175">
        <v>236722</v>
      </c>
      <c r="H2175">
        <v>4511</v>
      </c>
      <c r="I2175">
        <v>76</v>
      </c>
      <c r="J2175">
        <v>9400</v>
      </c>
      <c r="K2175">
        <v>2400</v>
      </c>
      <c r="L2175" t="s">
        <v>3138</v>
      </c>
      <c r="N2175" t="s">
        <v>1630</v>
      </c>
      <c r="O2175" s="4">
        <v>45695.4299768519</v>
      </c>
      <c r="P2175" t="s">
        <v>66</v>
      </c>
      <c r="Q2175" t="s">
        <v>1631</v>
      </c>
      <c r="R2175" t="s">
        <v>4453</v>
      </c>
      <c r="T2175" t="s">
        <v>66</v>
      </c>
    </row>
    <row r="2176" ht="25.5" customHeight="1" spans="1:20">
      <c r="A2176" t="s">
        <v>3111</v>
      </c>
      <c r="B2176" t="s">
        <v>65</v>
      </c>
      <c r="C2176" t="s">
        <v>4448</v>
      </c>
      <c r="D2176" s="3"/>
      <c r="E2176" s="2">
        <v>45677</v>
      </c>
      <c r="F2176">
        <v>1800000</v>
      </c>
      <c r="G2176">
        <v>236722</v>
      </c>
      <c r="H2176">
        <v>4569</v>
      </c>
      <c r="I2176">
        <v>76</v>
      </c>
      <c r="J2176">
        <v>9400</v>
      </c>
      <c r="K2176">
        <v>2400</v>
      </c>
      <c r="L2176" t="s">
        <v>3138</v>
      </c>
      <c r="N2176" t="s">
        <v>1630</v>
      </c>
      <c r="O2176" s="4">
        <v>45695.4299768519</v>
      </c>
      <c r="P2176" t="s">
        <v>66</v>
      </c>
      <c r="Q2176" t="s">
        <v>1631</v>
      </c>
      <c r="R2176" t="s">
        <v>4454</v>
      </c>
      <c r="T2176" t="s">
        <v>66</v>
      </c>
    </row>
    <row r="2177" ht="25.5" customHeight="1" spans="1:20">
      <c r="A2177" t="s">
        <v>3111</v>
      </c>
      <c r="B2177" t="s">
        <v>65</v>
      </c>
      <c r="C2177" t="s">
        <v>4448</v>
      </c>
      <c r="D2177" s="3"/>
      <c r="E2177" s="2">
        <v>45678</v>
      </c>
      <c r="F2177">
        <v>1800000</v>
      </c>
      <c r="G2177">
        <v>236722</v>
      </c>
      <c r="H2177">
        <v>4583</v>
      </c>
      <c r="I2177">
        <v>76</v>
      </c>
      <c r="J2177">
        <v>9400</v>
      </c>
      <c r="K2177">
        <v>2400</v>
      </c>
      <c r="L2177" t="s">
        <v>3138</v>
      </c>
      <c r="N2177" t="s">
        <v>1630</v>
      </c>
      <c r="O2177" s="4">
        <v>45695.4299884259</v>
      </c>
      <c r="P2177" t="s">
        <v>66</v>
      </c>
      <c r="Q2177" t="s">
        <v>1631</v>
      </c>
      <c r="R2177" t="s">
        <v>4455</v>
      </c>
      <c r="T2177" t="s">
        <v>66</v>
      </c>
    </row>
    <row r="2178" ht="25.5" customHeight="1" spans="1:20">
      <c r="A2178" t="s">
        <v>3111</v>
      </c>
      <c r="B2178" t="s">
        <v>65</v>
      </c>
      <c r="C2178" t="s">
        <v>4448</v>
      </c>
      <c r="D2178" s="3"/>
      <c r="E2178" s="2">
        <v>45679</v>
      </c>
      <c r="F2178">
        <v>1800000</v>
      </c>
      <c r="G2178">
        <v>236722</v>
      </c>
      <c r="H2178">
        <v>4599</v>
      </c>
      <c r="I2178">
        <v>76</v>
      </c>
      <c r="J2178">
        <v>9400</v>
      </c>
      <c r="K2178">
        <v>2400</v>
      </c>
      <c r="L2178" t="s">
        <v>3138</v>
      </c>
      <c r="N2178" t="s">
        <v>1630</v>
      </c>
      <c r="O2178" s="4">
        <v>45695.43</v>
      </c>
      <c r="P2178" t="s">
        <v>66</v>
      </c>
      <c r="Q2178" t="s">
        <v>1631</v>
      </c>
      <c r="R2178" t="s">
        <v>4456</v>
      </c>
      <c r="T2178" t="s">
        <v>66</v>
      </c>
    </row>
    <row r="2179" ht="25.5" customHeight="1" spans="1:20">
      <c r="A2179" t="s">
        <v>3111</v>
      </c>
      <c r="B2179" t="s">
        <v>65</v>
      </c>
      <c r="C2179" t="s">
        <v>4448</v>
      </c>
      <c r="D2179" s="3"/>
      <c r="E2179" s="2">
        <v>45680</v>
      </c>
      <c r="F2179">
        <v>1800000</v>
      </c>
      <c r="G2179">
        <v>236722</v>
      </c>
      <c r="H2179">
        <v>4167</v>
      </c>
      <c r="I2179">
        <v>76</v>
      </c>
      <c r="J2179">
        <v>9400</v>
      </c>
      <c r="K2179">
        <v>2400</v>
      </c>
      <c r="L2179" t="s">
        <v>3138</v>
      </c>
      <c r="N2179" t="s">
        <v>1630</v>
      </c>
      <c r="O2179" s="4">
        <v>45695.43</v>
      </c>
      <c r="P2179" t="s">
        <v>66</v>
      </c>
      <c r="Q2179" t="s">
        <v>1631</v>
      </c>
      <c r="R2179" t="s">
        <v>4457</v>
      </c>
      <c r="T2179" t="s">
        <v>66</v>
      </c>
    </row>
    <row r="2180" ht="25.5" customHeight="1" spans="1:20">
      <c r="A2180" t="s">
        <v>3111</v>
      </c>
      <c r="B2180" t="s">
        <v>65</v>
      </c>
      <c r="C2180" t="s">
        <v>4448</v>
      </c>
      <c r="D2180" s="3"/>
      <c r="E2180" s="2">
        <v>45681</v>
      </c>
      <c r="F2180">
        <v>1800000</v>
      </c>
      <c r="G2180">
        <v>236722</v>
      </c>
      <c r="H2180">
        <v>4630</v>
      </c>
      <c r="I2180">
        <v>76</v>
      </c>
      <c r="J2180">
        <v>9400</v>
      </c>
      <c r="K2180">
        <v>2400</v>
      </c>
      <c r="L2180" t="s">
        <v>3138</v>
      </c>
      <c r="N2180" t="s">
        <v>1630</v>
      </c>
      <c r="O2180" s="4">
        <v>45695.43</v>
      </c>
      <c r="P2180" t="s">
        <v>66</v>
      </c>
      <c r="Q2180" t="s">
        <v>1631</v>
      </c>
      <c r="R2180" t="s">
        <v>4458</v>
      </c>
      <c r="T2180" t="s">
        <v>66</v>
      </c>
    </row>
    <row r="2181" ht="25.5" customHeight="1" spans="1:20">
      <c r="A2181" t="s">
        <v>3111</v>
      </c>
      <c r="B2181" t="s">
        <v>65</v>
      </c>
      <c r="C2181" t="s">
        <v>4448</v>
      </c>
      <c r="D2181" s="3"/>
      <c r="E2181" s="2">
        <v>45683</v>
      </c>
      <c r="F2181">
        <v>1800000</v>
      </c>
      <c r="G2181">
        <v>236722</v>
      </c>
      <c r="H2181">
        <v>4653</v>
      </c>
      <c r="I2181">
        <v>76</v>
      </c>
      <c r="J2181">
        <v>9400</v>
      </c>
      <c r="K2181">
        <v>2400</v>
      </c>
      <c r="L2181" t="s">
        <v>3138</v>
      </c>
      <c r="N2181" t="s">
        <v>1630</v>
      </c>
      <c r="O2181" s="4">
        <v>45695.4300115741</v>
      </c>
      <c r="P2181" t="s">
        <v>66</v>
      </c>
      <c r="Q2181" t="s">
        <v>1631</v>
      </c>
      <c r="R2181" t="s">
        <v>4459</v>
      </c>
      <c r="T2181" t="s">
        <v>66</v>
      </c>
    </row>
    <row r="2182" ht="25.5" customHeight="1" spans="1:20">
      <c r="A2182" t="s">
        <v>3111</v>
      </c>
      <c r="B2182" t="s">
        <v>65</v>
      </c>
      <c r="C2182" t="s">
        <v>4448</v>
      </c>
      <c r="D2182" s="3"/>
      <c r="E2182" s="2">
        <v>45684</v>
      </c>
      <c r="F2182">
        <v>1800000</v>
      </c>
      <c r="G2182">
        <v>236722</v>
      </c>
      <c r="H2182">
        <v>4657</v>
      </c>
      <c r="I2182">
        <v>76</v>
      </c>
      <c r="J2182">
        <v>9400</v>
      </c>
      <c r="K2182">
        <v>2400</v>
      </c>
      <c r="L2182" t="s">
        <v>3138</v>
      </c>
      <c r="N2182" t="s">
        <v>1630</v>
      </c>
      <c r="O2182" s="4">
        <v>45695.4300231481</v>
      </c>
      <c r="P2182" t="s">
        <v>66</v>
      </c>
      <c r="Q2182" t="s">
        <v>1631</v>
      </c>
      <c r="R2182" t="s">
        <v>4460</v>
      </c>
      <c r="T2182" t="s">
        <v>66</v>
      </c>
    </row>
    <row r="2183" ht="25.5" customHeight="1" spans="1:20">
      <c r="A2183" t="s">
        <v>3111</v>
      </c>
      <c r="B2183" t="s">
        <v>65</v>
      </c>
      <c r="C2183" t="s">
        <v>4448</v>
      </c>
      <c r="D2183" s="3"/>
      <c r="E2183" s="2">
        <v>45693</v>
      </c>
      <c r="F2183">
        <v>1897000</v>
      </c>
      <c r="G2183">
        <v>236722</v>
      </c>
      <c r="H2183">
        <v>4682</v>
      </c>
      <c r="I2183">
        <v>78</v>
      </c>
      <c r="J2183">
        <v>9400</v>
      </c>
      <c r="K2183">
        <v>2400</v>
      </c>
      <c r="L2183" t="s">
        <v>3138</v>
      </c>
      <c r="N2183" t="s">
        <v>1630</v>
      </c>
      <c r="O2183" s="4">
        <v>45695.4300347222</v>
      </c>
      <c r="P2183" t="s">
        <v>66</v>
      </c>
      <c r="Q2183" t="s">
        <v>1631</v>
      </c>
      <c r="R2183" t="s">
        <v>4461</v>
      </c>
      <c r="T2183" t="s">
        <v>66</v>
      </c>
    </row>
    <row r="2184" ht="25.5" customHeight="1" spans="1:20">
      <c r="A2184" t="s">
        <v>3111</v>
      </c>
      <c r="B2184" t="s">
        <v>65</v>
      </c>
      <c r="C2184" t="s">
        <v>4448</v>
      </c>
      <c r="D2184" s="3"/>
      <c r="E2184" s="2">
        <v>45694</v>
      </c>
      <c r="F2184">
        <v>1897000</v>
      </c>
      <c r="G2184">
        <v>236722</v>
      </c>
      <c r="H2184">
        <v>4684</v>
      </c>
      <c r="I2184">
        <v>78</v>
      </c>
      <c r="J2184">
        <v>9400</v>
      </c>
      <c r="K2184">
        <v>2400</v>
      </c>
      <c r="L2184" t="s">
        <v>3138</v>
      </c>
      <c r="N2184" t="s">
        <v>1630</v>
      </c>
      <c r="O2184" s="4">
        <v>45698.6216782407</v>
      </c>
      <c r="P2184" t="s">
        <v>66</v>
      </c>
      <c r="Q2184" t="s">
        <v>1631</v>
      </c>
      <c r="R2184" t="s">
        <v>4462</v>
      </c>
      <c r="S2184" t="s">
        <v>3152</v>
      </c>
      <c r="T2184" t="s">
        <v>66</v>
      </c>
    </row>
    <row r="2185" ht="25.5" customHeight="1" spans="1:20">
      <c r="A2185" t="s">
        <v>3111</v>
      </c>
      <c r="B2185" t="s">
        <v>65</v>
      </c>
      <c r="C2185" t="s">
        <v>4448</v>
      </c>
      <c r="D2185" s="3"/>
      <c r="E2185" s="2">
        <v>45695</v>
      </c>
      <c r="F2185">
        <v>1900000</v>
      </c>
      <c r="H2185">
        <v>4684</v>
      </c>
      <c r="I2185">
        <v>78</v>
      </c>
      <c r="L2185" t="s">
        <v>3138</v>
      </c>
      <c r="N2185" t="s">
        <v>1630</v>
      </c>
      <c r="O2185" s="4">
        <v>45695.5065046296</v>
      </c>
      <c r="P2185" t="s">
        <v>66</v>
      </c>
      <c r="Q2185" t="s">
        <v>1631</v>
      </c>
      <c r="R2185" t="s">
        <v>4463</v>
      </c>
      <c r="T2185" t="s">
        <v>66</v>
      </c>
    </row>
    <row r="2186" ht="25.5" customHeight="1" spans="1:20">
      <c r="A2186" t="s">
        <v>3111</v>
      </c>
      <c r="B2186" t="s">
        <v>65</v>
      </c>
      <c r="C2186" t="s">
        <v>4448</v>
      </c>
      <c r="D2186" s="3"/>
      <c r="E2186" s="2">
        <v>45696</v>
      </c>
      <c r="F2186">
        <v>1900000</v>
      </c>
      <c r="H2186">
        <v>4684</v>
      </c>
      <c r="I2186">
        <v>78</v>
      </c>
      <c r="L2186" t="s">
        <v>3138</v>
      </c>
      <c r="N2186" t="s">
        <v>1630</v>
      </c>
      <c r="O2186" s="4">
        <v>45696.4610069444</v>
      </c>
      <c r="P2186" t="s">
        <v>66</v>
      </c>
      <c r="Q2186" t="s">
        <v>1631</v>
      </c>
      <c r="R2186" t="s">
        <v>4463</v>
      </c>
      <c r="T2186" t="s">
        <v>66</v>
      </c>
    </row>
    <row r="2187" ht="25.5" customHeight="1" spans="1:18">
      <c r="A2187" t="s">
        <v>1160</v>
      </c>
      <c r="D2187" s="3"/>
      <c r="E2187" s="2"/>
      <c r="O2187" s="4">
        <v>45670.743587963</v>
      </c>
      <c r="R2187" t="s">
        <v>3133</v>
      </c>
    </row>
    <row r="2188" ht="25.5" customHeight="1" spans="1:20">
      <c r="A2188" t="s">
        <v>160</v>
      </c>
      <c r="B2188" t="s">
        <v>65</v>
      </c>
      <c r="D2188" s="3"/>
      <c r="E2188" s="2">
        <v>45685</v>
      </c>
      <c r="F2188">
        <v>515000</v>
      </c>
      <c r="G2188">
        <v>2389</v>
      </c>
      <c r="H2188">
        <v>30</v>
      </c>
      <c r="I2188">
        <v>2</v>
      </c>
      <c r="J2188">
        <v>30</v>
      </c>
      <c r="K2188">
        <v>20</v>
      </c>
      <c r="L2188" t="s">
        <v>3138</v>
      </c>
      <c r="M2188" t="s">
        <v>3249</v>
      </c>
      <c r="N2188" t="s">
        <v>1630</v>
      </c>
      <c r="O2188" s="4">
        <v>45694.7201041667</v>
      </c>
      <c r="P2188" t="s">
        <v>66</v>
      </c>
      <c r="Q2188" t="s">
        <v>1631</v>
      </c>
      <c r="R2188" t="s">
        <v>3769</v>
      </c>
      <c r="T2188" t="s">
        <v>66</v>
      </c>
    </row>
    <row r="2189" ht="25.5" customHeight="1" spans="1:20">
      <c r="A2189" t="s">
        <v>2422</v>
      </c>
      <c r="B2189" t="s">
        <v>56</v>
      </c>
      <c r="C2189" t="s">
        <v>4464</v>
      </c>
      <c r="D2189" s="3"/>
      <c r="E2189" s="2">
        <v>45683</v>
      </c>
      <c r="F2189">
        <v>324200</v>
      </c>
      <c r="G2189">
        <v>32900</v>
      </c>
      <c r="H2189">
        <v>2659</v>
      </c>
      <c r="I2189">
        <v>15</v>
      </c>
      <c r="J2189">
        <v>1810</v>
      </c>
      <c r="K2189">
        <v>214</v>
      </c>
      <c r="L2189" t="s">
        <v>3230</v>
      </c>
      <c r="M2189" t="s">
        <v>4465</v>
      </c>
      <c r="N2189" t="s">
        <v>1630</v>
      </c>
      <c r="O2189" s="4">
        <v>45683.7895023148</v>
      </c>
      <c r="P2189" t="s">
        <v>57</v>
      </c>
      <c r="Q2189" t="s">
        <v>1887</v>
      </c>
      <c r="R2189" t="s">
        <v>4466</v>
      </c>
      <c r="T2189" t="s">
        <v>57</v>
      </c>
    </row>
    <row r="2190" ht="25.5" customHeight="1" spans="1:20">
      <c r="A2190" t="s">
        <v>2422</v>
      </c>
      <c r="B2190" t="s">
        <v>56</v>
      </c>
      <c r="C2190" t="s">
        <v>4464</v>
      </c>
      <c r="D2190" s="3"/>
      <c r="E2190" s="2">
        <v>45684</v>
      </c>
      <c r="F2190">
        <v>324300</v>
      </c>
      <c r="G2190">
        <v>41300</v>
      </c>
      <c r="H2190">
        <v>3193</v>
      </c>
      <c r="I2190">
        <v>15</v>
      </c>
      <c r="J2190">
        <v>2238</v>
      </c>
      <c r="K2190">
        <v>262</v>
      </c>
      <c r="L2190" t="s">
        <v>3317</v>
      </c>
      <c r="M2190" t="s">
        <v>4465</v>
      </c>
      <c r="N2190" t="s">
        <v>1630</v>
      </c>
      <c r="O2190" s="4">
        <v>45684.8672916667</v>
      </c>
      <c r="P2190" t="s">
        <v>57</v>
      </c>
      <c r="Q2190" t="s">
        <v>1887</v>
      </c>
      <c r="R2190" t="s">
        <v>4467</v>
      </c>
      <c r="T2190" t="s">
        <v>57</v>
      </c>
    </row>
    <row r="2191" ht="25.5" customHeight="1" spans="1:20">
      <c r="A2191" t="s">
        <v>2422</v>
      </c>
      <c r="B2191" t="s">
        <v>56</v>
      </c>
      <c r="C2191" t="s">
        <v>4464</v>
      </c>
      <c r="D2191" s="3"/>
      <c r="E2191" s="2">
        <v>45693</v>
      </c>
      <c r="F2191">
        <v>324300</v>
      </c>
      <c r="G2191">
        <v>54400</v>
      </c>
      <c r="H2191">
        <v>4062</v>
      </c>
      <c r="I2191">
        <v>24</v>
      </c>
      <c r="J2191">
        <v>2841</v>
      </c>
      <c r="K2191">
        <v>322</v>
      </c>
      <c r="L2191" t="s">
        <v>3317</v>
      </c>
      <c r="M2191" t="s">
        <v>4465</v>
      </c>
      <c r="N2191" t="s">
        <v>1630</v>
      </c>
      <c r="O2191" s="4">
        <v>45693.8315046296</v>
      </c>
      <c r="P2191" t="s">
        <v>57</v>
      </c>
      <c r="Q2191" t="s">
        <v>1887</v>
      </c>
      <c r="R2191" t="s">
        <v>4468</v>
      </c>
      <c r="T2191" t="s">
        <v>57</v>
      </c>
    </row>
    <row r="2192" ht="25.5" customHeight="1" spans="1:20">
      <c r="A2192" t="s">
        <v>2422</v>
      </c>
      <c r="B2192" t="s">
        <v>56</v>
      </c>
      <c r="C2192" t="s">
        <v>4464</v>
      </c>
      <c r="D2192" s="3"/>
      <c r="E2192" s="2">
        <v>45694</v>
      </c>
      <c r="F2192">
        <v>324300</v>
      </c>
      <c r="G2192">
        <v>54900</v>
      </c>
      <c r="H2192">
        <v>4095</v>
      </c>
      <c r="I2192">
        <v>25</v>
      </c>
      <c r="J2192">
        <v>2871</v>
      </c>
      <c r="K2192">
        <v>324</v>
      </c>
      <c r="L2192" t="s">
        <v>3317</v>
      </c>
      <c r="M2192" t="s">
        <v>4465</v>
      </c>
      <c r="N2192" t="s">
        <v>1630</v>
      </c>
      <c r="O2192" s="4">
        <v>45698.6216782407</v>
      </c>
      <c r="P2192" t="s">
        <v>57</v>
      </c>
      <c r="Q2192" t="s">
        <v>1887</v>
      </c>
      <c r="R2192" t="s">
        <v>4469</v>
      </c>
      <c r="S2192" t="s">
        <v>3245</v>
      </c>
      <c r="T2192" t="s">
        <v>57</v>
      </c>
    </row>
    <row r="2193" ht="25.5" customHeight="1" spans="1:20">
      <c r="A2193" t="s">
        <v>2422</v>
      </c>
      <c r="B2193" t="s">
        <v>56</v>
      </c>
      <c r="C2193" t="s">
        <v>4464</v>
      </c>
      <c r="D2193" s="3"/>
      <c r="E2193" s="2">
        <v>45695</v>
      </c>
      <c r="F2193">
        <v>324300</v>
      </c>
      <c r="G2193">
        <v>55800</v>
      </c>
      <c r="H2193">
        <v>4149</v>
      </c>
      <c r="I2193">
        <v>25</v>
      </c>
      <c r="J2193">
        <v>2916</v>
      </c>
      <c r="K2193">
        <v>329</v>
      </c>
      <c r="L2193" t="s">
        <v>3317</v>
      </c>
      <c r="M2193" t="s">
        <v>4465</v>
      </c>
      <c r="N2193" t="s">
        <v>1630</v>
      </c>
      <c r="O2193" s="4">
        <v>45695.7246180556</v>
      </c>
      <c r="P2193" t="s">
        <v>57</v>
      </c>
      <c r="Q2193" t="s">
        <v>1887</v>
      </c>
      <c r="R2193" t="s">
        <v>4470</v>
      </c>
      <c r="T2193" t="s">
        <v>57</v>
      </c>
    </row>
    <row r="2194" ht="25.5" customHeight="1" spans="1:20">
      <c r="A2194" t="s">
        <v>2422</v>
      </c>
      <c r="B2194" t="s">
        <v>56</v>
      </c>
      <c r="C2194" t="s">
        <v>4464</v>
      </c>
      <c r="D2194" s="3"/>
      <c r="E2194" s="2">
        <v>45696</v>
      </c>
      <c r="F2194">
        <v>324300</v>
      </c>
      <c r="G2194">
        <v>56600</v>
      </c>
      <c r="H2194">
        <v>4195</v>
      </c>
      <c r="I2194">
        <v>25</v>
      </c>
      <c r="J2194">
        <v>2938</v>
      </c>
      <c r="K2194">
        <v>334</v>
      </c>
      <c r="L2194" t="s">
        <v>3317</v>
      </c>
      <c r="M2194" t="s">
        <v>4465</v>
      </c>
      <c r="N2194" t="s">
        <v>1630</v>
      </c>
      <c r="O2194" s="4">
        <v>45696.4422453704</v>
      </c>
      <c r="P2194" t="s">
        <v>57</v>
      </c>
      <c r="Q2194" t="s">
        <v>1887</v>
      </c>
      <c r="R2194" t="s">
        <v>4471</v>
      </c>
      <c r="T2194" t="s">
        <v>57</v>
      </c>
    </row>
    <row r="2195" ht="25.5" customHeight="1" spans="1:20">
      <c r="A2195" t="s">
        <v>2524</v>
      </c>
      <c r="B2195" t="s">
        <v>56</v>
      </c>
      <c r="C2195" t="s">
        <v>4472</v>
      </c>
      <c r="D2195" s="3"/>
      <c r="E2195" s="2">
        <v>45677</v>
      </c>
      <c r="F2195">
        <v>197200</v>
      </c>
      <c r="G2195">
        <v>9249</v>
      </c>
      <c r="H2195">
        <v>100</v>
      </c>
      <c r="I2195">
        <v>0</v>
      </c>
      <c r="J2195">
        <v>42</v>
      </c>
      <c r="K2195">
        <v>80</v>
      </c>
      <c r="L2195" t="s">
        <v>3281</v>
      </c>
      <c r="M2195" t="s">
        <v>3378</v>
      </c>
      <c r="N2195" t="s">
        <v>1630</v>
      </c>
      <c r="O2195" s="4">
        <v>45678.6614699074</v>
      </c>
      <c r="P2195" t="s">
        <v>57</v>
      </c>
      <c r="Q2195" t="s">
        <v>1703</v>
      </c>
      <c r="R2195" t="s">
        <v>3334</v>
      </c>
      <c r="T2195" t="s">
        <v>57</v>
      </c>
    </row>
    <row r="2196" ht="25.5" customHeight="1" spans="1:20">
      <c r="A2196" t="s">
        <v>2524</v>
      </c>
      <c r="B2196" t="s">
        <v>56</v>
      </c>
      <c r="C2196" t="s">
        <v>4472</v>
      </c>
      <c r="D2196" s="3"/>
      <c r="E2196" s="2">
        <v>45678</v>
      </c>
      <c r="F2196">
        <v>197200</v>
      </c>
      <c r="G2196">
        <v>9400</v>
      </c>
      <c r="H2196">
        <v>102</v>
      </c>
      <c r="I2196">
        <v>0</v>
      </c>
      <c r="J2196">
        <v>42</v>
      </c>
      <c r="K2196">
        <v>80</v>
      </c>
      <c r="L2196" t="s">
        <v>3281</v>
      </c>
      <c r="M2196" t="s">
        <v>3378</v>
      </c>
      <c r="N2196" t="s">
        <v>1630</v>
      </c>
      <c r="O2196" s="4">
        <v>45678.6615046296</v>
      </c>
      <c r="P2196" t="s">
        <v>57</v>
      </c>
      <c r="Q2196" t="s">
        <v>1703</v>
      </c>
      <c r="R2196" t="s">
        <v>3412</v>
      </c>
      <c r="T2196" t="s">
        <v>57</v>
      </c>
    </row>
    <row r="2197" ht="25.5" customHeight="1" spans="1:20">
      <c r="A2197" t="s">
        <v>2524</v>
      </c>
      <c r="B2197" t="s">
        <v>56</v>
      </c>
      <c r="C2197" t="s">
        <v>4472</v>
      </c>
      <c r="D2197" s="3"/>
      <c r="E2197" s="2">
        <v>45679</v>
      </c>
      <c r="F2197">
        <v>197200</v>
      </c>
      <c r="G2197">
        <v>9444</v>
      </c>
      <c r="H2197">
        <v>102</v>
      </c>
      <c r="I2197">
        <v>0</v>
      </c>
      <c r="J2197">
        <v>42</v>
      </c>
      <c r="K2197">
        <v>80</v>
      </c>
      <c r="L2197" t="s">
        <v>3281</v>
      </c>
      <c r="M2197" t="s">
        <v>3378</v>
      </c>
      <c r="N2197" t="s">
        <v>1630</v>
      </c>
      <c r="O2197" s="4">
        <v>45679.7016898148</v>
      </c>
      <c r="P2197" t="s">
        <v>57</v>
      </c>
      <c r="Q2197" t="s">
        <v>1703</v>
      </c>
      <c r="R2197" t="s">
        <v>3412</v>
      </c>
      <c r="T2197" t="s">
        <v>57</v>
      </c>
    </row>
    <row r="2198" ht="25.5" customHeight="1" spans="1:20">
      <c r="A2198" t="s">
        <v>2524</v>
      </c>
      <c r="B2198" t="s">
        <v>56</v>
      </c>
      <c r="C2198" t="s">
        <v>4472</v>
      </c>
      <c r="D2198" s="3"/>
      <c r="E2198" s="2">
        <v>45680</v>
      </c>
      <c r="F2198">
        <v>197300</v>
      </c>
      <c r="G2198">
        <v>9471</v>
      </c>
      <c r="H2198">
        <v>102</v>
      </c>
      <c r="I2198">
        <v>0</v>
      </c>
      <c r="J2198">
        <v>42</v>
      </c>
      <c r="K2198">
        <v>80</v>
      </c>
      <c r="L2198" t="s">
        <v>3281</v>
      </c>
      <c r="M2198" t="s">
        <v>3378</v>
      </c>
      <c r="N2198" t="s">
        <v>1630</v>
      </c>
      <c r="O2198" s="4">
        <v>45680.663125</v>
      </c>
      <c r="P2198" t="s">
        <v>57</v>
      </c>
      <c r="Q2198" t="s">
        <v>1703</v>
      </c>
      <c r="R2198" t="s">
        <v>3412</v>
      </c>
      <c r="T2198" t="s">
        <v>57</v>
      </c>
    </row>
    <row r="2199" ht="25.5" customHeight="1" spans="1:20">
      <c r="A2199" t="s">
        <v>2524</v>
      </c>
      <c r="B2199" t="s">
        <v>56</v>
      </c>
      <c r="C2199" t="s">
        <v>4472</v>
      </c>
      <c r="D2199" s="3"/>
      <c r="E2199" s="2">
        <v>45681</v>
      </c>
      <c r="F2199">
        <v>197300</v>
      </c>
      <c r="G2199">
        <v>9512</v>
      </c>
      <c r="H2199">
        <v>102</v>
      </c>
      <c r="I2199">
        <v>0</v>
      </c>
      <c r="J2199">
        <v>42</v>
      </c>
      <c r="K2199">
        <v>80</v>
      </c>
      <c r="L2199" t="s">
        <v>3281</v>
      </c>
      <c r="M2199" t="s">
        <v>3378</v>
      </c>
      <c r="N2199" t="s">
        <v>1630</v>
      </c>
      <c r="O2199" s="4">
        <v>45681.649525463</v>
      </c>
      <c r="P2199" t="s">
        <v>57</v>
      </c>
      <c r="Q2199" t="s">
        <v>1703</v>
      </c>
      <c r="R2199" t="s">
        <v>3412</v>
      </c>
      <c r="T2199" t="s">
        <v>57</v>
      </c>
    </row>
    <row r="2200" ht="25.5" customHeight="1" spans="1:20">
      <c r="A2200" t="s">
        <v>2524</v>
      </c>
      <c r="B2200" t="s">
        <v>56</v>
      </c>
      <c r="C2200" t="s">
        <v>4472</v>
      </c>
      <c r="D2200" s="3"/>
      <c r="E2200" s="2">
        <v>45683</v>
      </c>
      <c r="F2200">
        <v>197300</v>
      </c>
      <c r="G2200">
        <v>9618</v>
      </c>
      <c r="H2200">
        <v>105</v>
      </c>
      <c r="I2200">
        <v>0</v>
      </c>
      <c r="J2200">
        <v>42</v>
      </c>
      <c r="K2200">
        <v>81</v>
      </c>
      <c r="L2200" t="s">
        <v>3281</v>
      </c>
      <c r="M2200" t="s">
        <v>3378</v>
      </c>
      <c r="N2200" t="s">
        <v>1630</v>
      </c>
      <c r="O2200" s="4">
        <v>45683.7898726852</v>
      </c>
      <c r="P2200" t="s">
        <v>57</v>
      </c>
      <c r="Q2200" t="s">
        <v>1703</v>
      </c>
      <c r="R2200" t="s">
        <v>3322</v>
      </c>
      <c r="T2200" t="s">
        <v>57</v>
      </c>
    </row>
    <row r="2201" ht="25.5" customHeight="1" spans="1:20">
      <c r="A2201" t="s">
        <v>2524</v>
      </c>
      <c r="B2201" t="s">
        <v>56</v>
      </c>
      <c r="C2201" t="s">
        <v>4472</v>
      </c>
      <c r="D2201" s="3"/>
      <c r="E2201" s="2">
        <v>45684</v>
      </c>
      <c r="F2201">
        <v>197300</v>
      </c>
      <c r="G2201">
        <v>9728</v>
      </c>
      <c r="H2201">
        <v>105</v>
      </c>
      <c r="I2201">
        <v>0</v>
      </c>
      <c r="J2201">
        <v>42</v>
      </c>
      <c r="K2201">
        <v>81</v>
      </c>
      <c r="L2201" t="s">
        <v>3281</v>
      </c>
      <c r="M2201" t="s">
        <v>3378</v>
      </c>
      <c r="N2201" t="s">
        <v>1630</v>
      </c>
      <c r="O2201" s="4">
        <v>45684.8675</v>
      </c>
      <c r="P2201" t="s">
        <v>57</v>
      </c>
      <c r="Q2201" t="s">
        <v>1703</v>
      </c>
      <c r="R2201" t="s">
        <v>3322</v>
      </c>
      <c r="T2201" t="s">
        <v>57</v>
      </c>
    </row>
    <row r="2202" ht="25.5" customHeight="1" spans="1:20">
      <c r="A2202" t="s">
        <v>2524</v>
      </c>
      <c r="B2202" t="s">
        <v>56</v>
      </c>
      <c r="C2202" t="s">
        <v>4472</v>
      </c>
      <c r="D2202" s="3"/>
      <c r="E2202" s="2">
        <v>45693</v>
      </c>
      <c r="F2202">
        <v>197900</v>
      </c>
      <c r="G2202">
        <v>10200</v>
      </c>
      <c r="H2202">
        <v>108</v>
      </c>
      <c r="I2202">
        <v>0</v>
      </c>
      <c r="J2202">
        <v>42</v>
      </c>
      <c r="K2202">
        <v>82</v>
      </c>
      <c r="L2202" t="s">
        <v>3281</v>
      </c>
      <c r="M2202" t="s">
        <v>3378</v>
      </c>
      <c r="N2202" t="s">
        <v>1630</v>
      </c>
      <c r="O2202" s="4">
        <v>45693.8318055556</v>
      </c>
      <c r="P2202" t="s">
        <v>57</v>
      </c>
      <c r="Q2202" t="s">
        <v>1703</v>
      </c>
      <c r="R2202" t="s">
        <v>3336</v>
      </c>
      <c r="T2202" t="s">
        <v>57</v>
      </c>
    </row>
    <row r="2203" ht="25.5" customHeight="1" spans="1:20">
      <c r="A2203" t="s">
        <v>2524</v>
      </c>
      <c r="B2203" t="s">
        <v>56</v>
      </c>
      <c r="C2203" t="s">
        <v>4472</v>
      </c>
      <c r="D2203" s="3"/>
      <c r="E2203" s="2">
        <v>45694</v>
      </c>
      <c r="F2203">
        <v>198000</v>
      </c>
      <c r="G2203">
        <v>10200</v>
      </c>
      <c r="H2203">
        <v>108</v>
      </c>
      <c r="I2203">
        <v>0</v>
      </c>
      <c r="J2203">
        <v>42</v>
      </c>
      <c r="K2203">
        <v>82</v>
      </c>
      <c r="L2203" t="s">
        <v>3281</v>
      </c>
      <c r="M2203" t="s">
        <v>3378</v>
      </c>
      <c r="N2203" t="s">
        <v>1630</v>
      </c>
      <c r="O2203" s="4">
        <v>45698.6216782407</v>
      </c>
      <c r="P2203" t="s">
        <v>57</v>
      </c>
      <c r="Q2203" t="s">
        <v>1703</v>
      </c>
      <c r="R2203" t="s">
        <v>3336</v>
      </c>
      <c r="S2203" t="s">
        <v>3245</v>
      </c>
      <c r="T2203" t="s">
        <v>57</v>
      </c>
    </row>
    <row r="2204" ht="25.5" customHeight="1" spans="1:20">
      <c r="A2204" t="s">
        <v>2524</v>
      </c>
      <c r="B2204" t="s">
        <v>56</v>
      </c>
      <c r="C2204" t="s">
        <v>4472</v>
      </c>
      <c r="D2204" s="3"/>
      <c r="E2204" s="2">
        <v>45695</v>
      </c>
      <c r="F2204">
        <v>198000</v>
      </c>
      <c r="G2204">
        <v>10300</v>
      </c>
      <c r="H2204">
        <v>108</v>
      </c>
      <c r="I2204">
        <v>0</v>
      </c>
      <c r="J2204">
        <v>43</v>
      </c>
      <c r="K2204">
        <v>83</v>
      </c>
      <c r="L2204" t="s">
        <v>3281</v>
      </c>
      <c r="M2204" t="s">
        <v>3378</v>
      </c>
      <c r="N2204" t="s">
        <v>1630</v>
      </c>
      <c r="O2204" s="4">
        <v>45695.7248726852</v>
      </c>
      <c r="P2204" t="s">
        <v>57</v>
      </c>
      <c r="Q2204" t="s">
        <v>1703</v>
      </c>
      <c r="R2204" t="s">
        <v>3191</v>
      </c>
      <c r="T2204" t="s">
        <v>57</v>
      </c>
    </row>
    <row r="2205" ht="25.5" customHeight="1" spans="1:20">
      <c r="A2205" t="s">
        <v>2524</v>
      </c>
      <c r="B2205" t="s">
        <v>56</v>
      </c>
      <c r="C2205" t="s">
        <v>4472</v>
      </c>
      <c r="D2205" s="3"/>
      <c r="E2205" s="2">
        <v>45696</v>
      </c>
      <c r="F2205">
        <v>198100</v>
      </c>
      <c r="G2205">
        <v>10300</v>
      </c>
      <c r="H2205">
        <v>109</v>
      </c>
      <c r="I2205">
        <v>0</v>
      </c>
      <c r="J2205">
        <v>42</v>
      </c>
      <c r="K2205">
        <v>83</v>
      </c>
      <c r="L2205" t="s">
        <v>3281</v>
      </c>
      <c r="M2205" t="s">
        <v>3378</v>
      </c>
      <c r="N2205" t="s">
        <v>1630</v>
      </c>
      <c r="O2205" s="4">
        <v>45696.4424537037</v>
      </c>
      <c r="P2205" t="s">
        <v>57</v>
      </c>
      <c r="Q2205" t="s">
        <v>1703</v>
      </c>
      <c r="R2205" t="s">
        <v>3191</v>
      </c>
      <c r="T2205" t="s">
        <v>57</v>
      </c>
    </row>
    <row r="2206" ht="25.5" customHeight="1" spans="1:20">
      <c r="A2206" t="s">
        <v>1973</v>
      </c>
      <c r="B2206" t="s">
        <v>65</v>
      </c>
      <c r="C2206" t="s">
        <v>4473</v>
      </c>
      <c r="D2206" s="3" t="str">
        <f>HYPERLINK("https://www.instagram.com/luigis.tips/reels/","https://www.instagram.com/luigis.tips/reels/")</f>
        <v>https://www.instagram.com/luigis.tips/reels/</v>
      </c>
      <c r="E2206" s="2">
        <v>45677</v>
      </c>
      <c r="F2206">
        <v>555000</v>
      </c>
      <c r="G2206">
        <v>11900</v>
      </c>
      <c r="I2206">
        <v>1</v>
      </c>
      <c r="L2206" t="s">
        <v>3138</v>
      </c>
      <c r="M2206" t="s">
        <v>3668</v>
      </c>
      <c r="N2206" t="s">
        <v>1630</v>
      </c>
      <c r="O2206" s="4">
        <v>45694.7114814815</v>
      </c>
      <c r="P2206" t="s">
        <v>116</v>
      </c>
      <c r="Q2206" t="s">
        <v>1703</v>
      </c>
      <c r="R2206" t="s">
        <v>4474</v>
      </c>
      <c r="T2206" t="s">
        <v>116</v>
      </c>
    </row>
    <row r="2207" ht="25.5" customHeight="1" spans="1:20">
      <c r="A2207" t="s">
        <v>1973</v>
      </c>
      <c r="B2207" t="s">
        <v>65</v>
      </c>
      <c r="C2207" t="s">
        <v>4473</v>
      </c>
      <c r="D2207" s="3"/>
      <c r="E2207" s="2">
        <v>45678</v>
      </c>
      <c r="F2207">
        <v>555000</v>
      </c>
      <c r="G2207">
        <v>12400</v>
      </c>
      <c r="I2207">
        <v>1</v>
      </c>
      <c r="L2207" t="s">
        <v>3138</v>
      </c>
      <c r="M2207" t="s">
        <v>3668</v>
      </c>
      <c r="N2207" t="s">
        <v>1630</v>
      </c>
      <c r="O2207" s="4">
        <v>45694.7115162037</v>
      </c>
      <c r="P2207" t="s">
        <v>116</v>
      </c>
      <c r="Q2207" t="s">
        <v>1703</v>
      </c>
      <c r="R2207" t="s">
        <v>4474</v>
      </c>
      <c r="T2207" t="s">
        <v>116</v>
      </c>
    </row>
    <row r="2208" ht="25.5" customHeight="1" spans="1:20">
      <c r="A2208" t="s">
        <v>1973</v>
      </c>
      <c r="B2208" t="s">
        <v>65</v>
      </c>
      <c r="C2208" t="s">
        <v>4473</v>
      </c>
      <c r="D2208" s="3"/>
      <c r="E2208" s="2">
        <v>45679</v>
      </c>
      <c r="F2208">
        <v>555000</v>
      </c>
      <c r="G2208">
        <v>12600</v>
      </c>
      <c r="I2208">
        <v>1</v>
      </c>
      <c r="L2208" t="s">
        <v>3138</v>
      </c>
      <c r="M2208" t="s">
        <v>3668</v>
      </c>
      <c r="N2208" t="s">
        <v>1630</v>
      </c>
      <c r="O2208" s="4">
        <v>45694.7115277778</v>
      </c>
      <c r="P2208" t="s">
        <v>116</v>
      </c>
      <c r="Q2208" t="s">
        <v>1703</v>
      </c>
      <c r="R2208" t="s">
        <v>4474</v>
      </c>
      <c r="T2208" t="s">
        <v>116</v>
      </c>
    </row>
    <row r="2209" ht="25.5" customHeight="1" spans="1:20">
      <c r="A2209" t="s">
        <v>1973</v>
      </c>
      <c r="B2209" t="s">
        <v>65</v>
      </c>
      <c r="C2209" t="s">
        <v>4473</v>
      </c>
      <c r="D2209" s="3"/>
      <c r="E2209" s="2">
        <v>45680</v>
      </c>
      <c r="F2209">
        <v>555000</v>
      </c>
      <c r="G2209">
        <v>12800</v>
      </c>
      <c r="I2209">
        <v>1</v>
      </c>
      <c r="L2209" t="s">
        <v>3138</v>
      </c>
      <c r="M2209" t="s">
        <v>3668</v>
      </c>
      <c r="N2209" t="s">
        <v>1630</v>
      </c>
      <c r="O2209" s="4">
        <v>45694.7115277778</v>
      </c>
      <c r="P2209" t="s">
        <v>116</v>
      </c>
      <c r="Q2209" t="s">
        <v>1703</v>
      </c>
      <c r="R2209" t="s">
        <v>4474</v>
      </c>
      <c r="T2209" t="s">
        <v>116</v>
      </c>
    </row>
    <row r="2210" ht="25.5" customHeight="1" spans="1:20">
      <c r="A2210" t="s">
        <v>1973</v>
      </c>
      <c r="B2210" t="s">
        <v>65</v>
      </c>
      <c r="C2210" t="s">
        <v>4473</v>
      </c>
      <c r="D2210" s="3"/>
      <c r="E2210" s="2">
        <v>45681</v>
      </c>
      <c r="F2210">
        <v>555000</v>
      </c>
      <c r="G2210">
        <v>12900</v>
      </c>
      <c r="I2210">
        <v>1</v>
      </c>
      <c r="L2210" t="s">
        <v>3138</v>
      </c>
      <c r="M2210" t="s">
        <v>3668</v>
      </c>
      <c r="N2210" t="s">
        <v>1630</v>
      </c>
      <c r="O2210" s="4">
        <v>45694.7115277778</v>
      </c>
      <c r="P2210" t="s">
        <v>116</v>
      </c>
      <c r="Q2210" t="s">
        <v>1703</v>
      </c>
      <c r="R2210" t="s">
        <v>4474</v>
      </c>
      <c r="T2210" t="s">
        <v>116</v>
      </c>
    </row>
    <row r="2211" ht="25.5" customHeight="1" spans="1:20">
      <c r="A2211" t="s">
        <v>1973</v>
      </c>
      <c r="B2211" t="s">
        <v>65</v>
      </c>
      <c r="C2211" t="s">
        <v>4473</v>
      </c>
      <c r="D2211" s="3"/>
      <c r="E2211" s="2">
        <v>45683</v>
      </c>
      <c r="F2211">
        <v>556000</v>
      </c>
      <c r="G2211">
        <v>13200</v>
      </c>
      <c r="I2211">
        <v>1</v>
      </c>
      <c r="L2211" t="s">
        <v>3138</v>
      </c>
      <c r="M2211" t="s">
        <v>3668</v>
      </c>
      <c r="N2211" t="s">
        <v>1630</v>
      </c>
      <c r="O2211" s="4">
        <v>45694.7115277778</v>
      </c>
      <c r="P2211" t="s">
        <v>116</v>
      </c>
      <c r="Q2211" t="s">
        <v>1703</v>
      </c>
      <c r="R2211" t="s">
        <v>4474</v>
      </c>
      <c r="T2211" t="s">
        <v>116</v>
      </c>
    </row>
    <row r="2212" ht="25.5" customHeight="1" spans="1:20">
      <c r="A2212" t="s">
        <v>1973</v>
      </c>
      <c r="B2212" t="s">
        <v>65</v>
      </c>
      <c r="C2212" t="s">
        <v>4473</v>
      </c>
      <c r="D2212" s="3"/>
      <c r="E2212" s="2">
        <v>45684</v>
      </c>
      <c r="F2212">
        <v>556000</v>
      </c>
      <c r="G2212">
        <v>13300</v>
      </c>
      <c r="I2212">
        <v>1</v>
      </c>
      <c r="L2212" t="s">
        <v>3138</v>
      </c>
      <c r="M2212" t="s">
        <v>3668</v>
      </c>
      <c r="N2212" t="s">
        <v>1630</v>
      </c>
      <c r="O2212" s="4">
        <v>45694.7115277778</v>
      </c>
      <c r="P2212" t="s">
        <v>116</v>
      </c>
      <c r="Q2212" t="s">
        <v>1703</v>
      </c>
      <c r="R2212" t="s">
        <v>4474</v>
      </c>
      <c r="T2212" t="s">
        <v>116</v>
      </c>
    </row>
    <row r="2213" ht="25.5" customHeight="1" spans="1:20">
      <c r="A2213" t="s">
        <v>1973</v>
      </c>
      <c r="B2213" t="s">
        <v>65</v>
      </c>
      <c r="C2213" t="s">
        <v>4473</v>
      </c>
      <c r="D2213" s="3"/>
      <c r="E2213" s="2">
        <v>45693</v>
      </c>
      <c r="F2213">
        <v>556000</v>
      </c>
      <c r="G2213">
        <v>8195</v>
      </c>
      <c r="I2213">
        <v>1</v>
      </c>
      <c r="L2213" t="s">
        <v>3138</v>
      </c>
      <c r="M2213" t="s">
        <v>3668</v>
      </c>
      <c r="N2213" t="s">
        <v>1630</v>
      </c>
      <c r="O2213" s="4">
        <v>45694.7115277778</v>
      </c>
      <c r="P2213" t="s">
        <v>116</v>
      </c>
      <c r="Q2213" t="s">
        <v>1703</v>
      </c>
      <c r="R2213" t="s">
        <v>4474</v>
      </c>
      <c r="T2213" t="s">
        <v>116</v>
      </c>
    </row>
    <row r="2214" ht="25.5" customHeight="1" spans="1:20">
      <c r="A2214" t="s">
        <v>1973</v>
      </c>
      <c r="B2214" t="s">
        <v>65</v>
      </c>
      <c r="C2214" t="s">
        <v>4473</v>
      </c>
      <c r="D2214" s="3"/>
      <c r="E2214" s="2">
        <v>45694</v>
      </c>
      <c r="F2214">
        <v>556000</v>
      </c>
      <c r="G2214">
        <v>8974</v>
      </c>
      <c r="I2214">
        <v>1</v>
      </c>
      <c r="L2214" t="s">
        <v>3138</v>
      </c>
      <c r="M2214" t="s">
        <v>3668</v>
      </c>
      <c r="N2214" t="s">
        <v>1630</v>
      </c>
      <c r="O2214" s="4">
        <v>45698.6216782407</v>
      </c>
      <c r="P2214" t="s">
        <v>116</v>
      </c>
      <c r="Q2214" t="s">
        <v>1703</v>
      </c>
      <c r="R2214" t="s">
        <v>4474</v>
      </c>
      <c r="S2214" t="s">
        <v>3169</v>
      </c>
      <c r="T2214" t="s">
        <v>116</v>
      </c>
    </row>
    <row r="2215" ht="25.5" customHeight="1" spans="1:20">
      <c r="A2215" t="s">
        <v>1973</v>
      </c>
      <c r="B2215" t="s">
        <v>65</v>
      </c>
      <c r="C2215" t="s">
        <v>4473</v>
      </c>
      <c r="D2215" s="3"/>
      <c r="E2215" s="2">
        <v>45695</v>
      </c>
      <c r="F2215">
        <v>556000</v>
      </c>
      <c r="G2215">
        <v>9265</v>
      </c>
      <c r="I2215">
        <v>6</v>
      </c>
      <c r="L2215" t="s">
        <v>3138</v>
      </c>
      <c r="M2215" t="s">
        <v>3668</v>
      </c>
      <c r="N2215" t="s">
        <v>1630</v>
      </c>
      <c r="O2215" s="4">
        <v>45695.5077199074</v>
      </c>
      <c r="P2215" t="s">
        <v>116</v>
      </c>
      <c r="Q2215" t="s">
        <v>1703</v>
      </c>
      <c r="R2215" t="s">
        <v>3664</v>
      </c>
      <c r="T2215" t="s">
        <v>116</v>
      </c>
    </row>
    <row r="2216" ht="25.5" customHeight="1" spans="1:20">
      <c r="A2216" t="s">
        <v>1973</v>
      </c>
      <c r="B2216" t="s">
        <v>65</v>
      </c>
      <c r="C2216" t="s">
        <v>4473</v>
      </c>
      <c r="D2216" s="3"/>
      <c r="E2216" s="2">
        <v>45696</v>
      </c>
      <c r="F2216">
        <v>556000</v>
      </c>
      <c r="G2216">
        <v>9510</v>
      </c>
      <c r="I2216">
        <v>6</v>
      </c>
      <c r="L2216" t="s">
        <v>3138</v>
      </c>
      <c r="M2216" t="s">
        <v>3668</v>
      </c>
      <c r="N2216" t="s">
        <v>1630</v>
      </c>
      <c r="O2216" s="4">
        <v>45696.461412037</v>
      </c>
      <c r="P2216" t="s">
        <v>116</v>
      </c>
      <c r="Q2216" t="s">
        <v>1703</v>
      </c>
      <c r="R2216" t="s">
        <v>3664</v>
      </c>
      <c r="T2216" t="s">
        <v>116</v>
      </c>
    </row>
    <row r="2217" ht="25.5" customHeight="1" spans="1:20">
      <c r="A2217" t="s">
        <v>2955</v>
      </c>
      <c r="B2217" t="s">
        <v>65</v>
      </c>
      <c r="C2217" t="s">
        <v>4475</v>
      </c>
      <c r="D2217" s="3" t="str">
        <f>HYPERLINK("https://www.instagram.com/markovichi_/reels/","https://www.instagram.com/markovichi_/reels/")</f>
        <v>https://www.instagram.com/markovichi_/reels/</v>
      </c>
      <c r="E2217" s="2">
        <v>45677</v>
      </c>
      <c r="F2217">
        <v>22100</v>
      </c>
      <c r="G2217">
        <v>6674</v>
      </c>
      <c r="H2217">
        <v>275</v>
      </c>
      <c r="I2217">
        <v>9</v>
      </c>
      <c r="L2217" t="s">
        <v>3331</v>
      </c>
      <c r="M2217" t="s">
        <v>3270</v>
      </c>
      <c r="N2217" t="s">
        <v>1630</v>
      </c>
      <c r="O2217" s="4">
        <v>45678.5124652778</v>
      </c>
      <c r="P2217" t="s">
        <v>116</v>
      </c>
      <c r="Q2217" t="s">
        <v>1652</v>
      </c>
      <c r="R2217" t="s">
        <v>3701</v>
      </c>
      <c r="T2217" t="s">
        <v>116</v>
      </c>
    </row>
    <row r="2218" ht="25.5" customHeight="1" spans="1:20">
      <c r="A2218" t="s">
        <v>2955</v>
      </c>
      <c r="B2218" t="s">
        <v>65</v>
      </c>
      <c r="C2218" t="s">
        <v>4475</v>
      </c>
      <c r="D2218" s="3"/>
      <c r="E2218" s="2">
        <v>45678</v>
      </c>
      <c r="F2218">
        <v>22100</v>
      </c>
      <c r="G2218">
        <v>7131</v>
      </c>
      <c r="H2218">
        <v>285</v>
      </c>
      <c r="I2218">
        <v>10</v>
      </c>
      <c r="L2218" t="s">
        <v>3331</v>
      </c>
      <c r="M2218" t="s">
        <v>3270</v>
      </c>
      <c r="N2218" t="s">
        <v>1630</v>
      </c>
      <c r="O2218" s="4">
        <v>45678.5125925926</v>
      </c>
      <c r="P2218" t="s">
        <v>116</v>
      </c>
      <c r="Q2218" t="s">
        <v>1652</v>
      </c>
      <c r="R2218" t="s">
        <v>4476</v>
      </c>
      <c r="T2218" t="s">
        <v>116</v>
      </c>
    </row>
    <row r="2219" ht="25.5" customHeight="1" spans="1:20">
      <c r="A2219" t="s">
        <v>2955</v>
      </c>
      <c r="B2219" t="s">
        <v>65</v>
      </c>
      <c r="C2219" t="s">
        <v>4475</v>
      </c>
      <c r="D2219" s="3"/>
      <c r="E2219" s="2">
        <v>45679</v>
      </c>
      <c r="F2219">
        <v>22100</v>
      </c>
      <c r="G2219">
        <v>7326</v>
      </c>
      <c r="H2219">
        <v>290</v>
      </c>
      <c r="I2219">
        <v>10</v>
      </c>
      <c r="L2219" t="s">
        <v>3331</v>
      </c>
      <c r="M2219" t="s">
        <v>3270</v>
      </c>
      <c r="N2219" t="s">
        <v>1630</v>
      </c>
      <c r="O2219" s="4">
        <v>45679.6727314815</v>
      </c>
      <c r="P2219" t="s">
        <v>116</v>
      </c>
      <c r="Q2219" t="s">
        <v>1652</v>
      </c>
      <c r="R2219" t="s">
        <v>4087</v>
      </c>
      <c r="T2219" t="s">
        <v>116</v>
      </c>
    </row>
    <row r="2220" ht="25.5" customHeight="1" spans="1:20">
      <c r="A2220" t="s">
        <v>2955</v>
      </c>
      <c r="B2220" t="s">
        <v>65</v>
      </c>
      <c r="C2220" t="s">
        <v>4475</v>
      </c>
      <c r="D2220" s="3"/>
      <c r="E2220" s="2">
        <v>45680</v>
      </c>
      <c r="F2220">
        <v>22100</v>
      </c>
      <c r="G2220">
        <v>7468</v>
      </c>
      <c r="H2220">
        <v>295</v>
      </c>
      <c r="I2220">
        <v>10</v>
      </c>
      <c r="L2220" t="s">
        <v>3331</v>
      </c>
      <c r="M2220" t="s">
        <v>3270</v>
      </c>
      <c r="N2220" t="s">
        <v>1630</v>
      </c>
      <c r="O2220" s="4">
        <v>45681.5088888889</v>
      </c>
      <c r="P2220" t="s">
        <v>116</v>
      </c>
      <c r="Q2220" t="s">
        <v>1652</v>
      </c>
      <c r="R2220" t="s">
        <v>3978</v>
      </c>
      <c r="T2220" t="s">
        <v>116</v>
      </c>
    </row>
    <row r="2221" ht="25.5" customHeight="1" spans="1:20">
      <c r="A2221" t="s">
        <v>2955</v>
      </c>
      <c r="B2221" t="s">
        <v>65</v>
      </c>
      <c r="C2221" t="s">
        <v>4475</v>
      </c>
      <c r="D2221" s="3"/>
      <c r="E2221" s="2">
        <v>45681</v>
      </c>
      <c r="F2221">
        <v>22100</v>
      </c>
      <c r="G2221">
        <v>7521</v>
      </c>
      <c r="H2221">
        <v>296</v>
      </c>
      <c r="I2221">
        <v>10</v>
      </c>
      <c r="L2221" t="s">
        <v>3331</v>
      </c>
      <c r="M2221" t="s">
        <v>3270</v>
      </c>
      <c r="N2221" t="s">
        <v>1630</v>
      </c>
      <c r="O2221" s="4">
        <v>45681.5090393519</v>
      </c>
      <c r="P2221" t="s">
        <v>116</v>
      </c>
      <c r="Q2221" t="s">
        <v>1652</v>
      </c>
      <c r="R2221" t="s">
        <v>3309</v>
      </c>
      <c r="T2221" t="s">
        <v>116</v>
      </c>
    </row>
    <row r="2222" ht="25.5" customHeight="1" spans="1:20">
      <c r="A2222" t="s">
        <v>2955</v>
      </c>
      <c r="B2222" t="s">
        <v>65</v>
      </c>
      <c r="C2222" t="s">
        <v>4475</v>
      </c>
      <c r="D2222" s="3"/>
      <c r="E2222" s="2">
        <v>45683</v>
      </c>
      <c r="F2222">
        <v>22100</v>
      </c>
      <c r="G2222">
        <v>7621</v>
      </c>
      <c r="H2222">
        <v>300</v>
      </c>
      <c r="I2222">
        <v>10</v>
      </c>
      <c r="L2222" t="s">
        <v>3331</v>
      </c>
      <c r="M2222" t="s">
        <v>3270</v>
      </c>
      <c r="N2222" t="s">
        <v>1630</v>
      </c>
      <c r="O2222" s="4">
        <v>45683.7401736111</v>
      </c>
      <c r="P2222" t="s">
        <v>116</v>
      </c>
      <c r="Q2222" t="s">
        <v>1652</v>
      </c>
      <c r="R2222" t="s">
        <v>3980</v>
      </c>
      <c r="T2222" t="s">
        <v>116</v>
      </c>
    </row>
    <row r="2223" ht="25.5" customHeight="1" spans="1:20">
      <c r="A2223" t="s">
        <v>2955</v>
      </c>
      <c r="B2223" t="s">
        <v>65</v>
      </c>
      <c r="C2223" t="s">
        <v>4475</v>
      </c>
      <c r="D2223" s="3"/>
      <c r="E2223" s="2">
        <v>45684</v>
      </c>
      <c r="F2223">
        <v>22100</v>
      </c>
      <c r="G2223">
        <v>7651</v>
      </c>
      <c r="H2223">
        <v>300</v>
      </c>
      <c r="I2223">
        <v>10</v>
      </c>
      <c r="L2223" t="s">
        <v>3331</v>
      </c>
      <c r="M2223" t="s">
        <v>3270</v>
      </c>
      <c r="N2223" t="s">
        <v>1630</v>
      </c>
      <c r="O2223" s="4">
        <v>45684.7904976852</v>
      </c>
      <c r="P2223" t="s">
        <v>116</v>
      </c>
      <c r="Q2223" t="s">
        <v>1652</v>
      </c>
      <c r="R2223" t="s">
        <v>3980</v>
      </c>
      <c r="T2223" t="s">
        <v>116</v>
      </c>
    </row>
    <row r="2224" ht="25.5" customHeight="1" spans="1:20">
      <c r="A2224" t="s">
        <v>2955</v>
      </c>
      <c r="B2224" t="s">
        <v>65</v>
      </c>
      <c r="C2224" t="s">
        <v>4475</v>
      </c>
      <c r="D2224" s="3"/>
      <c r="E2224" s="2">
        <v>45693</v>
      </c>
      <c r="F2224">
        <v>22000</v>
      </c>
      <c r="G2224">
        <v>7842</v>
      </c>
      <c r="H2224">
        <v>304</v>
      </c>
      <c r="I2224">
        <v>10</v>
      </c>
      <c r="L2224" t="s">
        <v>3331</v>
      </c>
      <c r="M2224" t="s">
        <v>3270</v>
      </c>
      <c r="N2224" t="s">
        <v>1630</v>
      </c>
      <c r="O2224" s="4">
        <v>45693.7877662037</v>
      </c>
      <c r="P2224" t="s">
        <v>116</v>
      </c>
      <c r="Q2224" t="s">
        <v>1652</v>
      </c>
      <c r="R2224" t="s">
        <v>4477</v>
      </c>
      <c r="T2224" t="s">
        <v>116</v>
      </c>
    </row>
    <row r="2225" ht="25.5" customHeight="1" spans="1:20">
      <c r="A2225" t="s">
        <v>2955</v>
      </c>
      <c r="B2225" t="s">
        <v>65</v>
      </c>
      <c r="C2225" t="s">
        <v>4475</v>
      </c>
      <c r="D2225" s="3"/>
      <c r="E2225" s="2">
        <v>45694</v>
      </c>
      <c r="F2225">
        <v>22000</v>
      </c>
      <c r="G2225">
        <v>7849</v>
      </c>
      <c r="H2225">
        <v>304</v>
      </c>
      <c r="I2225">
        <v>10</v>
      </c>
      <c r="L2225" t="s">
        <v>3331</v>
      </c>
      <c r="M2225" t="s">
        <v>3270</v>
      </c>
      <c r="N2225" t="s">
        <v>1630</v>
      </c>
      <c r="O2225" s="4">
        <v>45698.6216782407</v>
      </c>
      <c r="P2225" t="s">
        <v>116</v>
      </c>
      <c r="Q2225" t="s">
        <v>1652</v>
      </c>
      <c r="R2225" t="s">
        <v>4477</v>
      </c>
      <c r="S2225" t="s">
        <v>3180</v>
      </c>
      <c r="T2225" t="s">
        <v>116</v>
      </c>
    </row>
    <row r="2226" ht="25.5" customHeight="1" spans="1:20">
      <c r="A2226" t="s">
        <v>2955</v>
      </c>
      <c r="B2226" t="s">
        <v>65</v>
      </c>
      <c r="C2226" t="s">
        <v>4475</v>
      </c>
      <c r="D2226" s="3"/>
      <c r="E2226" s="2">
        <v>45695</v>
      </c>
      <c r="F2226">
        <v>22000</v>
      </c>
      <c r="G2226">
        <v>7880</v>
      </c>
      <c r="H2226">
        <v>305</v>
      </c>
      <c r="I2226">
        <v>10</v>
      </c>
      <c r="L2226" t="s">
        <v>3331</v>
      </c>
      <c r="M2226" t="s">
        <v>3270</v>
      </c>
      <c r="N2226" t="s">
        <v>1630</v>
      </c>
      <c r="O2226" s="4">
        <v>45695.5078587963</v>
      </c>
      <c r="P2226" t="s">
        <v>116</v>
      </c>
      <c r="Q2226" t="s">
        <v>1652</v>
      </c>
      <c r="R2226" t="s">
        <v>4478</v>
      </c>
      <c r="T2226" t="s">
        <v>116</v>
      </c>
    </row>
    <row r="2227" ht="25.5" customHeight="1" spans="1:20">
      <c r="A2227" t="s">
        <v>2955</v>
      </c>
      <c r="B2227" t="s">
        <v>65</v>
      </c>
      <c r="C2227" t="s">
        <v>4475</v>
      </c>
      <c r="D2227" s="3"/>
      <c r="E2227" s="2">
        <v>45696</v>
      </c>
      <c r="F2227">
        <v>22100</v>
      </c>
      <c r="G2227">
        <v>7992</v>
      </c>
      <c r="H2227">
        <v>306</v>
      </c>
      <c r="I2227">
        <v>10</v>
      </c>
      <c r="L2227" t="s">
        <v>3331</v>
      </c>
      <c r="M2227" t="s">
        <v>3270</v>
      </c>
      <c r="N2227" t="s">
        <v>1630</v>
      </c>
      <c r="O2227" s="4">
        <v>45696.4622222222</v>
      </c>
      <c r="P2227" t="s">
        <v>116</v>
      </c>
      <c r="Q2227" t="s">
        <v>1652</v>
      </c>
      <c r="R2227" t="s">
        <v>4185</v>
      </c>
      <c r="T2227" t="s">
        <v>116</v>
      </c>
    </row>
    <row r="2228" ht="25.5" customHeight="1" spans="1:20">
      <c r="A2228" t="s">
        <v>2181</v>
      </c>
      <c r="B2228" t="s">
        <v>65</v>
      </c>
      <c r="C2228" t="s">
        <v>4479</v>
      </c>
      <c r="D2228" s="3" t="str">
        <f>HYPERLINK("https://www.instagram.com/nicolasllombardo/reels/","https://www.instagram.com/nicolasllombardo/reels/")</f>
        <v>https://www.instagram.com/nicolasllombardo/reels/</v>
      </c>
      <c r="E2228" s="2">
        <v>45671</v>
      </c>
      <c r="F2228">
        <v>113000</v>
      </c>
      <c r="G2228">
        <v>33700</v>
      </c>
      <c r="H2228">
        <v>1221</v>
      </c>
      <c r="I2228">
        <v>18</v>
      </c>
      <c r="L2228" t="s">
        <v>3331</v>
      </c>
      <c r="M2228" t="s">
        <v>3228</v>
      </c>
      <c r="N2228" t="s">
        <v>1630</v>
      </c>
      <c r="O2228" s="4">
        <v>45673.503900463</v>
      </c>
      <c r="P2228" t="s">
        <v>116</v>
      </c>
      <c r="Q2228" t="s">
        <v>1703</v>
      </c>
      <c r="R2228" t="s">
        <v>4480</v>
      </c>
      <c r="T2228" t="s">
        <v>116</v>
      </c>
    </row>
    <row r="2229" ht="25.5" customHeight="1" spans="1:20">
      <c r="A2229" t="s">
        <v>2181</v>
      </c>
      <c r="B2229" t="s">
        <v>65</v>
      </c>
      <c r="C2229" t="s">
        <v>4479</v>
      </c>
      <c r="D2229" s="3"/>
      <c r="E2229" s="2">
        <v>45672</v>
      </c>
      <c r="F2229">
        <v>113000</v>
      </c>
      <c r="G2229">
        <v>43000</v>
      </c>
      <c r="H2229">
        <v>1787</v>
      </c>
      <c r="I2229">
        <v>23</v>
      </c>
      <c r="L2229" t="s">
        <v>3281</v>
      </c>
      <c r="M2229" t="s">
        <v>3228</v>
      </c>
      <c r="N2229" t="s">
        <v>1630</v>
      </c>
      <c r="O2229" s="4">
        <v>45673.5037384259</v>
      </c>
      <c r="P2229" t="s">
        <v>116</v>
      </c>
      <c r="Q2229" t="s">
        <v>1703</v>
      </c>
      <c r="R2229" t="s">
        <v>3870</v>
      </c>
      <c r="T2229" t="s">
        <v>116</v>
      </c>
    </row>
    <row r="2230" ht="25.5" customHeight="1" spans="1:20">
      <c r="A2230" t="s">
        <v>2181</v>
      </c>
      <c r="B2230" t="s">
        <v>65</v>
      </c>
      <c r="C2230" t="s">
        <v>4479</v>
      </c>
      <c r="D2230" s="3"/>
      <c r="E2230" s="2">
        <v>45673</v>
      </c>
      <c r="F2230">
        <v>114000</v>
      </c>
      <c r="G2230">
        <v>66200</v>
      </c>
      <c r="H2230">
        <v>2187</v>
      </c>
      <c r="I2230">
        <v>30</v>
      </c>
      <c r="L2230" t="s">
        <v>3281</v>
      </c>
      <c r="M2230" t="s">
        <v>3228</v>
      </c>
      <c r="N2230" t="s">
        <v>1630</v>
      </c>
      <c r="O2230" s="4">
        <v>45673.5036805556</v>
      </c>
      <c r="P2230" t="s">
        <v>116</v>
      </c>
      <c r="Q2230" t="s">
        <v>1703</v>
      </c>
      <c r="R2230" t="s">
        <v>4481</v>
      </c>
      <c r="T2230" t="s">
        <v>116</v>
      </c>
    </row>
    <row r="2231" ht="25.5" customHeight="1" spans="1:20">
      <c r="A2231" t="s">
        <v>2181</v>
      </c>
      <c r="B2231" t="s">
        <v>65</v>
      </c>
      <c r="C2231" t="s">
        <v>4479</v>
      </c>
      <c r="D2231" s="3"/>
      <c r="E2231" s="2">
        <v>45674</v>
      </c>
      <c r="F2231">
        <v>114000</v>
      </c>
      <c r="G2231">
        <v>72100</v>
      </c>
      <c r="H2231">
        <v>2333</v>
      </c>
      <c r="I2231">
        <v>32</v>
      </c>
      <c r="L2231" t="s">
        <v>3281</v>
      </c>
      <c r="M2231" t="s">
        <v>3228</v>
      </c>
      <c r="N2231" t="s">
        <v>1630</v>
      </c>
      <c r="O2231" s="4">
        <v>45674.6474305556</v>
      </c>
      <c r="P2231" t="s">
        <v>116</v>
      </c>
      <c r="Q2231" t="s">
        <v>1703</v>
      </c>
      <c r="R2231" t="s">
        <v>4482</v>
      </c>
      <c r="T2231" t="s">
        <v>116</v>
      </c>
    </row>
    <row r="2232" ht="25.5" customHeight="1" spans="1:20">
      <c r="A2232" t="s">
        <v>2181</v>
      </c>
      <c r="B2232" t="s">
        <v>65</v>
      </c>
      <c r="C2232" t="s">
        <v>4479</v>
      </c>
      <c r="D2232" s="3"/>
      <c r="E2232" s="2">
        <v>45677</v>
      </c>
      <c r="F2232">
        <v>114000</v>
      </c>
      <c r="G2232">
        <v>80400</v>
      </c>
      <c r="H2232">
        <v>2602</v>
      </c>
      <c r="I2232">
        <v>35</v>
      </c>
      <c r="L2232" t="s">
        <v>3281</v>
      </c>
      <c r="M2232" t="s">
        <v>3228</v>
      </c>
      <c r="N2232" t="s">
        <v>1630</v>
      </c>
      <c r="O2232" s="4">
        <v>45677.4138194444</v>
      </c>
      <c r="P2232" t="s">
        <v>116</v>
      </c>
      <c r="Q2232" t="s">
        <v>1703</v>
      </c>
      <c r="R2232" t="s">
        <v>4483</v>
      </c>
      <c r="T2232" t="s">
        <v>116</v>
      </c>
    </row>
    <row r="2233" ht="25.5" customHeight="1" spans="1:20">
      <c r="A2233" t="s">
        <v>2181</v>
      </c>
      <c r="B2233" t="s">
        <v>65</v>
      </c>
      <c r="C2233" t="s">
        <v>4479</v>
      </c>
      <c r="D2233" s="3"/>
      <c r="E2233" s="2">
        <v>45678</v>
      </c>
      <c r="F2233">
        <v>114000</v>
      </c>
      <c r="G2233">
        <v>82200</v>
      </c>
      <c r="H2233">
        <v>2662</v>
      </c>
      <c r="I2233">
        <v>36</v>
      </c>
      <c r="L2233" t="s">
        <v>3281</v>
      </c>
      <c r="M2233" t="s">
        <v>3228</v>
      </c>
      <c r="N2233" t="s">
        <v>1630</v>
      </c>
      <c r="O2233" s="4">
        <v>45678.5170833333</v>
      </c>
      <c r="P2233" t="s">
        <v>116</v>
      </c>
      <c r="Q2233" t="s">
        <v>1703</v>
      </c>
      <c r="R2233" t="s">
        <v>4484</v>
      </c>
      <c r="T2233" t="s">
        <v>116</v>
      </c>
    </row>
    <row r="2234" ht="25.5" customHeight="1" spans="1:20">
      <c r="A2234" t="s">
        <v>2181</v>
      </c>
      <c r="B2234" t="s">
        <v>65</v>
      </c>
      <c r="C2234" t="s">
        <v>4479</v>
      </c>
      <c r="D2234" s="3"/>
      <c r="E2234" s="2">
        <v>45679</v>
      </c>
      <c r="F2234">
        <v>114000</v>
      </c>
      <c r="G2234">
        <v>83400</v>
      </c>
      <c r="H2234">
        <v>2695</v>
      </c>
      <c r="I2234">
        <v>36</v>
      </c>
      <c r="L2234" t="s">
        <v>3281</v>
      </c>
      <c r="M2234" t="s">
        <v>3228</v>
      </c>
      <c r="N2234" t="s">
        <v>1630</v>
      </c>
      <c r="O2234" s="4">
        <v>45679.6730092593</v>
      </c>
      <c r="P2234" t="s">
        <v>116</v>
      </c>
      <c r="Q2234" t="s">
        <v>1703</v>
      </c>
      <c r="R2234" t="s">
        <v>4485</v>
      </c>
      <c r="T2234" t="s">
        <v>116</v>
      </c>
    </row>
    <row r="2235" ht="25.5" customHeight="1" spans="1:20">
      <c r="A2235" t="s">
        <v>2181</v>
      </c>
      <c r="B2235" t="s">
        <v>65</v>
      </c>
      <c r="C2235" t="s">
        <v>4479</v>
      </c>
      <c r="D2235" s="3"/>
      <c r="E2235" s="2">
        <v>45680</v>
      </c>
      <c r="F2235">
        <v>114000</v>
      </c>
      <c r="G2235">
        <v>84400</v>
      </c>
      <c r="H2235">
        <v>2728</v>
      </c>
      <c r="I2235">
        <v>37</v>
      </c>
      <c r="L2235" t="s">
        <v>3281</v>
      </c>
      <c r="M2235" t="s">
        <v>3228</v>
      </c>
      <c r="N2235" t="s">
        <v>1630</v>
      </c>
      <c r="O2235" s="4">
        <v>45680.6232060185</v>
      </c>
      <c r="P2235" t="s">
        <v>116</v>
      </c>
      <c r="Q2235" t="s">
        <v>1703</v>
      </c>
      <c r="R2235" t="s">
        <v>4486</v>
      </c>
      <c r="T2235" t="s">
        <v>116</v>
      </c>
    </row>
    <row r="2236" ht="25.5" customHeight="1" spans="1:20">
      <c r="A2236" t="s">
        <v>2181</v>
      </c>
      <c r="B2236" t="s">
        <v>65</v>
      </c>
      <c r="C2236" t="s">
        <v>4479</v>
      </c>
      <c r="D2236" s="3"/>
      <c r="E2236" s="2">
        <v>45681</v>
      </c>
      <c r="F2236">
        <v>114000</v>
      </c>
      <c r="G2236">
        <v>85300</v>
      </c>
      <c r="H2236">
        <v>2755</v>
      </c>
      <c r="I2236">
        <v>37</v>
      </c>
      <c r="L2236" t="s">
        <v>3281</v>
      </c>
      <c r="M2236" t="s">
        <v>3228</v>
      </c>
      <c r="N2236" t="s">
        <v>1630</v>
      </c>
      <c r="O2236" s="4">
        <v>45681.5092476852</v>
      </c>
      <c r="P2236" t="s">
        <v>116</v>
      </c>
      <c r="Q2236" t="s">
        <v>1703</v>
      </c>
      <c r="R2236" t="s">
        <v>4487</v>
      </c>
      <c r="T2236" t="s">
        <v>116</v>
      </c>
    </row>
    <row r="2237" ht="25.5" customHeight="1" spans="1:20">
      <c r="A2237" t="s">
        <v>2181</v>
      </c>
      <c r="B2237" t="s">
        <v>65</v>
      </c>
      <c r="C2237" t="s">
        <v>4479</v>
      </c>
      <c r="D2237" s="3"/>
      <c r="E2237" s="2">
        <v>45683</v>
      </c>
      <c r="F2237">
        <v>114000</v>
      </c>
      <c r="G2237">
        <v>87200</v>
      </c>
      <c r="H2237">
        <v>2797</v>
      </c>
      <c r="I2237">
        <v>37</v>
      </c>
      <c r="L2237" t="s">
        <v>3281</v>
      </c>
      <c r="M2237" t="s">
        <v>3228</v>
      </c>
      <c r="N2237" t="s">
        <v>1630</v>
      </c>
      <c r="O2237" s="4">
        <v>45683.7404282407</v>
      </c>
      <c r="P2237" t="s">
        <v>116</v>
      </c>
      <c r="Q2237" t="s">
        <v>1703</v>
      </c>
      <c r="R2237" t="s">
        <v>4488</v>
      </c>
      <c r="T2237" t="s">
        <v>116</v>
      </c>
    </row>
    <row r="2238" ht="25.5" customHeight="1" spans="1:20">
      <c r="A2238" t="s">
        <v>2181</v>
      </c>
      <c r="B2238" t="s">
        <v>65</v>
      </c>
      <c r="C2238" t="s">
        <v>4479</v>
      </c>
      <c r="D2238" s="3"/>
      <c r="E2238" s="2">
        <v>45684</v>
      </c>
      <c r="F2238">
        <v>114000</v>
      </c>
      <c r="G2238">
        <v>88200</v>
      </c>
      <c r="H2238">
        <v>2834</v>
      </c>
      <c r="I2238">
        <v>37</v>
      </c>
      <c r="L2238" t="s">
        <v>3284</v>
      </c>
      <c r="M2238" t="s">
        <v>3228</v>
      </c>
      <c r="N2238" t="s">
        <v>1630</v>
      </c>
      <c r="O2238" s="4">
        <v>45684.7906365741</v>
      </c>
      <c r="P2238" t="s">
        <v>116</v>
      </c>
      <c r="Q2238" t="s">
        <v>1703</v>
      </c>
      <c r="R2238" t="s">
        <v>4489</v>
      </c>
      <c r="T2238" t="s">
        <v>116</v>
      </c>
    </row>
    <row r="2239" ht="25.5" customHeight="1" spans="1:20">
      <c r="A2239" t="s">
        <v>2181</v>
      </c>
      <c r="B2239" t="s">
        <v>65</v>
      </c>
      <c r="C2239" t="s">
        <v>4479</v>
      </c>
      <c r="D2239" s="3"/>
      <c r="E2239" s="2">
        <v>45693</v>
      </c>
      <c r="F2239">
        <v>114000</v>
      </c>
      <c r="G2239">
        <v>93000</v>
      </c>
      <c r="H2239">
        <v>3005</v>
      </c>
      <c r="I2239">
        <v>38</v>
      </c>
      <c r="L2239" t="s">
        <v>3284</v>
      </c>
      <c r="M2239" t="s">
        <v>3228</v>
      </c>
      <c r="N2239" t="s">
        <v>1630</v>
      </c>
      <c r="O2239" s="4">
        <v>45693.7881365741</v>
      </c>
      <c r="P2239" t="s">
        <v>116</v>
      </c>
      <c r="Q2239" t="s">
        <v>1703</v>
      </c>
      <c r="R2239" t="s">
        <v>4490</v>
      </c>
      <c r="T2239" t="s">
        <v>116</v>
      </c>
    </row>
    <row r="2240" ht="25.5" customHeight="1" spans="1:20">
      <c r="A2240" t="s">
        <v>2181</v>
      </c>
      <c r="B2240" t="s">
        <v>65</v>
      </c>
      <c r="C2240" t="s">
        <v>4479</v>
      </c>
      <c r="D2240" s="3"/>
      <c r="E2240" s="2">
        <v>45694</v>
      </c>
      <c r="F2240">
        <v>114000</v>
      </c>
      <c r="G2240">
        <v>93300</v>
      </c>
      <c r="H2240">
        <v>3018</v>
      </c>
      <c r="I2240">
        <v>38</v>
      </c>
      <c r="L2240" t="s">
        <v>3284</v>
      </c>
      <c r="M2240" t="s">
        <v>3228</v>
      </c>
      <c r="N2240" t="s">
        <v>1630</v>
      </c>
      <c r="O2240" s="4">
        <v>45698.6216782407</v>
      </c>
      <c r="P2240" t="s">
        <v>116</v>
      </c>
      <c r="Q2240" t="s">
        <v>1703</v>
      </c>
      <c r="R2240" t="s">
        <v>4491</v>
      </c>
      <c r="S2240" t="s">
        <v>3245</v>
      </c>
      <c r="T2240" t="s">
        <v>116</v>
      </c>
    </row>
    <row r="2241" ht="25.5" customHeight="1" spans="1:20">
      <c r="A2241" t="s">
        <v>2181</v>
      </c>
      <c r="B2241" t="s">
        <v>65</v>
      </c>
      <c r="C2241" t="s">
        <v>4479</v>
      </c>
      <c r="D2241" s="3"/>
      <c r="E2241" s="2">
        <v>45695</v>
      </c>
      <c r="F2241">
        <v>114000</v>
      </c>
      <c r="G2241">
        <v>93700</v>
      </c>
      <c r="H2241">
        <v>3030</v>
      </c>
      <c r="I2241">
        <v>38</v>
      </c>
      <c r="L2241" t="s">
        <v>3284</v>
      </c>
      <c r="M2241" t="s">
        <v>3228</v>
      </c>
      <c r="N2241" t="s">
        <v>1630</v>
      </c>
      <c r="O2241" s="4">
        <v>45695.5079976852</v>
      </c>
      <c r="P2241" t="s">
        <v>116</v>
      </c>
      <c r="Q2241" t="s">
        <v>1703</v>
      </c>
      <c r="R2241" t="s">
        <v>4492</v>
      </c>
      <c r="T2241" t="s">
        <v>116</v>
      </c>
    </row>
    <row r="2242" ht="25.5" customHeight="1" spans="1:20">
      <c r="A2242" t="s">
        <v>2181</v>
      </c>
      <c r="B2242" t="s">
        <v>65</v>
      </c>
      <c r="C2242" t="s">
        <v>4479</v>
      </c>
      <c r="D2242" s="3"/>
      <c r="E2242" s="2">
        <v>45696</v>
      </c>
      <c r="F2242">
        <v>114000</v>
      </c>
      <c r="G2242">
        <v>94000</v>
      </c>
      <c r="H2242">
        <v>3039</v>
      </c>
      <c r="I2242">
        <v>38</v>
      </c>
      <c r="L2242" t="s">
        <v>3284</v>
      </c>
      <c r="M2242" t="s">
        <v>3228</v>
      </c>
      <c r="N2242" t="s">
        <v>1630</v>
      </c>
      <c r="O2242" s="4">
        <v>45696.4625578704</v>
      </c>
      <c r="P2242" t="s">
        <v>116</v>
      </c>
      <c r="Q2242" t="s">
        <v>1703</v>
      </c>
      <c r="R2242" t="s">
        <v>4493</v>
      </c>
      <c r="T2242" t="s">
        <v>116</v>
      </c>
    </row>
    <row r="2243" ht="25.5" customHeight="1" spans="1:20">
      <c r="A2243" t="s">
        <v>2827</v>
      </c>
      <c r="B2243" t="s">
        <v>65</v>
      </c>
      <c r="C2243" t="s">
        <v>4494</v>
      </c>
      <c r="D2243" s="3" t="str">
        <f>HYPERLINK("https://www.instagram.com/ourdesksetup/reels/","https://www.instagram.com/ourdesksetup/reels/")</f>
        <v>https://www.instagram.com/ourdesksetup/reels/</v>
      </c>
      <c r="E2243" s="2">
        <v>45667</v>
      </c>
      <c r="F2243">
        <v>64600</v>
      </c>
      <c r="G2243">
        <v>1542</v>
      </c>
      <c r="H2243">
        <v>19</v>
      </c>
      <c r="I2243">
        <v>0</v>
      </c>
      <c r="L2243" t="s">
        <v>3138</v>
      </c>
      <c r="M2243" t="s">
        <v>3393</v>
      </c>
      <c r="N2243" t="s">
        <v>1630</v>
      </c>
      <c r="O2243" s="4">
        <v>45670.7908680556</v>
      </c>
      <c r="P2243" t="s">
        <v>116</v>
      </c>
      <c r="Q2243" t="s">
        <v>1779</v>
      </c>
      <c r="R2243" t="s">
        <v>3877</v>
      </c>
      <c r="T2243" t="s">
        <v>116</v>
      </c>
    </row>
    <row r="2244" ht="25.5" customHeight="1" spans="1:20">
      <c r="A2244" t="s">
        <v>2827</v>
      </c>
      <c r="B2244" t="s">
        <v>65</v>
      </c>
      <c r="C2244" t="s">
        <v>4494</v>
      </c>
      <c r="D2244" s="3"/>
      <c r="E2244" s="2">
        <v>45671</v>
      </c>
      <c r="F2244">
        <v>64600</v>
      </c>
      <c r="G2244">
        <v>1616</v>
      </c>
      <c r="H2244">
        <v>20</v>
      </c>
      <c r="I2244">
        <v>0</v>
      </c>
      <c r="L2244" t="s">
        <v>3138</v>
      </c>
      <c r="M2244" t="s">
        <v>3393</v>
      </c>
      <c r="N2244" t="s">
        <v>1630</v>
      </c>
      <c r="O2244" s="4">
        <v>45672.5030092593</v>
      </c>
      <c r="P2244" t="s">
        <v>116</v>
      </c>
      <c r="Q2244" t="s">
        <v>1779</v>
      </c>
      <c r="R2244" t="s">
        <v>3878</v>
      </c>
      <c r="T2244" t="s">
        <v>116</v>
      </c>
    </row>
    <row r="2245" ht="25.5" customHeight="1" spans="1:20">
      <c r="A2245" t="s">
        <v>2827</v>
      </c>
      <c r="B2245" t="s">
        <v>65</v>
      </c>
      <c r="C2245" t="s">
        <v>4494</v>
      </c>
      <c r="D2245" s="3"/>
      <c r="E2245" s="2">
        <v>45672</v>
      </c>
      <c r="F2245">
        <v>64600</v>
      </c>
      <c r="G2245">
        <v>1667</v>
      </c>
      <c r="H2245">
        <v>20</v>
      </c>
      <c r="I2245">
        <v>0</v>
      </c>
      <c r="L2245" t="s">
        <v>3138</v>
      </c>
      <c r="M2245" t="s">
        <v>3393</v>
      </c>
      <c r="N2245" t="s">
        <v>1630</v>
      </c>
      <c r="O2245" s="4">
        <v>45672.5141782407</v>
      </c>
      <c r="P2245" t="s">
        <v>116</v>
      </c>
      <c r="Q2245" t="s">
        <v>1779</v>
      </c>
      <c r="R2245" t="s">
        <v>3878</v>
      </c>
      <c r="T2245" t="s">
        <v>116</v>
      </c>
    </row>
    <row r="2246" ht="25.5" customHeight="1" spans="1:20">
      <c r="A2246" t="s">
        <v>2827</v>
      </c>
      <c r="B2246" t="s">
        <v>65</v>
      </c>
      <c r="C2246" t="s">
        <v>4494</v>
      </c>
      <c r="D2246" s="3"/>
      <c r="E2246" s="2">
        <v>45673</v>
      </c>
      <c r="F2246">
        <v>64600</v>
      </c>
      <c r="G2246">
        <v>1718</v>
      </c>
      <c r="H2246">
        <v>20</v>
      </c>
      <c r="I2246">
        <v>0</v>
      </c>
      <c r="L2246" t="s">
        <v>3138</v>
      </c>
      <c r="M2246" t="s">
        <v>3393</v>
      </c>
      <c r="N2246" t="s">
        <v>1630</v>
      </c>
      <c r="O2246" s="4">
        <v>45673.5040625</v>
      </c>
      <c r="P2246" t="s">
        <v>116</v>
      </c>
      <c r="Q2246" t="s">
        <v>1779</v>
      </c>
      <c r="R2246" t="s">
        <v>3878</v>
      </c>
      <c r="T2246" t="s">
        <v>116</v>
      </c>
    </row>
    <row r="2247" ht="25.5" customHeight="1" spans="1:20">
      <c r="A2247" t="s">
        <v>2827</v>
      </c>
      <c r="B2247" t="s">
        <v>65</v>
      </c>
      <c r="C2247" t="s">
        <v>4494</v>
      </c>
      <c r="D2247" s="3"/>
      <c r="E2247" s="2">
        <v>45674</v>
      </c>
      <c r="F2247">
        <v>64600</v>
      </c>
      <c r="G2247">
        <v>1750</v>
      </c>
      <c r="H2247">
        <v>20</v>
      </c>
      <c r="I2247">
        <v>0</v>
      </c>
      <c r="L2247" t="s">
        <v>3138</v>
      </c>
      <c r="M2247" t="s">
        <v>3393</v>
      </c>
      <c r="N2247" t="s">
        <v>1630</v>
      </c>
      <c r="O2247" s="4">
        <v>45674.6476273148</v>
      </c>
      <c r="P2247" t="s">
        <v>116</v>
      </c>
      <c r="Q2247" t="s">
        <v>1779</v>
      </c>
      <c r="R2247" t="s">
        <v>3878</v>
      </c>
      <c r="T2247" t="s">
        <v>116</v>
      </c>
    </row>
    <row r="2248" ht="25.5" customHeight="1" spans="1:20">
      <c r="A2248" t="s">
        <v>2827</v>
      </c>
      <c r="B2248" t="s">
        <v>65</v>
      </c>
      <c r="C2248" t="s">
        <v>4494</v>
      </c>
      <c r="D2248" s="3"/>
      <c r="E2248" s="2">
        <v>45677</v>
      </c>
      <c r="F2248">
        <v>64600</v>
      </c>
      <c r="G2248">
        <v>1860</v>
      </c>
      <c r="H2248">
        <v>20</v>
      </c>
      <c r="I2248">
        <v>0</v>
      </c>
      <c r="L2248" t="s">
        <v>3138</v>
      </c>
      <c r="M2248" t="s">
        <v>3393</v>
      </c>
      <c r="N2248" t="s">
        <v>1630</v>
      </c>
      <c r="O2248" s="4">
        <v>45677.4139699074</v>
      </c>
      <c r="P2248" t="s">
        <v>116</v>
      </c>
      <c r="Q2248" t="s">
        <v>1779</v>
      </c>
      <c r="R2248" t="s">
        <v>3878</v>
      </c>
      <c r="T2248" t="s">
        <v>116</v>
      </c>
    </row>
    <row r="2249" ht="25.5" customHeight="1" spans="1:20">
      <c r="A2249" t="s">
        <v>2827</v>
      </c>
      <c r="B2249" t="s">
        <v>65</v>
      </c>
      <c r="C2249" t="s">
        <v>4494</v>
      </c>
      <c r="D2249" s="3"/>
      <c r="E2249" s="2">
        <v>45678</v>
      </c>
      <c r="F2249">
        <v>64600</v>
      </c>
      <c r="G2249">
        <v>1901</v>
      </c>
      <c r="H2249">
        <v>20</v>
      </c>
      <c r="I2249">
        <v>0</v>
      </c>
      <c r="L2249" t="s">
        <v>3138</v>
      </c>
      <c r="M2249" t="s">
        <v>3393</v>
      </c>
      <c r="N2249" t="s">
        <v>1630</v>
      </c>
      <c r="O2249" s="4">
        <v>45678.5172685185</v>
      </c>
      <c r="P2249" t="s">
        <v>116</v>
      </c>
      <c r="Q2249" t="s">
        <v>1779</v>
      </c>
      <c r="R2249" t="s">
        <v>3878</v>
      </c>
      <c r="T2249" t="s">
        <v>116</v>
      </c>
    </row>
    <row r="2250" ht="25.5" customHeight="1" spans="1:20">
      <c r="A2250" t="s">
        <v>2827</v>
      </c>
      <c r="B2250" t="s">
        <v>65</v>
      </c>
      <c r="C2250" t="s">
        <v>4494</v>
      </c>
      <c r="D2250" s="3"/>
      <c r="E2250" s="2">
        <v>45679</v>
      </c>
      <c r="F2250">
        <v>64600</v>
      </c>
      <c r="G2250">
        <v>1935</v>
      </c>
      <c r="H2250">
        <v>20</v>
      </c>
      <c r="I2250">
        <v>0</v>
      </c>
      <c r="L2250" t="s">
        <v>3138</v>
      </c>
      <c r="M2250" t="s">
        <v>3393</v>
      </c>
      <c r="N2250" t="s">
        <v>1630</v>
      </c>
      <c r="O2250" s="4">
        <v>45679.6734606481</v>
      </c>
      <c r="P2250" t="s">
        <v>116</v>
      </c>
      <c r="Q2250" t="s">
        <v>1779</v>
      </c>
      <c r="R2250" t="s">
        <v>3878</v>
      </c>
      <c r="T2250" t="s">
        <v>116</v>
      </c>
    </row>
    <row r="2251" ht="25.5" customHeight="1" spans="1:20">
      <c r="A2251" t="s">
        <v>2827</v>
      </c>
      <c r="B2251" t="s">
        <v>65</v>
      </c>
      <c r="C2251" t="s">
        <v>4494</v>
      </c>
      <c r="D2251" s="3"/>
      <c r="E2251" s="2">
        <v>45680</v>
      </c>
      <c r="F2251">
        <v>64600</v>
      </c>
      <c r="G2251">
        <v>1960</v>
      </c>
      <c r="H2251">
        <v>20</v>
      </c>
      <c r="I2251">
        <v>0</v>
      </c>
      <c r="L2251" t="s">
        <v>3138</v>
      </c>
      <c r="M2251" t="s">
        <v>3393</v>
      </c>
      <c r="N2251" t="s">
        <v>1630</v>
      </c>
      <c r="O2251" s="4">
        <v>45680.6233796296</v>
      </c>
      <c r="P2251" t="s">
        <v>116</v>
      </c>
      <c r="Q2251" t="s">
        <v>1779</v>
      </c>
      <c r="R2251" t="s">
        <v>3878</v>
      </c>
      <c r="T2251" t="s">
        <v>116</v>
      </c>
    </row>
    <row r="2252" ht="25.5" customHeight="1" spans="1:20">
      <c r="A2252" t="s">
        <v>2827</v>
      </c>
      <c r="B2252" t="s">
        <v>65</v>
      </c>
      <c r="C2252" t="s">
        <v>4494</v>
      </c>
      <c r="D2252" s="3"/>
      <c r="E2252" s="2">
        <v>45681</v>
      </c>
      <c r="F2252">
        <v>64600</v>
      </c>
      <c r="G2252">
        <v>1984</v>
      </c>
      <c r="H2252">
        <v>21</v>
      </c>
      <c r="I2252">
        <v>0</v>
      </c>
      <c r="L2252" t="s">
        <v>3138</v>
      </c>
      <c r="M2252" t="s">
        <v>3393</v>
      </c>
      <c r="N2252" t="s">
        <v>1630</v>
      </c>
      <c r="O2252" s="4">
        <v>45681.5094675926</v>
      </c>
      <c r="P2252" t="s">
        <v>116</v>
      </c>
      <c r="Q2252" t="s">
        <v>1779</v>
      </c>
      <c r="R2252" t="s">
        <v>3786</v>
      </c>
      <c r="T2252" t="s">
        <v>116</v>
      </c>
    </row>
    <row r="2253" ht="25.5" customHeight="1" spans="1:20">
      <c r="A2253" t="s">
        <v>2827</v>
      </c>
      <c r="B2253" t="s">
        <v>65</v>
      </c>
      <c r="C2253" t="s">
        <v>4494</v>
      </c>
      <c r="D2253" s="3"/>
      <c r="E2253" s="2">
        <v>45683</v>
      </c>
      <c r="F2253">
        <v>64600</v>
      </c>
      <c r="G2253">
        <v>2023</v>
      </c>
      <c r="H2253">
        <v>21</v>
      </c>
      <c r="I2253">
        <v>0</v>
      </c>
      <c r="L2253" t="s">
        <v>3138</v>
      </c>
      <c r="M2253" t="s">
        <v>3393</v>
      </c>
      <c r="N2253" t="s">
        <v>1630</v>
      </c>
      <c r="O2253" s="4">
        <v>45683.7406481481</v>
      </c>
      <c r="P2253" t="s">
        <v>116</v>
      </c>
      <c r="Q2253" t="s">
        <v>1779</v>
      </c>
      <c r="R2253" t="s">
        <v>3786</v>
      </c>
      <c r="T2253" t="s">
        <v>116</v>
      </c>
    </row>
    <row r="2254" ht="25.5" customHeight="1" spans="1:20">
      <c r="A2254" t="s">
        <v>2827</v>
      </c>
      <c r="B2254" t="s">
        <v>65</v>
      </c>
      <c r="C2254" t="s">
        <v>4494</v>
      </c>
      <c r="D2254" s="3"/>
      <c r="E2254" s="2">
        <v>45684</v>
      </c>
      <c r="F2254">
        <v>64600</v>
      </c>
      <c r="G2254">
        <v>2045</v>
      </c>
      <c r="H2254">
        <v>21</v>
      </c>
      <c r="I2254">
        <v>0</v>
      </c>
      <c r="L2254" t="s">
        <v>3138</v>
      </c>
      <c r="M2254" t="s">
        <v>3393</v>
      </c>
      <c r="N2254" t="s">
        <v>1630</v>
      </c>
      <c r="O2254" s="4">
        <v>45684.7907638889</v>
      </c>
      <c r="P2254" t="s">
        <v>116</v>
      </c>
      <c r="Q2254" t="s">
        <v>1779</v>
      </c>
      <c r="R2254" t="s">
        <v>3786</v>
      </c>
      <c r="T2254" t="s">
        <v>116</v>
      </c>
    </row>
    <row r="2255" ht="25.5" customHeight="1" spans="1:20">
      <c r="A2255" t="s">
        <v>2827</v>
      </c>
      <c r="B2255" t="s">
        <v>65</v>
      </c>
      <c r="C2255" t="s">
        <v>4494</v>
      </c>
      <c r="D2255" s="3"/>
      <c r="E2255" s="2">
        <v>45693</v>
      </c>
      <c r="F2255">
        <v>64600</v>
      </c>
      <c r="G2255">
        <v>2206</v>
      </c>
      <c r="H2255">
        <v>23</v>
      </c>
      <c r="I2255">
        <v>0</v>
      </c>
      <c r="L2255" t="s">
        <v>3138</v>
      </c>
      <c r="M2255" t="s">
        <v>3393</v>
      </c>
      <c r="N2255" t="s">
        <v>1630</v>
      </c>
      <c r="O2255" s="4">
        <v>45693.7882407407</v>
      </c>
      <c r="P2255" t="s">
        <v>116</v>
      </c>
      <c r="Q2255" t="s">
        <v>1779</v>
      </c>
      <c r="R2255" t="s">
        <v>3787</v>
      </c>
      <c r="T2255" t="s">
        <v>116</v>
      </c>
    </row>
    <row r="2256" ht="25.5" customHeight="1" spans="1:20">
      <c r="A2256" t="s">
        <v>2827</v>
      </c>
      <c r="B2256" t="s">
        <v>65</v>
      </c>
      <c r="C2256" t="s">
        <v>4494</v>
      </c>
      <c r="D2256" s="3"/>
      <c r="E2256" s="2">
        <v>45694</v>
      </c>
      <c r="F2256">
        <v>64600</v>
      </c>
      <c r="G2256">
        <v>2215</v>
      </c>
      <c r="H2256">
        <v>23</v>
      </c>
      <c r="I2256">
        <v>0</v>
      </c>
      <c r="L2256" t="s">
        <v>3138</v>
      </c>
      <c r="M2256" t="s">
        <v>3393</v>
      </c>
      <c r="N2256" t="s">
        <v>1630</v>
      </c>
      <c r="O2256" s="4">
        <v>45698.6216782407</v>
      </c>
      <c r="P2256" t="s">
        <v>116</v>
      </c>
      <c r="Q2256" t="s">
        <v>1779</v>
      </c>
      <c r="R2256" t="s">
        <v>3787</v>
      </c>
      <c r="S2256" t="s">
        <v>3180</v>
      </c>
      <c r="T2256" t="s">
        <v>116</v>
      </c>
    </row>
    <row r="2257" ht="25.5" customHeight="1" spans="1:20">
      <c r="A2257" t="s">
        <v>2827</v>
      </c>
      <c r="B2257" t="s">
        <v>65</v>
      </c>
      <c r="C2257" t="s">
        <v>4494</v>
      </c>
      <c r="D2257" s="3"/>
      <c r="E2257" s="2">
        <v>45695</v>
      </c>
      <c r="F2257">
        <v>64700</v>
      </c>
      <c r="G2257">
        <v>2227</v>
      </c>
      <c r="H2257">
        <v>24</v>
      </c>
      <c r="I2257">
        <v>0</v>
      </c>
      <c r="L2257" t="s">
        <v>3138</v>
      </c>
      <c r="M2257" t="s">
        <v>3393</v>
      </c>
      <c r="N2257" t="s">
        <v>1630</v>
      </c>
      <c r="O2257" s="4">
        <v>45695.5082986111</v>
      </c>
      <c r="P2257" t="s">
        <v>116</v>
      </c>
      <c r="Q2257" t="s">
        <v>1779</v>
      </c>
      <c r="R2257" t="s">
        <v>3777</v>
      </c>
      <c r="T2257" t="s">
        <v>116</v>
      </c>
    </row>
    <row r="2258" ht="25.5" customHeight="1" spans="1:20">
      <c r="A2258" t="s">
        <v>186</v>
      </c>
      <c r="B2258" t="s">
        <v>56</v>
      </c>
      <c r="D2258" s="3"/>
      <c r="E2258" s="2"/>
      <c r="M2258" t="s">
        <v>3270</v>
      </c>
      <c r="N2258" t="s">
        <v>1645</v>
      </c>
      <c r="O2258" s="4">
        <v>45670.743587963</v>
      </c>
      <c r="P2258" t="s">
        <v>57</v>
      </c>
      <c r="Q2258" t="s">
        <v>1887</v>
      </c>
      <c r="R2258" t="s">
        <v>3133</v>
      </c>
      <c r="T2258" t="s">
        <v>57</v>
      </c>
    </row>
    <row r="2259" ht="25.5" customHeight="1" spans="1:20">
      <c r="A2259" t="s">
        <v>2828</v>
      </c>
      <c r="B2259" t="s">
        <v>65</v>
      </c>
      <c r="C2259" t="s">
        <v>4495</v>
      </c>
      <c r="D2259" s="3" t="str">
        <f>HYPERLINK("https://www.instagram.com/setupatic/reels/","https://www.instagram.com/setupatic/reels/")</f>
        <v>https://www.instagram.com/setupatic/reels/</v>
      </c>
      <c r="E2259" s="2">
        <v>45666</v>
      </c>
      <c r="F2259">
        <v>66500</v>
      </c>
      <c r="G2259">
        <v>2062</v>
      </c>
      <c r="H2259">
        <v>30</v>
      </c>
      <c r="I2259">
        <v>0</v>
      </c>
      <c r="L2259" t="s">
        <v>3138</v>
      </c>
      <c r="M2259" t="s">
        <v>3393</v>
      </c>
      <c r="N2259" t="s">
        <v>1630</v>
      </c>
      <c r="O2259" s="4">
        <v>45670.7911805556</v>
      </c>
      <c r="P2259" t="s">
        <v>116</v>
      </c>
      <c r="Q2259" t="s">
        <v>1631</v>
      </c>
      <c r="R2259" t="s">
        <v>3987</v>
      </c>
      <c r="T2259" t="s">
        <v>116</v>
      </c>
    </row>
    <row r="2260" ht="25.5" customHeight="1" spans="1:20">
      <c r="A2260" t="s">
        <v>2828</v>
      </c>
      <c r="B2260" t="s">
        <v>65</v>
      </c>
      <c r="C2260" t="s">
        <v>4495</v>
      </c>
      <c r="D2260" s="3"/>
      <c r="E2260" s="2">
        <v>45671</v>
      </c>
      <c r="F2260">
        <v>66400</v>
      </c>
      <c r="G2260">
        <v>2149</v>
      </c>
      <c r="H2260">
        <v>31</v>
      </c>
      <c r="I2260">
        <v>0</v>
      </c>
      <c r="L2260" t="s">
        <v>3138</v>
      </c>
      <c r="M2260" t="s">
        <v>3393</v>
      </c>
      <c r="N2260" t="s">
        <v>1630</v>
      </c>
      <c r="O2260" s="4">
        <v>45672.5030092593</v>
      </c>
      <c r="P2260" t="s">
        <v>116</v>
      </c>
      <c r="Q2260" t="s">
        <v>1631</v>
      </c>
      <c r="R2260" t="s">
        <v>3788</v>
      </c>
      <c r="T2260" t="s">
        <v>116</v>
      </c>
    </row>
    <row r="2261" ht="25.5" customHeight="1" spans="1:20">
      <c r="A2261" t="s">
        <v>2828</v>
      </c>
      <c r="B2261" t="s">
        <v>65</v>
      </c>
      <c r="C2261" t="s">
        <v>4495</v>
      </c>
      <c r="D2261" s="3"/>
      <c r="E2261" s="2">
        <v>45672</v>
      </c>
      <c r="F2261">
        <v>66400</v>
      </c>
      <c r="G2261">
        <v>2224</v>
      </c>
      <c r="H2261">
        <v>33</v>
      </c>
      <c r="I2261">
        <v>0</v>
      </c>
      <c r="L2261" t="s">
        <v>3138</v>
      </c>
      <c r="M2261" t="s">
        <v>3393</v>
      </c>
      <c r="N2261" t="s">
        <v>1630</v>
      </c>
      <c r="O2261" s="4">
        <v>45672.5142939815</v>
      </c>
      <c r="P2261" t="s">
        <v>116</v>
      </c>
      <c r="Q2261" t="s">
        <v>1631</v>
      </c>
      <c r="R2261" t="s">
        <v>3789</v>
      </c>
      <c r="T2261" t="s">
        <v>116</v>
      </c>
    </row>
    <row r="2262" ht="25.5" customHeight="1" spans="1:20">
      <c r="A2262" t="s">
        <v>2828</v>
      </c>
      <c r="B2262" t="s">
        <v>65</v>
      </c>
      <c r="C2262" t="s">
        <v>4495</v>
      </c>
      <c r="D2262" s="3"/>
      <c r="E2262" s="2">
        <v>45673</v>
      </c>
      <c r="F2262">
        <v>66400</v>
      </c>
      <c r="G2262">
        <v>2277</v>
      </c>
      <c r="H2262">
        <v>33</v>
      </c>
      <c r="I2262">
        <v>0</v>
      </c>
      <c r="L2262" t="s">
        <v>3138</v>
      </c>
      <c r="M2262" t="s">
        <v>3393</v>
      </c>
      <c r="N2262" t="s">
        <v>1630</v>
      </c>
      <c r="O2262" s="4">
        <v>45673.504375</v>
      </c>
      <c r="P2262" t="s">
        <v>116</v>
      </c>
      <c r="Q2262" t="s">
        <v>1631</v>
      </c>
      <c r="R2262" t="s">
        <v>3789</v>
      </c>
      <c r="T2262" t="s">
        <v>116</v>
      </c>
    </row>
    <row r="2263" ht="25.5" customHeight="1" spans="1:20">
      <c r="A2263" t="s">
        <v>2828</v>
      </c>
      <c r="B2263" t="s">
        <v>65</v>
      </c>
      <c r="C2263" t="s">
        <v>4495</v>
      </c>
      <c r="D2263" s="3"/>
      <c r="E2263" s="2">
        <v>45674</v>
      </c>
      <c r="F2263">
        <v>66400</v>
      </c>
      <c r="G2263">
        <v>2325</v>
      </c>
      <c r="H2263">
        <v>33</v>
      </c>
      <c r="I2263">
        <v>0</v>
      </c>
      <c r="L2263" t="s">
        <v>3138</v>
      </c>
      <c r="M2263" t="s">
        <v>3393</v>
      </c>
      <c r="N2263" t="s">
        <v>1630</v>
      </c>
      <c r="O2263" s="4">
        <v>45674.6479861111</v>
      </c>
      <c r="P2263" t="s">
        <v>116</v>
      </c>
      <c r="Q2263" t="s">
        <v>1631</v>
      </c>
      <c r="R2263" t="s">
        <v>3789</v>
      </c>
      <c r="T2263" t="s">
        <v>116</v>
      </c>
    </row>
    <row r="2264" ht="25.5" customHeight="1" spans="1:20">
      <c r="A2264" t="s">
        <v>2828</v>
      </c>
      <c r="B2264" t="s">
        <v>65</v>
      </c>
      <c r="C2264" t="s">
        <v>4495</v>
      </c>
      <c r="D2264" s="3"/>
      <c r="E2264" s="2">
        <v>45677</v>
      </c>
      <c r="F2264">
        <v>66400</v>
      </c>
      <c r="G2264">
        <v>2429</v>
      </c>
      <c r="H2264">
        <v>37</v>
      </c>
      <c r="I2264">
        <v>0</v>
      </c>
      <c r="L2264" t="s">
        <v>3138</v>
      </c>
      <c r="M2264" t="s">
        <v>3393</v>
      </c>
      <c r="N2264" t="s">
        <v>1630</v>
      </c>
      <c r="O2264" s="4">
        <v>45677.4144212963</v>
      </c>
      <c r="P2264" t="s">
        <v>116</v>
      </c>
      <c r="Q2264" t="s">
        <v>1631</v>
      </c>
      <c r="R2264" t="s">
        <v>3505</v>
      </c>
      <c r="T2264" t="s">
        <v>116</v>
      </c>
    </row>
    <row r="2265" ht="25.5" customHeight="1" spans="1:20">
      <c r="A2265" t="s">
        <v>2828</v>
      </c>
      <c r="B2265" t="s">
        <v>65</v>
      </c>
      <c r="C2265" t="s">
        <v>4495</v>
      </c>
      <c r="D2265" s="3"/>
      <c r="E2265" s="2">
        <v>45678</v>
      </c>
      <c r="F2265">
        <v>66400</v>
      </c>
      <c r="G2265">
        <v>2465</v>
      </c>
      <c r="H2265">
        <v>37</v>
      </c>
      <c r="I2265">
        <v>0</v>
      </c>
      <c r="L2265" t="s">
        <v>3138</v>
      </c>
      <c r="M2265" t="s">
        <v>3393</v>
      </c>
      <c r="N2265" t="s">
        <v>1630</v>
      </c>
      <c r="O2265" s="4">
        <v>45678.5174421296</v>
      </c>
      <c r="P2265" t="s">
        <v>116</v>
      </c>
      <c r="Q2265" t="s">
        <v>1631</v>
      </c>
      <c r="R2265" t="s">
        <v>3505</v>
      </c>
      <c r="T2265" t="s">
        <v>116</v>
      </c>
    </row>
    <row r="2266" ht="25.5" customHeight="1" spans="1:20">
      <c r="A2266" t="s">
        <v>2828</v>
      </c>
      <c r="B2266" t="s">
        <v>65</v>
      </c>
      <c r="C2266" t="s">
        <v>4495</v>
      </c>
      <c r="D2266" s="3"/>
      <c r="E2266" s="2">
        <v>45679</v>
      </c>
      <c r="F2266">
        <v>66400</v>
      </c>
      <c r="G2266">
        <v>2513</v>
      </c>
      <c r="H2266">
        <v>37</v>
      </c>
      <c r="I2266">
        <v>0</v>
      </c>
      <c r="L2266" t="s">
        <v>3138</v>
      </c>
      <c r="M2266" t="s">
        <v>3393</v>
      </c>
      <c r="N2266" t="s">
        <v>1630</v>
      </c>
      <c r="O2266" s="4">
        <v>45679.6737152778</v>
      </c>
      <c r="P2266" t="s">
        <v>116</v>
      </c>
      <c r="Q2266" t="s">
        <v>1631</v>
      </c>
      <c r="R2266" t="s">
        <v>3505</v>
      </c>
      <c r="T2266" t="s">
        <v>116</v>
      </c>
    </row>
    <row r="2267" ht="25.5" customHeight="1" spans="1:20">
      <c r="A2267" t="s">
        <v>2828</v>
      </c>
      <c r="B2267" t="s">
        <v>65</v>
      </c>
      <c r="C2267" t="s">
        <v>4495</v>
      </c>
      <c r="D2267" s="3"/>
      <c r="E2267" s="2">
        <v>45680</v>
      </c>
      <c r="F2267">
        <v>66400</v>
      </c>
      <c r="G2267">
        <v>2526</v>
      </c>
      <c r="H2267">
        <v>37</v>
      </c>
      <c r="I2267">
        <v>0</v>
      </c>
      <c r="L2267" t="s">
        <v>3138</v>
      </c>
      <c r="M2267" t="s">
        <v>3393</v>
      </c>
      <c r="N2267" t="s">
        <v>1630</v>
      </c>
      <c r="O2267" s="4">
        <v>45680.6234837963</v>
      </c>
      <c r="P2267" t="s">
        <v>116</v>
      </c>
      <c r="Q2267" t="s">
        <v>1631</v>
      </c>
      <c r="R2267" t="s">
        <v>3505</v>
      </c>
      <c r="T2267" t="s">
        <v>116</v>
      </c>
    </row>
    <row r="2268" ht="25.5" customHeight="1" spans="1:20">
      <c r="A2268" t="s">
        <v>2828</v>
      </c>
      <c r="B2268" t="s">
        <v>65</v>
      </c>
      <c r="C2268" t="s">
        <v>4495</v>
      </c>
      <c r="D2268" s="3"/>
      <c r="E2268" s="2">
        <v>45681</v>
      </c>
      <c r="F2268">
        <v>66400</v>
      </c>
      <c r="G2268">
        <v>2535</v>
      </c>
      <c r="H2268">
        <v>37</v>
      </c>
      <c r="I2268">
        <v>0</v>
      </c>
      <c r="L2268" t="s">
        <v>3138</v>
      </c>
      <c r="M2268" t="s">
        <v>3393</v>
      </c>
      <c r="N2268" t="s">
        <v>1630</v>
      </c>
      <c r="O2268" s="4">
        <v>45681.5096180556</v>
      </c>
      <c r="P2268" t="s">
        <v>116</v>
      </c>
      <c r="Q2268" t="s">
        <v>1631</v>
      </c>
      <c r="R2268" t="s">
        <v>3505</v>
      </c>
      <c r="T2268" t="s">
        <v>116</v>
      </c>
    </row>
    <row r="2269" ht="25.5" customHeight="1" spans="1:20">
      <c r="A2269" t="s">
        <v>2828</v>
      </c>
      <c r="B2269" t="s">
        <v>65</v>
      </c>
      <c r="C2269" t="s">
        <v>4495</v>
      </c>
      <c r="D2269" s="3"/>
      <c r="E2269" s="2">
        <v>45683</v>
      </c>
      <c r="F2269">
        <v>66400</v>
      </c>
      <c r="G2269">
        <v>2567</v>
      </c>
      <c r="H2269">
        <v>37</v>
      </c>
      <c r="I2269">
        <v>0</v>
      </c>
      <c r="L2269" t="s">
        <v>3138</v>
      </c>
      <c r="M2269" t="s">
        <v>3393</v>
      </c>
      <c r="N2269" t="s">
        <v>1630</v>
      </c>
      <c r="O2269" s="4">
        <v>45683.7408217593</v>
      </c>
      <c r="P2269" t="s">
        <v>116</v>
      </c>
      <c r="Q2269" t="s">
        <v>1631</v>
      </c>
      <c r="R2269" t="s">
        <v>3505</v>
      </c>
      <c r="T2269" t="s">
        <v>116</v>
      </c>
    </row>
    <row r="2270" ht="25.5" customHeight="1" spans="1:20">
      <c r="A2270" t="s">
        <v>2828</v>
      </c>
      <c r="B2270" t="s">
        <v>65</v>
      </c>
      <c r="C2270" t="s">
        <v>4495</v>
      </c>
      <c r="D2270" s="3"/>
      <c r="E2270" s="2">
        <v>45684</v>
      </c>
      <c r="F2270">
        <v>66400</v>
      </c>
      <c r="G2270">
        <v>2584</v>
      </c>
      <c r="H2270">
        <v>37</v>
      </c>
      <c r="I2270">
        <v>0</v>
      </c>
      <c r="L2270" t="s">
        <v>3138</v>
      </c>
      <c r="M2270" t="s">
        <v>3393</v>
      </c>
      <c r="N2270" t="s">
        <v>1630</v>
      </c>
      <c r="O2270" s="4">
        <v>45684.7909027778</v>
      </c>
      <c r="P2270" t="s">
        <v>116</v>
      </c>
      <c r="Q2270" t="s">
        <v>1631</v>
      </c>
      <c r="R2270" t="s">
        <v>3505</v>
      </c>
      <c r="T2270" t="s">
        <v>116</v>
      </c>
    </row>
    <row r="2271" ht="25.5" customHeight="1" spans="1:20">
      <c r="A2271" t="s">
        <v>2828</v>
      </c>
      <c r="B2271" t="s">
        <v>65</v>
      </c>
      <c r="C2271" t="s">
        <v>4495</v>
      </c>
      <c r="D2271" s="3"/>
      <c r="E2271" s="2">
        <v>45693</v>
      </c>
      <c r="F2271">
        <v>66400</v>
      </c>
      <c r="G2271">
        <v>2657</v>
      </c>
      <c r="H2271">
        <v>40</v>
      </c>
      <c r="I2271">
        <v>0</v>
      </c>
      <c r="L2271" t="s">
        <v>3138</v>
      </c>
      <c r="M2271" t="s">
        <v>3393</v>
      </c>
      <c r="N2271" t="s">
        <v>1630</v>
      </c>
      <c r="O2271" s="4">
        <v>45693.7883680556</v>
      </c>
      <c r="P2271" t="s">
        <v>116</v>
      </c>
      <c r="Q2271" t="s">
        <v>1631</v>
      </c>
      <c r="R2271" t="s">
        <v>4297</v>
      </c>
      <c r="T2271" t="s">
        <v>116</v>
      </c>
    </row>
    <row r="2272" ht="25.5" customHeight="1" spans="1:20">
      <c r="A2272" t="s">
        <v>2828</v>
      </c>
      <c r="B2272" t="s">
        <v>65</v>
      </c>
      <c r="C2272" t="s">
        <v>4495</v>
      </c>
      <c r="D2272" s="3"/>
      <c r="E2272" s="2">
        <v>45694</v>
      </c>
      <c r="F2272">
        <v>66300</v>
      </c>
      <c r="G2272">
        <v>2660</v>
      </c>
      <c r="H2272">
        <v>40</v>
      </c>
      <c r="I2272">
        <v>0</v>
      </c>
      <c r="L2272" t="s">
        <v>3138</v>
      </c>
      <c r="M2272" t="s">
        <v>3393</v>
      </c>
      <c r="N2272" t="s">
        <v>1630</v>
      </c>
      <c r="O2272" s="4">
        <v>45698.6216782407</v>
      </c>
      <c r="P2272" t="s">
        <v>116</v>
      </c>
      <c r="Q2272" t="s">
        <v>1631</v>
      </c>
      <c r="R2272" t="s">
        <v>4297</v>
      </c>
      <c r="S2272" t="s">
        <v>3180</v>
      </c>
      <c r="T2272" t="s">
        <v>116</v>
      </c>
    </row>
    <row r="2273" ht="25.5" customHeight="1" spans="1:20">
      <c r="A2273" t="s">
        <v>2828</v>
      </c>
      <c r="B2273" t="s">
        <v>65</v>
      </c>
      <c r="C2273" t="s">
        <v>4495</v>
      </c>
      <c r="D2273" s="3"/>
      <c r="E2273" s="2">
        <v>45695</v>
      </c>
      <c r="F2273">
        <v>66300</v>
      </c>
      <c r="G2273">
        <v>2674</v>
      </c>
      <c r="H2273">
        <v>41</v>
      </c>
      <c r="I2273">
        <v>0</v>
      </c>
      <c r="L2273" t="s">
        <v>3138</v>
      </c>
      <c r="M2273" t="s">
        <v>3393</v>
      </c>
      <c r="N2273" t="s">
        <v>1630</v>
      </c>
      <c r="O2273" s="4">
        <v>45695.5086342593</v>
      </c>
      <c r="P2273" t="s">
        <v>116</v>
      </c>
      <c r="Q2273" t="s">
        <v>1631</v>
      </c>
      <c r="R2273" t="s">
        <v>3283</v>
      </c>
      <c r="T2273" t="s">
        <v>116</v>
      </c>
    </row>
    <row r="2274" ht="25.5" customHeight="1" spans="1:20">
      <c r="A2274" t="s">
        <v>3027</v>
      </c>
      <c r="B2274" t="s">
        <v>56</v>
      </c>
      <c r="C2274" t="s">
        <v>4496</v>
      </c>
      <c r="D2274" s="3" t="str">
        <f>HYPERLINK("https://www.tiktok.com/@tech4u_","https://www.tiktok.com/@tech4u_")</f>
        <v>https://www.tiktok.com/@tech4u_</v>
      </c>
      <c r="E2274" s="2">
        <v>45665</v>
      </c>
      <c r="F2274">
        <v>6905</v>
      </c>
      <c r="G2274">
        <v>671</v>
      </c>
      <c r="H2274">
        <v>69</v>
      </c>
      <c r="I2274">
        <v>2</v>
      </c>
      <c r="J2274">
        <v>8</v>
      </c>
      <c r="K2274">
        <v>0</v>
      </c>
      <c r="L2274" t="s">
        <v>3298</v>
      </c>
      <c r="M2274" t="s">
        <v>3485</v>
      </c>
      <c r="N2274" t="s">
        <v>1630</v>
      </c>
      <c r="O2274" s="4">
        <v>45670.8657291667</v>
      </c>
      <c r="P2274" t="s">
        <v>57</v>
      </c>
      <c r="Q2274" t="s">
        <v>1887</v>
      </c>
      <c r="R2274" t="s">
        <v>3954</v>
      </c>
      <c r="T2274" t="s">
        <v>57</v>
      </c>
    </row>
    <row r="2275" ht="25.5" customHeight="1" spans="1:20">
      <c r="A2275" t="s">
        <v>3027</v>
      </c>
      <c r="B2275" t="s">
        <v>56</v>
      </c>
      <c r="C2275" t="s">
        <v>4496</v>
      </c>
      <c r="D2275" s="3"/>
      <c r="E2275" s="2">
        <v>45671</v>
      </c>
      <c r="F2275">
        <v>6917</v>
      </c>
      <c r="G2275">
        <v>682</v>
      </c>
      <c r="H2275">
        <v>70</v>
      </c>
      <c r="I2275">
        <v>2</v>
      </c>
      <c r="J2275">
        <v>8</v>
      </c>
      <c r="K2275">
        <v>0</v>
      </c>
      <c r="L2275" t="s">
        <v>3298</v>
      </c>
      <c r="M2275" t="s">
        <v>3485</v>
      </c>
      <c r="N2275" t="s">
        <v>1630</v>
      </c>
      <c r="O2275" s="4">
        <v>45672.5030092593</v>
      </c>
      <c r="P2275" t="s">
        <v>57</v>
      </c>
      <c r="Q2275" t="s">
        <v>1887</v>
      </c>
      <c r="R2275" t="s">
        <v>4497</v>
      </c>
      <c r="T2275" t="s">
        <v>57</v>
      </c>
    </row>
    <row r="2276" ht="25.5" customHeight="1" spans="1:20">
      <c r="A2276" t="s">
        <v>3027</v>
      </c>
      <c r="B2276" t="s">
        <v>56</v>
      </c>
      <c r="C2276" t="s">
        <v>4496</v>
      </c>
      <c r="D2276" s="3"/>
      <c r="E2276" s="2">
        <v>45672</v>
      </c>
      <c r="F2276">
        <v>6924</v>
      </c>
      <c r="G2276">
        <v>702</v>
      </c>
      <c r="H2276">
        <v>70</v>
      </c>
      <c r="I2276">
        <v>2</v>
      </c>
      <c r="J2276">
        <v>8</v>
      </c>
      <c r="K2276">
        <v>0</v>
      </c>
      <c r="L2276" t="s">
        <v>3260</v>
      </c>
      <c r="M2276" t="s">
        <v>3485</v>
      </c>
      <c r="N2276" t="s">
        <v>1630</v>
      </c>
      <c r="O2276" s="4">
        <v>45672.5333101852</v>
      </c>
      <c r="P2276" t="s">
        <v>57</v>
      </c>
      <c r="Q2276" t="s">
        <v>1887</v>
      </c>
      <c r="R2276" t="s">
        <v>4497</v>
      </c>
      <c r="T2276" t="s">
        <v>57</v>
      </c>
    </row>
    <row r="2277" ht="25.5" customHeight="1" spans="1:20">
      <c r="A2277" t="s">
        <v>3027</v>
      </c>
      <c r="B2277" t="s">
        <v>56</v>
      </c>
      <c r="C2277" t="s">
        <v>4496</v>
      </c>
      <c r="D2277" s="3"/>
      <c r="E2277" s="2">
        <v>45673</v>
      </c>
      <c r="F2277">
        <v>6929</v>
      </c>
      <c r="G2277">
        <v>719</v>
      </c>
      <c r="H2277">
        <v>70</v>
      </c>
      <c r="I2277">
        <v>2</v>
      </c>
      <c r="J2277">
        <v>8</v>
      </c>
      <c r="K2277">
        <v>0</v>
      </c>
      <c r="L2277" t="s">
        <v>3260</v>
      </c>
      <c r="M2277" t="s">
        <v>3485</v>
      </c>
      <c r="N2277" t="s">
        <v>1630</v>
      </c>
      <c r="O2277" s="4">
        <v>45673.6243402778</v>
      </c>
      <c r="P2277" t="s">
        <v>57</v>
      </c>
      <c r="Q2277" t="s">
        <v>1887</v>
      </c>
      <c r="R2277" t="s">
        <v>4497</v>
      </c>
      <c r="T2277" t="s">
        <v>57</v>
      </c>
    </row>
    <row r="2278" ht="25.5" customHeight="1" spans="1:20">
      <c r="A2278" t="s">
        <v>3027</v>
      </c>
      <c r="B2278" t="s">
        <v>56</v>
      </c>
      <c r="C2278" t="s">
        <v>4496</v>
      </c>
      <c r="D2278" s="3"/>
      <c r="E2278" s="2">
        <v>45674</v>
      </c>
      <c r="F2278">
        <v>6935</v>
      </c>
      <c r="G2278">
        <v>733</v>
      </c>
      <c r="H2278">
        <v>72</v>
      </c>
      <c r="I2278">
        <v>2</v>
      </c>
      <c r="J2278">
        <v>9</v>
      </c>
      <c r="K2278">
        <v>0</v>
      </c>
      <c r="L2278" t="s">
        <v>3260</v>
      </c>
      <c r="M2278" t="s">
        <v>3485</v>
      </c>
      <c r="N2278" t="s">
        <v>1630</v>
      </c>
      <c r="O2278" s="4">
        <v>45674.6797106481</v>
      </c>
      <c r="P2278" t="s">
        <v>57</v>
      </c>
      <c r="Q2278" t="s">
        <v>1887</v>
      </c>
      <c r="R2278" t="s">
        <v>3770</v>
      </c>
      <c r="T2278" t="s">
        <v>57</v>
      </c>
    </row>
    <row r="2279" ht="25.5" customHeight="1" spans="1:20">
      <c r="A2279" t="s">
        <v>3027</v>
      </c>
      <c r="B2279" t="s">
        <v>56</v>
      </c>
      <c r="C2279" t="s">
        <v>4496</v>
      </c>
      <c r="D2279" s="3"/>
      <c r="E2279" s="2">
        <v>45677</v>
      </c>
      <c r="F2279">
        <v>6946</v>
      </c>
      <c r="G2279">
        <v>756</v>
      </c>
      <c r="H2279">
        <v>73</v>
      </c>
      <c r="I2279">
        <v>2</v>
      </c>
      <c r="J2279">
        <v>9</v>
      </c>
      <c r="K2279">
        <v>0</v>
      </c>
      <c r="L2279" t="s">
        <v>3260</v>
      </c>
      <c r="M2279" t="s">
        <v>3485</v>
      </c>
      <c r="N2279" t="s">
        <v>1630</v>
      </c>
      <c r="O2279" s="4">
        <v>45677.4391203704</v>
      </c>
      <c r="P2279" t="s">
        <v>57</v>
      </c>
      <c r="Q2279" t="s">
        <v>1887</v>
      </c>
      <c r="R2279" t="s">
        <v>3771</v>
      </c>
      <c r="T2279" t="s">
        <v>57</v>
      </c>
    </row>
    <row r="2280" ht="25.5" customHeight="1" spans="1:20">
      <c r="A2280" t="s">
        <v>3027</v>
      </c>
      <c r="B2280" t="s">
        <v>56</v>
      </c>
      <c r="C2280" t="s">
        <v>4496</v>
      </c>
      <c r="D2280" s="3"/>
      <c r="E2280" s="2">
        <v>45678</v>
      </c>
      <c r="F2280">
        <v>6952</v>
      </c>
      <c r="G2280">
        <v>765</v>
      </c>
      <c r="H2280">
        <v>74</v>
      </c>
      <c r="I2280">
        <v>2</v>
      </c>
      <c r="J2280">
        <v>9</v>
      </c>
      <c r="K2280">
        <v>0</v>
      </c>
      <c r="L2280" t="s">
        <v>3260</v>
      </c>
      <c r="M2280" t="s">
        <v>3485</v>
      </c>
      <c r="N2280" t="s">
        <v>1630</v>
      </c>
      <c r="O2280" s="4">
        <v>45678.6617939815</v>
      </c>
      <c r="P2280" t="s">
        <v>57</v>
      </c>
      <c r="Q2280" t="s">
        <v>1887</v>
      </c>
      <c r="R2280" t="s">
        <v>4498</v>
      </c>
      <c r="T2280" t="s">
        <v>57</v>
      </c>
    </row>
    <row r="2281" ht="25.5" customHeight="1" spans="1:20">
      <c r="A2281" t="s">
        <v>3027</v>
      </c>
      <c r="B2281" t="s">
        <v>56</v>
      </c>
      <c r="C2281" t="s">
        <v>4496</v>
      </c>
      <c r="D2281" s="3"/>
      <c r="E2281" s="2">
        <v>45679</v>
      </c>
      <c r="F2281">
        <v>6959</v>
      </c>
      <c r="G2281">
        <v>769</v>
      </c>
      <c r="H2281">
        <v>74</v>
      </c>
      <c r="I2281">
        <v>2</v>
      </c>
      <c r="J2281">
        <v>9</v>
      </c>
      <c r="K2281">
        <v>0</v>
      </c>
      <c r="L2281" t="s">
        <v>3260</v>
      </c>
      <c r="M2281" t="s">
        <v>3485</v>
      </c>
      <c r="N2281" t="s">
        <v>1630</v>
      </c>
      <c r="O2281" s="4">
        <v>45679.7021875</v>
      </c>
      <c r="P2281" t="s">
        <v>57</v>
      </c>
      <c r="Q2281" t="s">
        <v>1887</v>
      </c>
      <c r="R2281" t="s">
        <v>4498</v>
      </c>
      <c r="T2281" t="s">
        <v>57</v>
      </c>
    </row>
    <row r="2282" ht="25.5" customHeight="1" spans="1:20">
      <c r="A2282" t="s">
        <v>3027</v>
      </c>
      <c r="B2282" t="s">
        <v>56</v>
      </c>
      <c r="C2282" t="s">
        <v>4496</v>
      </c>
      <c r="D2282" s="3"/>
      <c r="E2282" s="2">
        <v>45680</v>
      </c>
      <c r="F2282">
        <v>6959</v>
      </c>
      <c r="G2282">
        <v>772</v>
      </c>
      <c r="H2282">
        <v>74</v>
      </c>
      <c r="I2282">
        <v>2</v>
      </c>
      <c r="J2282">
        <v>9</v>
      </c>
      <c r="K2282">
        <v>0</v>
      </c>
      <c r="L2282" t="s">
        <v>3260</v>
      </c>
      <c r="M2282" t="s">
        <v>3485</v>
      </c>
      <c r="N2282" t="s">
        <v>1630</v>
      </c>
      <c r="O2282" s="4">
        <v>45680.6636921296</v>
      </c>
      <c r="P2282" t="s">
        <v>57</v>
      </c>
      <c r="Q2282" t="s">
        <v>1887</v>
      </c>
      <c r="R2282" t="s">
        <v>4498</v>
      </c>
      <c r="T2282" t="s">
        <v>57</v>
      </c>
    </row>
    <row r="2283" ht="25.5" customHeight="1" spans="1:20">
      <c r="A2283" t="s">
        <v>3027</v>
      </c>
      <c r="B2283" t="s">
        <v>56</v>
      </c>
      <c r="C2283" t="s">
        <v>4496</v>
      </c>
      <c r="D2283" s="3"/>
      <c r="E2283" s="2">
        <v>45681</v>
      </c>
      <c r="F2283">
        <v>6955</v>
      </c>
      <c r="G2283">
        <v>778</v>
      </c>
      <c r="H2283">
        <v>75</v>
      </c>
      <c r="I2283">
        <v>2</v>
      </c>
      <c r="J2283">
        <v>9</v>
      </c>
      <c r="K2283">
        <v>0</v>
      </c>
      <c r="L2283" t="s">
        <v>3260</v>
      </c>
      <c r="M2283" t="s">
        <v>3485</v>
      </c>
      <c r="N2283" t="s">
        <v>1630</v>
      </c>
      <c r="O2283" s="4">
        <v>45681.6496759259</v>
      </c>
      <c r="P2283" t="s">
        <v>57</v>
      </c>
      <c r="Q2283" t="s">
        <v>1887</v>
      </c>
      <c r="R2283" t="s">
        <v>4499</v>
      </c>
      <c r="T2283" t="s">
        <v>57</v>
      </c>
    </row>
    <row r="2284" ht="25.5" customHeight="1" spans="1:20">
      <c r="A2284" t="s">
        <v>3027</v>
      </c>
      <c r="B2284" t="s">
        <v>56</v>
      </c>
      <c r="C2284" t="s">
        <v>4496</v>
      </c>
      <c r="D2284" s="3"/>
      <c r="E2284" s="2">
        <v>45683</v>
      </c>
      <c r="F2284">
        <v>6956</v>
      </c>
      <c r="G2284">
        <v>786</v>
      </c>
      <c r="H2284">
        <v>75</v>
      </c>
      <c r="I2284">
        <v>2</v>
      </c>
      <c r="J2284">
        <v>9</v>
      </c>
      <c r="K2284">
        <v>0</v>
      </c>
      <c r="L2284" t="s">
        <v>3260</v>
      </c>
      <c r="M2284" t="s">
        <v>3485</v>
      </c>
      <c r="N2284" t="s">
        <v>1630</v>
      </c>
      <c r="O2284" s="4">
        <v>45683.7901388889</v>
      </c>
      <c r="P2284" t="s">
        <v>57</v>
      </c>
      <c r="Q2284" t="s">
        <v>1887</v>
      </c>
      <c r="R2284" t="s">
        <v>4499</v>
      </c>
      <c r="T2284" t="s">
        <v>57</v>
      </c>
    </row>
    <row r="2285" ht="25.5" customHeight="1" spans="1:20">
      <c r="A2285" t="s">
        <v>3027</v>
      </c>
      <c r="B2285" t="s">
        <v>56</v>
      </c>
      <c r="C2285" t="s">
        <v>4496</v>
      </c>
      <c r="D2285" s="3"/>
      <c r="E2285" s="2">
        <v>45684</v>
      </c>
      <c r="F2285">
        <v>6960</v>
      </c>
      <c r="G2285">
        <v>788</v>
      </c>
      <c r="H2285">
        <v>75</v>
      </c>
      <c r="I2285">
        <v>2</v>
      </c>
      <c r="J2285">
        <v>9</v>
      </c>
      <c r="K2285">
        <v>0</v>
      </c>
      <c r="L2285" t="s">
        <v>3260</v>
      </c>
      <c r="M2285" t="s">
        <v>3485</v>
      </c>
      <c r="N2285" t="s">
        <v>1630</v>
      </c>
      <c r="O2285" s="4">
        <v>45684.867662037</v>
      </c>
      <c r="P2285" t="s">
        <v>57</v>
      </c>
      <c r="Q2285" t="s">
        <v>1887</v>
      </c>
      <c r="R2285" t="s">
        <v>4499</v>
      </c>
      <c r="T2285" t="s">
        <v>57</v>
      </c>
    </row>
    <row r="2286" ht="25.5" customHeight="1" spans="1:20">
      <c r="A2286" t="s">
        <v>3027</v>
      </c>
      <c r="B2286" t="s">
        <v>56</v>
      </c>
      <c r="C2286" t="s">
        <v>4496</v>
      </c>
      <c r="D2286" s="3"/>
      <c r="E2286" s="2">
        <v>45693</v>
      </c>
      <c r="F2286">
        <v>6960</v>
      </c>
      <c r="G2286">
        <v>827</v>
      </c>
      <c r="H2286">
        <v>79</v>
      </c>
      <c r="I2286">
        <v>2</v>
      </c>
      <c r="J2286">
        <v>10</v>
      </c>
      <c r="K2286">
        <v>0</v>
      </c>
      <c r="L2286" t="s">
        <v>3260</v>
      </c>
      <c r="M2286" t="s">
        <v>3485</v>
      </c>
      <c r="N2286" t="s">
        <v>1630</v>
      </c>
      <c r="O2286" s="4">
        <v>45693.8319444444</v>
      </c>
      <c r="P2286" t="s">
        <v>57</v>
      </c>
      <c r="Q2286" t="s">
        <v>1887</v>
      </c>
      <c r="R2286" t="s">
        <v>3772</v>
      </c>
      <c r="T2286" t="s">
        <v>57</v>
      </c>
    </row>
    <row r="2287" ht="25.5" customHeight="1" spans="1:20">
      <c r="A2287" t="s">
        <v>3027</v>
      </c>
      <c r="B2287" t="s">
        <v>56</v>
      </c>
      <c r="C2287" t="s">
        <v>4496</v>
      </c>
      <c r="D2287" s="3"/>
      <c r="E2287" s="2">
        <v>45694</v>
      </c>
      <c r="F2287">
        <v>6959</v>
      </c>
      <c r="G2287">
        <v>828</v>
      </c>
      <c r="H2287">
        <v>79</v>
      </c>
      <c r="I2287">
        <v>2</v>
      </c>
      <c r="J2287">
        <v>10</v>
      </c>
      <c r="K2287">
        <v>0</v>
      </c>
      <c r="L2287" t="s">
        <v>3260</v>
      </c>
      <c r="M2287" t="s">
        <v>3485</v>
      </c>
      <c r="N2287" t="s">
        <v>1630</v>
      </c>
      <c r="O2287" s="4">
        <v>45698.6216782407</v>
      </c>
      <c r="P2287" t="s">
        <v>57</v>
      </c>
      <c r="Q2287" t="s">
        <v>1887</v>
      </c>
      <c r="R2287" t="s">
        <v>3772</v>
      </c>
      <c r="S2287" t="s">
        <v>3301</v>
      </c>
      <c r="T2287" t="s">
        <v>57</v>
      </c>
    </row>
    <row r="2288" ht="25.5" customHeight="1" spans="1:20">
      <c r="A2288" t="s">
        <v>153</v>
      </c>
      <c r="B2288" t="s">
        <v>65</v>
      </c>
      <c r="D2288" s="3"/>
      <c r="E2288" s="2"/>
      <c r="M2288" t="s">
        <v>3249</v>
      </c>
      <c r="N2288" t="s">
        <v>1630</v>
      </c>
      <c r="O2288" s="4">
        <v>45670.743587963</v>
      </c>
      <c r="P2288" t="s">
        <v>66</v>
      </c>
      <c r="Q2288" t="s">
        <v>1631</v>
      </c>
      <c r="R2288" t="s">
        <v>3133</v>
      </c>
      <c r="T2288" t="s">
        <v>66</v>
      </c>
    </row>
    <row r="2289" ht="25.5" customHeight="1" spans="1:20">
      <c r="A2289" t="s">
        <v>2829</v>
      </c>
      <c r="B2289" t="s">
        <v>65</v>
      </c>
      <c r="C2289" t="s">
        <v>4500</v>
      </c>
      <c r="D2289" s="3" t="str">
        <f>HYPERLINK("https://www.instagram.com/thelitesetup/reels/","https://www.instagram.com/thelitesetup/reels/")</f>
        <v>https://www.instagram.com/thelitesetup/reels/</v>
      </c>
      <c r="E2289" s="2">
        <v>45667</v>
      </c>
      <c r="F2289">
        <v>46100</v>
      </c>
      <c r="G2289">
        <v>1386</v>
      </c>
      <c r="H2289">
        <v>31</v>
      </c>
      <c r="I2289">
        <v>0</v>
      </c>
      <c r="L2289" t="s">
        <v>3138</v>
      </c>
      <c r="M2289" t="s">
        <v>3393</v>
      </c>
      <c r="N2289" t="s">
        <v>1630</v>
      </c>
      <c r="O2289" s="4">
        <v>45670.7916203704</v>
      </c>
      <c r="P2289" t="s">
        <v>116</v>
      </c>
      <c r="Q2289" t="s">
        <v>1631</v>
      </c>
      <c r="R2289" t="s">
        <v>3788</v>
      </c>
      <c r="T2289" t="s">
        <v>116</v>
      </c>
    </row>
    <row r="2290" ht="25.5" customHeight="1" spans="1:20">
      <c r="A2290" t="s">
        <v>2829</v>
      </c>
      <c r="B2290" t="s">
        <v>65</v>
      </c>
      <c r="C2290" t="s">
        <v>4500</v>
      </c>
      <c r="D2290" s="3"/>
      <c r="E2290" s="2">
        <v>45671</v>
      </c>
      <c r="F2290">
        <v>46100</v>
      </c>
      <c r="G2290">
        <v>1460</v>
      </c>
      <c r="H2290">
        <v>34</v>
      </c>
      <c r="I2290">
        <v>0</v>
      </c>
      <c r="L2290" t="s">
        <v>3138</v>
      </c>
      <c r="M2290" t="s">
        <v>3393</v>
      </c>
      <c r="N2290" t="s">
        <v>1630</v>
      </c>
      <c r="O2290" s="4">
        <v>45672.5030092593</v>
      </c>
      <c r="P2290" t="s">
        <v>116</v>
      </c>
      <c r="Q2290" t="s">
        <v>1631</v>
      </c>
      <c r="R2290" t="s">
        <v>3939</v>
      </c>
      <c r="T2290" t="s">
        <v>116</v>
      </c>
    </row>
    <row r="2291" ht="25.5" customHeight="1" spans="1:20">
      <c r="A2291" t="s">
        <v>2829</v>
      </c>
      <c r="B2291" t="s">
        <v>65</v>
      </c>
      <c r="C2291" t="s">
        <v>4500</v>
      </c>
      <c r="D2291" s="3"/>
      <c r="E2291" s="2">
        <v>45672</v>
      </c>
      <c r="F2291">
        <v>46100</v>
      </c>
      <c r="G2291">
        <v>1498</v>
      </c>
      <c r="H2291">
        <v>36</v>
      </c>
      <c r="I2291">
        <v>0</v>
      </c>
      <c r="L2291" t="s">
        <v>3138</v>
      </c>
      <c r="M2291" t="s">
        <v>3393</v>
      </c>
      <c r="N2291" t="s">
        <v>1630</v>
      </c>
      <c r="O2291" s="4">
        <v>45672.5144328704</v>
      </c>
      <c r="P2291" t="s">
        <v>116</v>
      </c>
      <c r="Q2291" t="s">
        <v>1631</v>
      </c>
      <c r="R2291" t="s">
        <v>3504</v>
      </c>
      <c r="T2291" t="s">
        <v>116</v>
      </c>
    </row>
    <row r="2292" ht="25.5" customHeight="1" spans="1:20">
      <c r="A2292" t="s">
        <v>2829</v>
      </c>
      <c r="B2292" t="s">
        <v>65</v>
      </c>
      <c r="C2292" t="s">
        <v>4500</v>
      </c>
      <c r="D2292" s="3"/>
      <c r="E2292" s="2">
        <v>45673</v>
      </c>
      <c r="F2292">
        <v>46100</v>
      </c>
      <c r="G2292">
        <v>1546</v>
      </c>
      <c r="H2292">
        <v>38</v>
      </c>
      <c r="I2292">
        <v>0</v>
      </c>
      <c r="L2292" t="s">
        <v>3138</v>
      </c>
      <c r="M2292" t="s">
        <v>3393</v>
      </c>
      <c r="N2292" t="s">
        <v>1630</v>
      </c>
      <c r="O2292" s="4">
        <v>45674.648275463</v>
      </c>
      <c r="P2292" t="s">
        <v>116</v>
      </c>
      <c r="Q2292" t="s">
        <v>1631</v>
      </c>
      <c r="R2292" t="s">
        <v>3506</v>
      </c>
      <c r="T2292" t="s">
        <v>116</v>
      </c>
    </row>
    <row r="2293" ht="25.5" customHeight="1" spans="1:20">
      <c r="A2293" t="s">
        <v>2829</v>
      </c>
      <c r="B2293" t="s">
        <v>65</v>
      </c>
      <c r="C2293" t="s">
        <v>4500</v>
      </c>
      <c r="D2293" s="3"/>
      <c r="E2293" s="2">
        <v>45674</v>
      </c>
      <c r="F2293">
        <v>46100</v>
      </c>
      <c r="G2293">
        <v>1581</v>
      </c>
      <c r="H2293">
        <v>38</v>
      </c>
      <c r="I2293">
        <v>0</v>
      </c>
      <c r="L2293" t="s">
        <v>3138</v>
      </c>
      <c r="M2293" t="s">
        <v>3393</v>
      </c>
      <c r="N2293" t="s">
        <v>1630</v>
      </c>
      <c r="O2293" s="4">
        <v>45674.6484606481</v>
      </c>
      <c r="P2293" t="s">
        <v>116</v>
      </c>
      <c r="Q2293" t="s">
        <v>1631</v>
      </c>
      <c r="R2293" t="s">
        <v>3506</v>
      </c>
      <c r="T2293" t="s">
        <v>116</v>
      </c>
    </row>
    <row r="2294" ht="25.5" customHeight="1" spans="1:20">
      <c r="A2294" t="s">
        <v>2829</v>
      </c>
      <c r="B2294" t="s">
        <v>65</v>
      </c>
      <c r="C2294" t="s">
        <v>4500</v>
      </c>
      <c r="D2294" s="3"/>
      <c r="E2294" s="2">
        <v>45677</v>
      </c>
      <c r="F2294">
        <v>46100</v>
      </c>
      <c r="G2294">
        <v>1683</v>
      </c>
      <c r="H2294">
        <v>39</v>
      </c>
      <c r="I2294">
        <v>0</v>
      </c>
      <c r="L2294" t="s">
        <v>3138</v>
      </c>
      <c r="M2294" t="s">
        <v>3393</v>
      </c>
      <c r="N2294" t="s">
        <v>1630</v>
      </c>
      <c r="O2294" s="4">
        <v>45677.4144212963</v>
      </c>
      <c r="P2294" t="s">
        <v>116</v>
      </c>
      <c r="Q2294" t="s">
        <v>1631</v>
      </c>
      <c r="R2294" t="s">
        <v>3941</v>
      </c>
      <c r="T2294" t="s">
        <v>116</v>
      </c>
    </row>
    <row r="2295" ht="25.5" customHeight="1" spans="1:20">
      <c r="A2295" t="s">
        <v>2829</v>
      </c>
      <c r="B2295" t="s">
        <v>65</v>
      </c>
      <c r="C2295" t="s">
        <v>4500</v>
      </c>
      <c r="D2295" s="3"/>
      <c r="E2295" s="2">
        <v>45678</v>
      </c>
      <c r="F2295">
        <v>46100</v>
      </c>
      <c r="G2295">
        <v>1710</v>
      </c>
      <c r="H2295">
        <v>39</v>
      </c>
      <c r="I2295">
        <v>0</v>
      </c>
      <c r="L2295" t="s">
        <v>3138</v>
      </c>
      <c r="M2295" t="s">
        <v>3393</v>
      </c>
      <c r="N2295" t="s">
        <v>1630</v>
      </c>
      <c r="O2295" s="4">
        <v>45678.5175694444</v>
      </c>
      <c r="P2295" t="s">
        <v>116</v>
      </c>
      <c r="Q2295" t="s">
        <v>1631</v>
      </c>
      <c r="R2295" t="s">
        <v>3941</v>
      </c>
      <c r="T2295" t="s">
        <v>116</v>
      </c>
    </row>
    <row r="2296" ht="25.5" customHeight="1" spans="1:20">
      <c r="A2296" t="s">
        <v>2829</v>
      </c>
      <c r="B2296" t="s">
        <v>65</v>
      </c>
      <c r="C2296" t="s">
        <v>4500</v>
      </c>
      <c r="D2296" s="3"/>
      <c r="E2296" s="2">
        <v>45679</v>
      </c>
      <c r="F2296">
        <v>46100</v>
      </c>
      <c r="G2296">
        <v>1738</v>
      </c>
      <c r="H2296">
        <v>39</v>
      </c>
      <c r="I2296">
        <v>0</v>
      </c>
      <c r="L2296" t="s">
        <v>3138</v>
      </c>
      <c r="M2296" t="s">
        <v>3393</v>
      </c>
      <c r="N2296" t="s">
        <v>1630</v>
      </c>
      <c r="O2296" s="4">
        <v>45679.674212963</v>
      </c>
      <c r="P2296" t="s">
        <v>116</v>
      </c>
      <c r="Q2296" t="s">
        <v>1631</v>
      </c>
      <c r="R2296" t="s">
        <v>3941</v>
      </c>
      <c r="T2296" t="s">
        <v>116</v>
      </c>
    </row>
    <row r="2297" ht="25.5" customHeight="1" spans="1:20">
      <c r="A2297" t="s">
        <v>2829</v>
      </c>
      <c r="B2297" t="s">
        <v>65</v>
      </c>
      <c r="C2297" t="s">
        <v>4500</v>
      </c>
      <c r="D2297" s="3"/>
      <c r="E2297" s="2">
        <v>45680</v>
      </c>
      <c r="F2297">
        <v>46100</v>
      </c>
      <c r="G2297">
        <v>1753</v>
      </c>
      <c r="H2297">
        <v>39</v>
      </c>
      <c r="I2297">
        <v>0</v>
      </c>
      <c r="L2297" t="s">
        <v>3138</v>
      </c>
      <c r="M2297" t="s">
        <v>3393</v>
      </c>
      <c r="N2297" t="s">
        <v>1630</v>
      </c>
      <c r="O2297" s="4">
        <v>45680.6236226852</v>
      </c>
      <c r="P2297" t="s">
        <v>116</v>
      </c>
      <c r="Q2297" t="s">
        <v>1631</v>
      </c>
      <c r="R2297" t="s">
        <v>3941</v>
      </c>
      <c r="T2297" t="s">
        <v>116</v>
      </c>
    </row>
    <row r="2298" ht="25.5" customHeight="1" spans="1:20">
      <c r="A2298" t="s">
        <v>2829</v>
      </c>
      <c r="B2298" t="s">
        <v>65</v>
      </c>
      <c r="C2298" t="s">
        <v>4500</v>
      </c>
      <c r="D2298" s="3"/>
      <c r="E2298" s="2">
        <v>45681</v>
      </c>
      <c r="F2298">
        <v>46100</v>
      </c>
      <c r="G2298">
        <v>1774</v>
      </c>
      <c r="H2298">
        <v>39</v>
      </c>
      <c r="I2298">
        <v>0</v>
      </c>
      <c r="L2298" t="s">
        <v>3138</v>
      </c>
      <c r="M2298" t="s">
        <v>3393</v>
      </c>
      <c r="N2298" t="s">
        <v>1630</v>
      </c>
      <c r="O2298" s="4">
        <v>45681.5208912037</v>
      </c>
      <c r="P2298" t="s">
        <v>116</v>
      </c>
      <c r="Q2298" t="s">
        <v>1631</v>
      </c>
      <c r="R2298" t="s">
        <v>3941</v>
      </c>
      <c r="T2298" t="s">
        <v>116</v>
      </c>
    </row>
    <row r="2299" ht="25.5" customHeight="1" spans="1:20">
      <c r="A2299" t="s">
        <v>2829</v>
      </c>
      <c r="B2299" t="s">
        <v>65</v>
      </c>
      <c r="C2299" t="s">
        <v>4500</v>
      </c>
      <c r="D2299" s="3"/>
      <c r="E2299" s="2">
        <v>45683</v>
      </c>
      <c r="F2299">
        <v>46100</v>
      </c>
      <c r="G2299">
        <v>1802</v>
      </c>
      <c r="H2299">
        <v>39</v>
      </c>
      <c r="I2299">
        <v>0</v>
      </c>
      <c r="L2299" t="s">
        <v>3138</v>
      </c>
      <c r="M2299" t="s">
        <v>3393</v>
      </c>
      <c r="N2299" t="s">
        <v>1630</v>
      </c>
      <c r="O2299" s="4">
        <v>45683.7411574074</v>
      </c>
      <c r="P2299" t="s">
        <v>116</v>
      </c>
      <c r="Q2299" t="s">
        <v>1631</v>
      </c>
      <c r="R2299" t="s">
        <v>3941</v>
      </c>
      <c r="T2299" t="s">
        <v>116</v>
      </c>
    </row>
    <row r="2300" ht="25.5" customHeight="1" spans="1:20">
      <c r="A2300" t="s">
        <v>2829</v>
      </c>
      <c r="B2300" t="s">
        <v>65</v>
      </c>
      <c r="C2300" t="s">
        <v>4500</v>
      </c>
      <c r="D2300" s="3"/>
      <c r="E2300" s="2">
        <v>45684</v>
      </c>
      <c r="F2300">
        <v>46100</v>
      </c>
      <c r="G2300">
        <v>1823</v>
      </c>
      <c r="H2300">
        <v>39</v>
      </c>
      <c r="I2300">
        <v>0</v>
      </c>
      <c r="L2300" t="s">
        <v>3138</v>
      </c>
      <c r="M2300" t="s">
        <v>3393</v>
      </c>
      <c r="N2300" t="s">
        <v>1630</v>
      </c>
      <c r="O2300" s="4">
        <v>45684.7909953704</v>
      </c>
      <c r="P2300" t="s">
        <v>116</v>
      </c>
      <c r="Q2300" t="s">
        <v>1631</v>
      </c>
      <c r="R2300" t="s">
        <v>3941</v>
      </c>
      <c r="T2300" t="s">
        <v>116</v>
      </c>
    </row>
    <row r="2301" ht="25.5" customHeight="1" spans="1:20">
      <c r="A2301" t="s">
        <v>2829</v>
      </c>
      <c r="B2301" t="s">
        <v>65</v>
      </c>
      <c r="C2301" t="s">
        <v>4500</v>
      </c>
      <c r="D2301" s="3"/>
      <c r="E2301" s="2">
        <v>45693</v>
      </c>
      <c r="F2301">
        <v>46100</v>
      </c>
      <c r="G2301">
        <v>1912</v>
      </c>
      <c r="H2301">
        <v>39</v>
      </c>
      <c r="I2301">
        <v>0</v>
      </c>
      <c r="L2301" t="s">
        <v>3138</v>
      </c>
      <c r="M2301" t="s">
        <v>3393</v>
      </c>
      <c r="N2301" t="s">
        <v>1630</v>
      </c>
      <c r="O2301" s="4">
        <v>45693.7885300926</v>
      </c>
      <c r="P2301" t="s">
        <v>116</v>
      </c>
      <c r="Q2301" t="s">
        <v>1631</v>
      </c>
      <c r="R2301" t="s">
        <v>3941</v>
      </c>
      <c r="T2301" t="s">
        <v>116</v>
      </c>
    </row>
    <row r="2302" ht="25.5" customHeight="1" spans="1:20">
      <c r="A2302" t="s">
        <v>2829</v>
      </c>
      <c r="B2302" t="s">
        <v>65</v>
      </c>
      <c r="C2302" t="s">
        <v>4500</v>
      </c>
      <c r="D2302" s="3"/>
      <c r="E2302" s="2">
        <v>45694</v>
      </c>
      <c r="F2302">
        <v>46100</v>
      </c>
      <c r="G2302">
        <v>1918</v>
      </c>
      <c r="H2302">
        <v>39</v>
      </c>
      <c r="I2302">
        <v>0</v>
      </c>
      <c r="L2302" t="s">
        <v>3138</v>
      </c>
      <c r="M2302" t="s">
        <v>3393</v>
      </c>
      <c r="N2302" t="s">
        <v>1630</v>
      </c>
      <c r="O2302" s="4">
        <v>45698.6216782407</v>
      </c>
      <c r="P2302" t="s">
        <v>116</v>
      </c>
      <c r="Q2302" t="s">
        <v>1631</v>
      </c>
      <c r="R2302" t="s">
        <v>3941</v>
      </c>
      <c r="S2302" t="s">
        <v>3180</v>
      </c>
      <c r="T2302" t="s">
        <v>116</v>
      </c>
    </row>
    <row r="2303" ht="25.5" customHeight="1" spans="1:20">
      <c r="A2303" t="s">
        <v>2829</v>
      </c>
      <c r="B2303" t="s">
        <v>65</v>
      </c>
      <c r="C2303" t="s">
        <v>4500</v>
      </c>
      <c r="D2303" s="3"/>
      <c r="E2303" s="2">
        <v>45695</v>
      </c>
      <c r="F2303">
        <v>46100</v>
      </c>
      <c r="G2303">
        <v>1923</v>
      </c>
      <c r="H2303">
        <v>39</v>
      </c>
      <c r="I2303">
        <v>0</v>
      </c>
      <c r="L2303" t="s">
        <v>3138</v>
      </c>
      <c r="M2303" t="s">
        <v>3393</v>
      </c>
      <c r="N2303" t="s">
        <v>1630</v>
      </c>
      <c r="O2303" s="4">
        <v>45695.5087268519</v>
      </c>
      <c r="P2303" t="s">
        <v>116</v>
      </c>
      <c r="Q2303" t="s">
        <v>1631</v>
      </c>
      <c r="R2303" t="s">
        <v>3941</v>
      </c>
      <c r="T2303" t="s">
        <v>116</v>
      </c>
    </row>
    <row r="2304" ht="25.5" customHeight="1" spans="1:20">
      <c r="A2304" t="s">
        <v>2729</v>
      </c>
      <c r="B2304" t="s">
        <v>65</v>
      </c>
      <c r="C2304" t="s">
        <v>4408</v>
      </c>
      <c r="D2304" s="3" t="str">
        <f>HYPERLINK("https://www.instagram.com/traselveloreal/","https://www.instagram.com/traselveloreal/")</f>
        <v>https://www.instagram.com/traselveloreal/</v>
      </c>
      <c r="E2304" s="2">
        <v>45669</v>
      </c>
      <c r="F2304">
        <v>1300000</v>
      </c>
      <c r="H2304">
        <v>677</v>
      </c>
      <c r="I2304">
        <v>175</v>
      </c>
      <c r="L2304" t="s">
        <v>3138</v>
      </c>
      <c r="M2304" t="s">
        <v>3249</v>
      </c>
      <c r="N2304" t="s">
        <v>1630</v>
      </c>
      <c r="O2304" s="4">
        <v>45670.7925347222</v>
      </c>
      <c r="P2304" t="s">
        <v>66</v>
      </c>
      <c r="Q2304" t="s">
        <v>1631</v>
      </c>
      <c r="R2304" t="s">
        <v>4409</v>
      </c>
      <c r="T2304" t="s">
        <v>66</v>
      </c>
    </row>
    <row r="2305" ht="25.5" customHeight="1" spans="1:20">
      <c r="A2305" t="s">
        <v>2729</v>
      </c>
      <c r="B2305" t="s">
        <v>65</v>
      </c>
      <c r="C2305" t="s">
        <v>4408</v>
      </c>
      <c r="D2305" s="3"/>
      <c r="E2305" s="2">
        <v>45671</v>
      </c>
      <c r="F2305">
        <v>1300000</v>
      </c>
      <c r="H2305">
        <v>786</v>
      </c>
      <c r="I2305">
        <v>217</v>
      </c>
      <c r="L2305" t="s">
        <v>3138</v>
      </c>
      <c r="M2305" t="s">
        <v>3249</v>
      </c>
      <c r="N2305" t="s">
        <v>1630</v>
      </c>
      <c r="O2305" s="4">
        <v>45672.5030092593</v>
      </c>
      <c r="P2305" t="s">
        <v>66</v>
      </c>
      <c r="Q2305" t="s">
        <v>1631</v>
      </c>
      <c r="R2305" t="s">
        <v>4501</v>
      </c>
      <c r="T2305" t="s">
        <v>66</v>
      </c>
    </row>
    <row r="2306" ht="25.5" customHeight="1" spans="1:20">
      <c r="A2306" t="s">
        <v>2729</v>
      </c>
      <c r="B2306" t="s">
        <v>65</v>
      </c>
      <c r="C2306" t="s">
        <v>4408</v>
      </c>
      <c r="D2306" s="3"/>
      <c r="E2306" s="2">
        <v>45672</v>
      </c>
      <c r="F2306">
        <v>1300000</v>
      </c>
      <c r="G2306">
        <v>54781</v>
      </c>
      <c r="H2306">
        <v>810</v>
      </c>
      <c r="I2306">
        <v>225</v>
      </c>
      <c r="J2306">
        <v>863</v>
      </c>
      <c r="K2306">
        <v>568</v>
      </c>
      <c r="L2306" t="s">
        <v>3138</v>
      </c>
      <c r="M2306" t="s">
        <v>3249</v>
      </c>
      <c r="N2306" t="s">
        <v>1630</v>
      </c>
      <c r="O2306" s="4">
        <v>45695.4811111111</v>
      </c>
      <c r="P2306" t="s">
        <v>66</v>
      </c>
      <c r="Q2306" t="s">
        <v>1631</v>
      </c>
      <c r="R2306" t="s">
        <v>4502</v>
      </c>
      <c r="T2306" t="s">
        <v>66</v>
      </c>
    </row>
    <row r="2307" ht="25.5" customHeight="1" spans="1:20">
      <c r="A2307" t="s">
        <v>2729</v>
      </c>
      <c r="B2307" t="s">
        <v>65</v>
      </c>
      <c r="C2307" t="s">
        <v>4408</v>
      </c>
      <c r="D2307" s="3"/>
      <c r="E2307" s="2">
        <v>45673</v>
      </c>
      <c r="F2307">
        <v>1300000</v>
      </c>
      <c r="G2307">
        <v>54781</v>
      </c>
      <c r="H2307">
        <v>826</v>
      </c>
      <c r="I2307">
        <v>229</v>
      </c>
      <c r="J2307">
        <v>863</v>
      </c>
      <c r="K2307">
        <v>568</v>
      </c>
      <c r="L2307" t="s">
        <v>3138</v>
      </c>
      <c r="M2307" t="s">
        <v>3249</v>
      </c>
      <c r="N2307" t="s">
        <v>1630</v>
      </c>
      <c r="O2307" s="4">
        <v>45695.4811226852</v>
      </c>
      <c r="P2307" t="s">
        <v>66</v>
      </c>
      <c r="Q2307" t="s">
        <v>1631</v>
      </c>
      <c r="R2307" t="s">
        <v>4503</v>
      </c>
      <c r="T2307" t="s">
        <v>66</v>
      </c>
    </row>
    <row r="2308" ht="25.5" customHeight="1" spans="1:20">
      <c r="A2308" t="s">
        <v>2729</v>
      </c>
      <c r="B2308" t="s">
        <v>65</v>
      </c>
      <c r="C2308" t="s">
        <v>4408</v>
      </c>
      <c r="D2308" s="3"/>
      <c r="E2308" s="2">
        <v>45674</v>
      </c>
      <c r="F2308">
        <v>1300000</v>
      </c>
      <c r="G2308">
        <v>54781</v>
      </c>
      <c r="H2308">
        <v>852</v>
      </c>
      <c r="I2308">
        <v>251</v>
      </c>
      <c r="J2308">
        <v>863</v>
      </c>
      <c r="K2308">
        <v>568</v>
      </c>
      <c r="L2308" t="s">
        <v>3138</v>
      </c>
      <c r="M2308" t="s">
        <v>3249</v>
      </c>
      <c r="N2308" t="s">
        <v>1630</v>
      </c>
      <c r="O2308" s="4">
        <v>45695.4811342593</v>
      </c>
      <c r="P2308" t="s">
        <v>66</v>
      </c>
      <c r="Q2308" t="s">
        <v>1631</v>
      </c>
      <c r="R2308" t="s">
        <v>4504</v>
      </c>
      <c r="T2308" t="s">
        <v>66</v>
      </c>
    </row>
    <row r="2309" ht="25.5" customHeight="1" spans="1:20">
      <c r="A2309" t="s">
        <v>2729</v>
      </c>
      <c r="B2309" t="s">
        <v>65</v>
      </c>
      <c r="C2309" t="s">
        <v>4408</v>
      </c>
      <c r="D2309" s="3"/>
      <c r="E2309" s="2">
        <v>45677</v>
      </c>
      <c r="F2309">
        <v>1300000</v>
      </c>
      <c r="G2309">
        <v>54781</v>
      </c>
      <c r="H2309">
        <v>893</v>
      </c>
      <c r="I2309">
        <v>265</v>
      </c>
      <c r="J2309">
        <v>863</v>
      </c>
      <c r="K2309">
        <v>568</v>
      </c>
      <c r="L2309" t="s">
        <v>3138</v>
      </c>
      <c r="M2309" t="s">
        <v>3249</v>
      </c>
      <c r="N2309" t="s">
        <v>1630</v>
      </c>
      <c r="O2309" s="4">
        <v>45695.4811342593</v>
      </c>
      <c r="P2309" t="s">
        <v>66</v>
      </c>
      <c r="Q2309" t="s">
        <v>1631</v>
      </c>
      <c r="R2309" t="s">
        <v>4505</v>
      </c>
      <c r="T2309" t="s">
        <v>66</v>
      </c>
    </row>
    <row r="2310" ht="25.5" customHeight="1" spans="1:20">
      <c r="A2310" t="s">
        <v>2729</v>
      </c>
      <c r="B2310" t="s">
        <v>65</v>
      </c>
      <c r="C2310" t="s">
        <v>4408</v>
      </c>
      <c r="D2310" s="3"/>
      <c r="E2310" s="2">
        <v>45678</v>
      </c>
      <c r="F2310">
        <v>1300000</v>
      </c>
      <c r="G2310">
        <v>54781</v>
      </c>
      <c r="H2310">
        <v>904</v>
      </c>
      <c r="I2310">
        <v>269</v>
      </c>
      <c r="J2310">
        <v>863</v>
      </c>
      <c r="K2310">
        <v>568</v>
      </c>
      <c r="L2310" t="s">
        <v>3138</v>
      </c>
      <c r="M2310" t="s">
        <v>3249</v>
      </c>
      <c r="N2310" t="s">
        <v>1630</v>
      </c>
      <c r="O2310" s="4">
        <v>45695.4811458333</v>
      </c>
      <c r="P2310" t="s">
        <v>66</v>
      </c>
      <c r="Q2310" t="s">
        <v>1631</v>
      </c>
      <c r="R2310" t="s">
        <v>4506</v>
      </c>
      <c r="T2310" t="s">
        <v>66</v>
      </c>
    </row>
    <row r="2311" ht="25.5" customHeight="1" spans="1:20">
      <c r="A2311" t="s">
        <v>2729</v>
      </c>
      <c r="B2311" t="s">
        <v>65</v>
      </c>
      <c r="C2311" t="s">
        <v>4408</v>
      </c>
      <c r="D2311" s="3"/>
      <c r="E2311" s="2">
        <v>45679</v>
      </c>
      <c r="F2311">
        <v>1300000</v>
      </c>
      <c r="G2311">
        <v>54781</v>
      </c>
      <c r="H2311">
        <v>914</v>
      </c>
      <c r="I2311">
        <v>273</v>
      </c>
      <c r="J2311">
        <v>863</v>
      </c>
      <c r="K2311">
        <v>568</v>
      </c>
      <c r="L2311" t="s">
        <v>3138</v>
      </c>
      <c r="M2311" t="s">
        <v>3249</v>
      </c>
      <c r="N2311" t="s">
        <v>1630</v>
      </c>
      <c r="O2311" s="4">
        <v>45695.4811458333</v>
      </c>
      <c r="P2311" t="s">
        <v>66</v>
      </c>
      <c r="Q2311" t="s">
        <v>1631</v>
      </c>
      <c r="R2311" t="s">
        <v>4507</v>
      </c>
      <c r="T2311" t="s">
        <v>66</v>
      </c>
    </row>
    <row r="2312" ht="25.5" customHeight="1" spans="1:20">
      <c r="A2312" t="s">
        <v>2729</v>
      </c>
      <c r="B2312" t="s">
        <v>65</v>
      </c>
      <c r="C2312" t="s">
        <v>4408</v>
      </c>
      <c r="D2312" s="3"/>
      <c r="E2312" s="2">
        <v>45680</v>
      </c>
      <c r="F2312">
        <v>1300000</v>
      </c>
      <c r="G2312">
        <v>54781</v>
      </c>
      <c r="H2312">
        <v>925</v>
      </c>
      <c r="I2312">
        <v>279</v>
      </c>
      <c r="J2312">
        <v>863</v>
      </c>
      <c r="K2312">
        <v>568</v>
      </c>
      <c r="L2312" t="s">
        <v>3138</v>
      </c>
      <c r="M2312" t="s">
        <v>3249</v>
      </c>
      <c r="N2312" t="s">
        <v>1630</v>
      </c>
      <c r="O2312" s="4">
        <v>45695.4811574074</v>
      </c>
      <c r="P2312" t="s">
        <v>66</v>
      </c>
      <c r="Q2312" t="s">
        <v>1631</v>
      </c>
      <c r="R2312" t="s">
        <v>4508</v>
      </c>
      <c r="T2312" t="s">
        <v>66</v>
      </c>
    </row>
    <row r="2313" ht="25.5" customHeight="1" spans="1:20">
      <c r="A2313" t="s">
        <v>2729</v>
      </c>
      <c r="B2313" t="s">
        <v>65</v>
      </c>
      <c r="C2313" t="s">
        <v>4408</v>
      </c>
      <c r="D2313" s="3"/>
      <c r="E2313" s="2">
        <v>45681</v>
      </c>
      <c r="F2313">
        <v>1300000</v>
      </c>
      <c r="G2313">
        <v>54781</v>
      </c>
      <c r="H2313">
        <v>928</v>
      </c>
      <c r="I2313">
        <v>283</v>
      </c>
      <c r="J2313">
        <v>863</v>
      </c>
      <c r="K2313">
        <v>568</v>
      </c>
      <c r="L2313" t="s">
        <v>3138</v>
      </c>
      <c r="M2313" t="s">
        <v>3249</v>
      </c>
      <c r="N2313" t="s">
        <v>1630</v>
      </c>
      <c r="O2313" s="4">
        <v>45695.4811574074</v>
      </c>
      <c r="P2313" t="s">
        <v>66</v>
      </c>
      <c r="Q2313" t="s">
        <v>1631</v>
      </c>
      <c r="R2313" t="s">
        <v>4509</v>
      </c>
      <c r="T2313" t="s">
        <v>66</v>
      </c>
    </row>
    <row r="2314" ht="25.5" customHeight="1" spans="1:20">
      <c r="A2314" t="s">
        <v>2729</v>
      </c>
      <c r="B2314" t="s">
        <v>65</v>
      </c>
      <c r="C2314" t="s">
        <v>4408</v>
      </c>
      <c r="D2314" s="3"/>
      <c r="E2314" s="2">
        <v>45683</v>
      </c>
      <c r="F2314">
        <v>1300000</v>
      </c>
      <c r="G2314">
        <v>54781</v>
      </c>
      <c r="H2314">
        <v>931</v>
      </c>
      <c r="I2314">
        <v>290</v>
      </c>
      <c r="J2314">
        <v>863</v>
      </c>
      <c r="K2314">
        <v>568</v>
      </c>
      <c r="L2314" t="s">
        <v>3138</v>
      </c>
      <c r="M2314" t="s">
        <v>3249</v>
      </c>
      <c r="N2314" t="s">
        <v>1630</v>
      </c>
      <c r="O2314" s="4">
        <v>45695.4811689815</v>
      </c>
      <c r="P2314" t="s">
        <v>66</v>
      </c>
      <c r="Q2314" t="s">
        <v>1631</v>
      </c>
      <c r="R2314" t="s">
        <v>4510</v>
      </c>
      <c r="T2314" t="s">
        <v>66</v>
      </c>
    </row>
    <row r="2315" ht="25.5" customHeight="1" spans="1:20">
      <c r="A2315" t="s">
        <v>2729</v>
      </c>
      <c r="B2315" t="s">
        <v>65</v>
      </c>
      <c r="C2315" t="s">
        <v>4408</v>
      </c>
      <c r="D2315" s="3"/>
      <c r="E2315" s="2">
        <v>45684</v>
      </c>
      <c r="F2315">
        <v>1300000</v>
      </c>
      <c r="G2315">
        <v>54781</v>
      </c>
      <c r="H2315">
        <v>931</v>
      </c>
      <c r="I2315">
        <v>290</v>
      </c>
      <c r="J2315">
        <v>863</v>
      </c>
      <c r="K2315">
        <v>568</v>
      </c>
      <c r="L2315" t="s">
        <v>3138</v>
      </c>
      <c r="M2315" t="s">
        <v>3249</v>
      </c>
      <c r="N2315" t="s">
        <v>1630</v>
      </c>
      <c r="O2315" s="4">
        <v>45695.4811689815</v>
      </c>
      <c r="P2315" t="s">
        <v>66</v>
      </c>
      <c r="Q2315" t="s">
        <v>1631</v>
      </c>
      <c r="R2315" t="s">
        <v>4510</v>
      </c>
      <c r="T2315" t="s">
        <v>66</v>
      </c>
    </row>
    <row r="2316" ht="25.5" customHeight="1" spans="1:20">
      <c r="A2316" t="s">
        <v>2729</v>
      </c>
      <c r="B2316" t="s">
        <v>65</v>
      </c>
      <c r="C2316" t="s">
        <v>4408</v>
      </c>
      <c r="D2316" s="3"/>
      <c r="E2316" s="2">
        <v>45693</v>
      </c>
      <c r="F2316">
        <v>1400000</v>
      </c>
      <c r="G2316">
        <v>54781</v>
      </c>
      <c r="H2316">
        <v>948</v>
      </c>
      <c r="I2316">
        <v>294</v>
      </c>
      <c r="J2316">
        <v>863</v>
      </c>
      <c r="K2316">
        <v>568</v>
      </c>
      <c r="L2316" t="s">
        <v>3138</v>
      </c>
      <c r="M2316" t="s">
        <v>3249</v>
      </c>
      <c r="N2316" t="s">
        <v>1630</v>
      </c>
      <c r="O2316" s="4">
        <v>45695.4811805556</v>
      </c>
      <c r="P2316" t="s">
        <v>66</v>
      </c>
      <c r="Q2316" t="s">
        <v>1631</v>
      </c>
      <c r="R2316" t="s">
        <v>4511</v>
      </c>
      <c r="T2316" t="s">
        <v>66</v>
      </c>
    </row>
    <row r="2317" ht="25.5" customHeight="1" spans="1:20">
      <c r="A2317" t="s">
        <v>2729</v>
      </c>
      <c r="B2317" t="s">
        <v>65</v>
      </c>
      <c r="C2317" t="s">
        <v>4408</v>
      </c>
      <c r="D2317" s="3"/>
      <c r="E2317" s="2">
        <v>45694</v>
      </c>
      <c r="F2317">
        <v>1400000</v>
      </c>
      <c r="G2317">
        <v>54781</v>
      </c>
      <c r="H2317">
        <v>949</v>
      </c>
      <c r="I2317">
        <v>294</v>
      </c>
      <c r="J2317">
        <v>863</v>
      </c>
      <c r="L2317" t="s">
        <v>3138</v>
      </c>
      <c r="M2317" t="s">
        <v>3249</v>
      </c>
      <c r="N2317" t="s">
        <v>1630</v>
      </c>
      <c r="O2317" s="4">
        <v>45698.6216782407</v>
      </c>
      <c r="P2317" t="s">
        <v>66</v>
      </c>
      <c r="Q2317" t="s">
        <v>1631</v>
      </c>
      <c r="R2317" t="s">
        <v>4512</v>
      </c>
      <c r="S2317" t="s">
        <v>3152</v>
      </c>
      <c r="T2317" t="s">
        <v>66</v>
      </c>
    </row>
    <row r="2318" ht="25.5" customHeight="1" spans="1:20">
      <c r="A2318" t="s">
        <v>2729</v>
      </c>
      <c r="B2318" t="s">
        <v>65</v>
      </c>
      <c r="C2318" t="s">
        <v>4408</v>
      </c>
      <c r="D2318" s="3"/>
      <c r="E2318" s="2">
        <v>45695</v>
      </c>
      <c r="F2318">
        <v>1400000</v>
      </c>
      <c r="H2318">
        <v>948</v>
      </c>
      <c r="I2318">
        <v>294</v>
      </c>
      <c r="L2318" t="s">
        <v>3138</v>
      </c>
      <c r="M2318" t="s">
        <v>3249</v>
      </c>
      <c r="N2318" t="s">
        <v>1630</v>
      </c>
      <c r="O2318" s="4">
        <v>45695.5089930556</v>
      </c>
      <c r="P2318" t="s">
        <v>66</v>
      </c>
      <c r="Q2318" t="s">
        <v>1631</v>
      </c>
      <c r="R2318" t="s">
        <v>4419</v>
      </c>
      <c r="T2318" t="s">
        <v>66</v>
      </c>
    </row>
    <row r="2319" ht="25.5" customHeight="1" spans="1:20">
      <c r="A2319" t="s">
        <v>237</v>
      </c>
      <c r="B2319" t="s">
        <v>3564</v>
      </c>
      <c r="C2319" t="s">
        <v>4513</v>
      </c>
      <c r="D2319" s="3"/>
      <c r="E2319" s="2"/>
      <c r="M2319" t="s">
        <v>4514</v>
      </c>
      <c r="N2319" t="s">
        <v>3277</v>
      </c>
      <c r="O2319" s="4">
        <v>45670.743587963</v>
      </c>
      <c r="P2319" t="s">
        <v>3567</v>
      </c>
      <c r="Q2319" t="s">
        <v>3627</v>
      </c>
      <c r="R2319" t="s">
        <v>3133</v>
      </c>
      <c r="T2319" t="s">
        <v>3567</v>
      </c>
    </row>
    <row r="2320" ht="25.5" customHeight="1" spans="1:20">
      <c r="A2320" t="s">
        <v>2417</v>
      </c>
      <c r="B2320" t="s">
        <v>1816</v>
      </c>
      <c r="C2320" t="s">
        <v>4515</v>
      </c>
      <c r="D2320" s="3"/>
      <c r="E2320" s="2">
        <v>45664</v>
      </c>
      <c r="F2320">
        <v>36000</v>
      </c>
      <c r="G2320">
        <v>46200</v>
      </c>
      <c r="H2320">
        <v>107</v>
      </c>
      <c r="I2320">
        <v>54</v>
      </c>
      <c r="J2320">
        <v>71</v>
      </c>
      <c r="K2320">
        <v>50</v>
      </c>
      <c r="L2320" t="s">
        <v>3331</v>
      </c>
      <c r="M2320" t="s">
        <v>3973</v>
      </c>
      <c r="N2320" t="s">
        <v>1630</v>
      </c>
      <c r="O2320" s="4">
        <v>45670.757974537</v>
      </c>
      <c r="P2320" t="s">
        <v>1817</v>
      </c>
      <c r="Q2320" t="s">
        <v>1631</v>
      </c>
      <c r="R2320" t="s">
        <v>3555</v>
      </c>
      <c r="T2320" t="s">
        <v>1817</v>
      </c>
    </row>
    <row r="2321" ht="25.5" customHeight="1" spans="1:20">
      <c r="A2321" t="s">
        <v>2417</v>
      </c>
      <c r="B2321" t="s">
        <v>1816</v>
      </c>
      <c r="C2321" t="s">
        <v>4515</v>
      </c>
      <c r="D2321" s="3"/>
      <c r="E2321" s="2">
        <v>45665</v>
      </c>
      <c r="F2321">
        <v>36000</v>
      </c>
      <c r="G2321">
        <v>49000</v>
      </c>
      <c r="H2321">
        <v>120</v>
      </c>
      <c r="I2321">
        <v>56</v>
      </c>
      <c r="J2321">
        <v>90</v>
      </c>
      <c r="K2321">
        <v>47</v>
      </c>
      <c r="L2321" t="s">
        <v>3331</v>
      </c>
      <c r="M2321" t="s">
        <v>3973</v>
      </c>
      <c r="N2321" t="s">
        <v>1630</v>
      </c>
      <c r="O2321" s="4">
        <v>45672.5030092593</v>
      </c>
      <c r="P2321" t="s">
        <v>1817</v>
      </c>
      <c r="Q2321" t="s">
        <v>1631</v>
      </c>
      <c r="R2321" t="s">
        <v>4184</v>
      </c>
      <c r="T2321" t="s">
        <v>1817</v>
      </c>
    </row>
    <row r="2322" ht="25.5" customHeight="1" spans="1:20">
      <c r="A2322" t="s">
        <v>2417</v>
      </c>
      <c r="B2322" t="s">
        <v>1816</v>
      </c>
      <c r="C2322" t="s">
        <v>4515</v>
      </c>
      <c r="D2322" s="3"/>
      <c r="E2322" s="2">
        <v>45670</v>
      </c>
      <c r="F2322">
        <v>36200</v>
      </c>
      <c r="G2322">
        <v>50500</v>
      </c>
      <c r="H2322">
        <v>123</v>
      </c>
      <c r="I2322">
        <v>58</v>
      </c>
      <c r="J2322">
        <v>97</v>
      </c>
      <c r="K2322">
        <v>40</v>
      </c>
      <c r="L2322" t="s">
        <v>3331</v>
      </c>
      <c r="M2322" t="s">
        <v>3973</v>
      </c>
      <c r="N2322" t="s">
        <v>1630</v>
      </c>
      <c r="O2322" s="4">
        <v>45672.5030092593</v>
      </c>
      <c r="P2322" t="s">
        <v>1817</v>
      </c>
      <c r="Q2322" t="s">
        <v>1631</v>
      </c>
      <c r="R2322" t="s">
        <v>3502</v>
      </c>
      <c r="T2322" t="s">
        <v>1817</v>
      </c>
    </row>
    <row r="2323" ht="25.5" customHeight="1" spans="1:20">
      <c r="A2323" t="s">
        <v>2417</v>
      </c>
      <c r="B2323" t="s">
        <v>1816</v>
      </c>
      <c r="C2323" t="s">
        <v>4515</v>
      </c>
      <c r="D2323" s="3"/>
      <c r="E2323" s="2">
        <v>45671</v>
      </c>
      <c r="F2323">
        <v>36300</v>
      </c>
      <c r="G2323">
        <v>50600</v>
      </c>
      <c r="H2323">
        <v>123</v>
      </c>
      <c r="I2323">
        <v>58</v>
      </c>
      <c r="J2323">
        <v>97</v>
      </c>
      <c r="K2323">
        <v>40</v>
      </c>
      <c r="L2323" t="s">
        <v>3331</v>
      </c>
      <c r="M2323" t="s">
        <v>3973</v>
      </c>
      <c r="N2323" t="s">
        <v>1630</v>
      </c>
      <c r="O2323" s="4">
        <v>45672.5030092593</v>
      </c>
      <c r="P2323" t="s">
        <v>1817</v>
      </c>
      <c r="Q2323" t="s">
        <v>1631</v>
      </c>
      <c r="R2323" t="s">
        <v>3502</v>
      </c>
      <c r="T2323" t="s">
        <v>1817</v>
      </c>
    </row>
    <row r="2324" ht="25.5" customHeight="1" spans="1:20">
      <c r="A2324" t="s">
        <v>2417</v>
      </c>
      <c r="B2324" t="s">
        <v>1816</v>
      </c>
      <c r="C2324" t="s">
        <v>4515</v>
      </c>
      <c r="D2324" s="3"/>
      <c r="E2324" s="2">
        <v>45672</v>
      </c>
      <c r="F2324">
        <v>36600</v>
      </c>
      <c r="G2324">
        <v>50600</v>
      </c>
      <c r="H2324">
        <v>123</v>
      </c>
      <c r="I2324">
        <v>58</v>
      </c>
      <c r="J2324">
        <v>97</v>
      </c>
      <c r="K2324">
        <v>40</v>
      </c>
      <c r="L2324" t="s">
        <v>3331</v>
      </c>
      <c r="M2324" t="s">
        <v>3973</v>
      </c>
      <c r="N2324" t="s">
        <v>1630</v>
      </c>
      <c r="O2324" s="4">
        <v>45672.7160185185</v>
      </c>
      <c r="P2324" t="s">
        <v>1817</v>
      </c>
      <c r="Q2324" t="s">
        <v>1631</v>
      </c>
      <c r="R2324" t="s">
        <v>3502</v>
      </c>
      <c r="T2324" t="s">
        <v>1817</v>
      </c>
    </row>
    <row r="2325" ht="25.5" customHeight="1" spans="1:20">
      <c r="A2325" t="s">
        <v>2417</v>
      </c>
      <c r="B2325" t="s">
        <v>1816</v>
      </c>
      <c r="C2325" t="s">
        <v>4515</v>
      </c>
      <c r="D2325" s="3"/>
      <c r="E2325" s="2">
        <v>45673</v>
      </c>
      <c r="F2325">
        <v>36600</v>
      </c>
      <c r="G2325">
        <v>50600</v>
      </c>
      <c r="H2325">
        <v>122</v>
      </c>
      <c r="I2325">
        <v>58</v>
      </c>
      <c r="J2325">
        <v>97</v>
      </c>
      <c r="K2325">
        <v>40</v>
      </c>
      <c r="L2325" t="s">
        <v>3331</v>
      </c>
      <c r="M2325" t="s">
        <v>3973</v>
      </c>
      <c r="N2325" t="s">
        <v>1630</v>
      </c>
      <c r="O2325" s="4">
        <v>45673.6294444444</v>
      </c>
      <c r="P2325" t="s">
        <v>1817</v>
      </c>
      <c r="Q2325" t="s">
        <v>1631</v>
      </c>
      <c r="R2325" t="s">
        <v>3310</v>
      </c>
      <c r="T2325" t="s">
        <v>1817</v>
      </c>
    </row>
    <row r="2326" ht="25.5" customHeight="1" spans="1:20">
      <c r="A2326" t="s">
        <v>2417</v>
      </c>
      <c r="B2326" t="s">
        <v>1816</v>
      </c>
      <c r="C2326" t="s">
        <v>4515</v>
      </c>
      <c r="D2326" s="3"/>
      <c r="E2326" s="2">
        <v>45674</v>
      </c>
      <c r="F2326">
        <v>36700</v>
      </c>
      <c r="G2326">
        <v>50600</v>
      </c>
      <c r="H2326">
        <v>122</v>
      </c>
      <c r="I2326">
        <v>58</v>
      </c>
      <c r="J2326">
        <v>97</v>
      </c>
      <c r="K2326">
        <v>40</v>
      </c>
      <c r="L2326" t="s">
        <v>3331</v>
      </c>
      <c r="M2326" t="s">
        <v>3973</v>
      </c>
      <c r="N2326" t="s">
        <v>1630</v>
      </c>
      <c r="O2326" s="4">
        <v>45674.6841550926</v>
      </c>
      <c r="P2326" t="s">
        <v>1817</v>
      </c>
      <c r="Q2326" t="s">
        <v>1631</v>
      </c>
      <c r="R2326" t="s">
        <v>3310</v>
      </c>
      <c r="T2326" t="s">
        <v>1817</v>
      </c>
    </row>
    <row r="2327" ht="25.5" customHeight="1" spans="1:20">
      <c r="A2327" t="s">
        <v>2417</v>
      </c>
      <c r="B2327" t="s">
        <v>1816</v>
      </c>
      <c r="C2327" t="s">
        <v>4515</v>
      </c>
      <c r="D2327" s="3"/>
      <c r="E2327" s="2">
        <v>45677</v>
      </c>
      <c r="F2327">
        <v>37000</v>
      </c>
      <c r="G2327">
        <v>50600</v>
      </c>
      <c r="H2327">
        <v>122</v>
      </c>
      <c r="I2327">
        <v>58</v>
      </c>
      <c r="J2327">
        <v>98</v>
      </c>
      <c r="K2327">
        <v>40</v>
      </c>
      <c r="L2327" t="s">
        <v>3331</v>
      </c>
      <c r="M2327" t="s">
        <v>3973</v>
      </c>
      <c r="N2327" t="s">
        <v>1630</v>
      </c>
      <c r="O2327" s="4">
        <v>45677.4431712963</v>
      </c>
      <c r="P2327" t="s">
        <v>1817</v>
      </c>
      <c r="Q2327" t="s">
        <v>1631</v>
      </c>
      <c r="R2327" t="s">
        <v>3502</v>
      </c>
      <c r="T2327" t="s">
        <v>1817</v>
      </c>
    </row>
    <row r="2328" ht="25.5" customHeight="1" spans="1:20">
      <c r="A2328" t="s">
        <v>2417</v>
      </c>
      <c r="B2328" t="s">
        <v>1816</v>
      </c>
      <c r="C2328" t="s">
        <v>4515</v>
      </c>
      <c r="D2328" s="3"/>
      <c r="E2328" s="2">
        <v>45678</v>
      </c>
      <c r="F2328">
        <v>37100</v>
      </c>
      <c r="G2328">
        <v>50600</v>
      </c>
      <c r="H2328">
        <v>122</v>
      </c>
      <c r="I2328">
        <v>58</v>
      </c>
      <c r="J2328">
        <v>98</v>
      </c>
      <c r="K2328">
        <v>40</v>
      </c>
      <c r="L2328" t="s">
        <v>3331</v>
      </c>
      <c r="M2328" t="s">
        <v>3973</v>
      </c>
      <c r="N2328" t="s">
        <v>1630</v>
      </c>
      <c r="O2328" s="4">
        <v>45678.6694907407</v>
      </c>
      <c r="P2328" t="s">
        <v>1817</v>
      </c>
      <c r="Q2328" t="s">
        <v>1631</v>
      </c>
      <c r="R2328" t="s">
        <v>3502</v>
      </c>
      <c r="T2328" t="s">
        <v>1817</v>
      </c>
    </row>
    <row r="2329" ht="25.5" customHeight="1" spans="1:20">
      <c r="A2329" t="s">
        <v>2417</v>
      </c>
      <c r="B2329" t="s">
        <v>1816</v>
      </c>
      <c r="C2329" t="s">
        <v>4515</v>
      </c>
      <c r="D2329" s="3"/>
      <c r="E2329" s="2">
        <v>45679</v>
      </c>
      <c r="F2329">
        <v>37100</v>
      </c>
      <c r="G2329">
        <v>50700</v>
      </c>
      <c r="H2329">
        <v>122</v>
      </c>
      <c r="I2329">
        <v>58</v>
      </c>
      <c r="J2329">
        <v>98</v>
      </c>
      <c r="K2329">
        <v>40</v>
      </c>
      <c r="L2329" t="s">
        <v>3331</v>
      </c>
      <c r="M2329" t="s">
        <v>3973</v>
      </c>
      <c r="N2329" t="s">
        <v>1630</v>
      </c>
      <c r="O2329" s="4">
        <v>45679.6544097222</v>
      </c>
      <c r="P2329" t="s">
        <v>1817</v>
      </c>
      <c r="Q2329" t="s">
        <v>1631</v>
      </c>
      <c r="R2329" t="s">
        <v>3502</v>
      </c>
      <c r="T2329" t="s">
        <v>1817</v>
      </c>
    </row>
    <row r="2330" ht="25.5" customHeight="1" spans="1:20">
      <c r="A2330" t="s">
        <v>2417</v>
      </c>
      <c r="B2330" t="s">
        <v>1816</v>
      </c>
      <c r="C2330" t="s">
        <v>4515</v>
      </c>
      <c r="D2330" s="3"/>
      <c r="E2330" s="2">
        <v>45680</v>
      </c>
      <c r="F2330">
        <v>37300</v>
      </c>
      <c r="G2330">
        <v>50700</v>
      </c>
      <c r="H2330">
        <v>122</v>
      </c>
      <c r="I2330">
        <v>58</v>
      </c>
      <c r="J2330">
        <v>98</v>
      </c>
      <c r="K2330">
        <v>40</v>
      </c>
      <c r="L2330" t="s">
        <v>3331</v>
      </c>
      <c r="M2330" t="s">
        <v>3973</v>
      </c>
      <c r="N2330" t="s">
        <v>1630</v>
      </c>
      <c r="O2330" s="4">
        <v>45680.6700231481</v>
      </c>
      <c r="P2330" t="s">
        <v>1817</v>
      </c>
      <c r="Q2330" t="s">
        <v>1631</v>
      </c>
      <c r="R2330" t="s">
        <v>3502</v>
      </c>
      <c r="T2330" t="s">
        <v>1817</v>
      </c>
    </row>
    <row r="2331" ht="25.5" customHeight="1" spans="1:20">
      <c r="A2331" t="s">
        <v>2417</v>
      </c>
      <c r="B2331" t="s">
        <v>1816</v>
      </c>
      <c r="C2331" t="s">
        <v>4515</v>
      </c>
      <c r="D2331" s="3"/>
      <c r="E2331" s="2">
        <v>45681</v>
      </c>
      <c r="F2331">
        <v>37400</v>
      </c>
      <c r="G2331">
        <v>50700</v>
      </c>
      <c r="H2331">
        <v>122</v>
      </c>
      <c r="I2331">
        <v>58</v>
      </c>
      <c r="J2331">
        <v>98</v>
      </c>
      <c r="K2331">
        <v>40</v>
      </c>
      <c r="L2331" t="s">
        <v>3331</v>
      </c>
      <c r="M2331" t="s">
        <v>3973</v>
      </c>
      <c r="N2331" t="s">
        <v>1630</v>
      </c>
      <c r="O2331" s="4">
        <v>45681.6552546296</v>
      </c>
      <c r="P2331" t="s">
        <v>1817</v>
      </c>
      <c r="Q2331" t="s">
        <v>1631</v>
      </c>
      <c r="R2331" t="s">
        <v>3502</v>
      </c>
      <c r="T2331" t="s">
        <v>1817</v>
      </c>
    </row>
    <row r="2332" ht="25.5" customHeight="1" spans="1:20">
      <c r="A2332" t="s">
        <v>2417</v>
      </c>
      <c r="B2332" t="s">
        <v>1816</v>
      </c>
      <c r="C2332" t="s">
        <v>4515</v>
      </c>
      <c r="D2332" s="3"/>
      <c r="E2332" s="2">
        <v>45683</v>
      </c>
      <c r="F2332">
        <v>37400</v>
      </c>
      <c r="G2332">
        <v>50700</v>
      </c>
      <c r="H2332">
        <v>122</v>
      </c>
      <c r="I2332">
        <v>58</v>
      </c>
      <c r="J2332">
        <v>97</v>
      </c>
      <c r="K2332">
        <v>40</v>
      </c>
      <c r="L2332" t="s">
        <v>3331</v>
      </c>
      <c r="M2332" t="s">
        <v>3973</v>
      </c>
      <c r="N2332" t="s">
        <v>1630</v>
      </c>
      <c r="O2332" s="4">
        <v>45683.7967361111</v>
      </c>
      <c r="P2332" t="s">
        <v>1817</v>
      </c>
      <c r="Q2332" t="s">
        <v>1631</v>
      </c>
      <c r="R2332" t="s">
        <v>3310</v>
      </c>
      <c r="T2332" t="s">
        <v>1817</v>
      </c>
    </row>
    <row r="2333" ht="25.5" customHeight="1" spans="1:20">
      <c r="A2333" t="s">
        <v>2417</v>
      </c>
      <c r="B2333" t="s">
        <v>1816</v>
      </c>
      <c r="C2333" t="s">
        <v>4515</v>
      </c>
      <c r="D2333" s="3"/>
      <c r="E2333" s="2">
        <v>45684</v>
      </c>
      <c r="F2333">
        <v>37700</v>
      </c>
      <c r="G2333">
        <v>50700</v>
      </c>
      <c r="H2333">
        <v>121</v>
      </c>
      <c r="I2333">
        <v>58</v>
      </c>
      <c r="J2333">
        <v>97</v>
      </c>
      <c r="K2333">
        <v>40</v>
      </c>
      <c r="L2333" t="s">
        <v>3331</v>
      </c>
      <c r="M2333" t="s">
        <v>3973</v>
      </c>
      <c r="N2333" t="s">
        <v>1630</v>
      </c>
      <c r="O2333" s="4">
        <v>45684.7598263889</v>
      </c>
      <c r="P2333" t="s">
        <v>1817</v>
      </c>
      <c r="Q2333" t="s">
        <v>1631</v>
      </c>
      <c r="R2333" t="s">
        <v>4185</v>
      </c>
      <c r="T2333" t="s">
        <v>1817</v>
      </c>
    </row>
    <row r="2334" ht="25.5" customHeight="1" spans="1:20">
      <c r="A2334" t="s">
        <v>2417</v>
      </c>
      <c r="B2334" t="s">
        <v>1816</v>
      </c>
      <c r="C2334" t="s">
        <v>4515</v>
      </c>
      <c r="D2334" s="3"/>
      <c r="E2334" s="2">
        <v>45693</v>
      </c>
      <c r="F2334">
        <v>38800</v>
      </c>
      <c r="G2334">
        <v>50700</v>
      </c>
      <c r="H2334">
        <v>121</v>
      </c>
      <c r="I2334">
        <v>58</v>
      </c>
      <c r="J2334">
        <v>96</v>
      </c>
      <c r="K2334">
        <v>40</v>
      </c>
      <c r="L2334" t="s">
        <v>3331</v>
      </c>
      <c r="M2334" t="s">
        <v>3973</v>
      </c>
      <c r="N2334" t="s">
        <v>1630</v>
      </c>
      <c r="O2334" s="4">
        <v>45693.8384375</v>
      </c>
      <c r="P2334" t="s">
        <v>1817</v>
      </c>
      <c r="Q2334" t="s">
        <v>1631</v>
      </c>
      <c r="R2334" t="s">
        <v>4478</v>
      </c>
      <c r="T2334" t="s">
        <v>1817</v>
      </c>
    </row>
    <row r="2335" ht="25.5" customHeight="1" spans="1:20">
      <c r="A2335" t="s">
        <v>2417</v>
      </c>
      <c r="B2335" t="s">
        <v>1816</v>
      </c>
      <c r="C2335" t="s">
        <v>4515</v>
      </c>
      <c r="D2335" s="3"/>
      <c r="E2335" s="2">
        <v>45694</v>
      </c>
      <c r="F2335">
        <v>38600</v>
      </c>
      <c r="G2335">
        <v>50700</v>
      </c>
      <c r="H2335">
        <v>121</v>
      </c>
      <c r="I2335">
        <v>58</v>
      </c>
      <c r="J2335">
        <v>96</v>
      </c>
      <c r="K2335">
        <v>40</v>
      </c>
      <c r="L2335" t="s">
        <v>3331</v>
      </c>
      <c r="M2335" t="s">
        <v>3973</v>
      </c>
      <c r="N2335" t="s">
        <v>1630</v>
      </c>
      <c r="O2335" s="4">
        <v>45698.6216782407</v>
      </c>
      <c r="P2335" t="s">
        <v>1817</v>
      </c>
      <c r="Q2335" t="s">
        <v>1631</v>
      </c>
      <c r="R2335" t="s">
        <v>4478</v>
      </c>
      <c r="S2335" t="s">
        <v>3180</v>
      </c>
      <c r="T2335" t="s">
        <v>1817</v>
      </c>
    </row>
    <row r="2336" ht="25.5" customHeight="1" spans="1:20">
      <c r="A2336" t="s">
        <v>3008</v>
      </c>
      <c r="B2336" t="s">
        <v>56</v>
      </c>
      <c r="C2336" t="s">
        <v>4516</v>
      </c>
      <c r="D2336" s="3"/>
      <c r="E2336" s="2"/>
      <c r="M2336" t="s">
        <v>3485</v>
      </c>
      <c r="N2336" t="s">
        <v>1630</v>
      </c>
      <c r="O2336" s="4">
        <v>45670.743587963</v>
      </c>
      <c r="P2336" t="s">
        <v>57</v>
      </c>
      <c r="R2336" t="s">
        <v>3133</v>
      </c>
      <c r="T2336" t="s">
        <v>57</v>
      </c>
    </row>
    <row r="2337" ht="25.5" customHeight="1" spans="1:20">
      <c r="A2337" t="s">
        <v>2261</v>
      </c>
      <c r="B2337" t="s">
        <v>3274</v>
      </c>
      <c r="C2337" t="s">
        <v>4517</v>
      </c>
      <c r="D2337" s="3"/>
      <c r="E2337" s="2"/>
      <c r="M2337" t="s">
        <v>4518</v>
      </c>
      <c r="N2337" t="s">
        <v>3277</v>
      </c>
      <c r="O2337" s="4">
        <v>45670.743587963</v>
      </c>
      <c r="P2337" t="s">
        <v>3278</v>
      </c>
      <c r="Q2337" t="s">
        <v>4346</v>
      </c>
      <c r="R2337" t="s">
        <v>3133</v>
      </c>
      <c r="T2337" t="s">
        <v>3278</v>
      </c>
    </row>
    <row r="2338" ht="25.5" customHeight="1" spans="1:20">
      <c r="A2338" t="s">
        <v>2261</v>
      </c>
      <c r="B2338" t="s">
        <v>3274</v>
      </c>
      <c r="C2338" t="s">
        <v>4517</v>
      </c>
      <c r="D2338" s="3"/>
      <c r="E2338" s="2"/>
      <c r="M2338" t="s">
        <v>4518</v>
      </c>
      <c r="N2338" t="s">
        <v>3277</v>
      </c>
      <c r="O2338" s="4">
        <v>45670.743587963</v>
      </c>
      <c r="P2338" t="s">
        <v>3278</v>
      </c>
      <c r="Q2338" t="s">
        <v>4346</v>
      </c>
      <c r="R2338" t="s">
        <v>3133</v>
      </c>
      <c r="T2338" t="s">
        <v>3278</v>
      </c>
    </row>
    <row r="2339" ht="25.5" customHeight="1" spans="1:18">
      <c r="A2339" t="s">
        <v>4519</v>
      </c>
      <c r="D2339" s="3"/>
      <c r="E2339" s="2"/>
      <c r="O2339" s="4">
        <v>45670.743587963</v>
      </c>
      <c r="R2339" t="s">
        <v>3133</v>
      </c>
    </row>
    <row r="2340" ht="25.5" customHeight="1" spans="1:20">
      <c r="A2340" t="s">
        <v>337</v>
      </c>
      <c r="B2340" t="s">
        <v>56</v>
      </c>
      <c r="C2340" t="s">
        <v>4520</v>
      </c>
      <c r="D2340" s="3"/>
      <c r="E2340" s="2">
        <v>45679</v>
      </c>
      <c r="F2340">
        <v>609300</v>
      </c>
      <c r="G2340">
        <v>491</v>
      </c>
      <c r="H2340">
        <v>32</v>
      </c>
      <c r="I2340">
        <v>1</v>
      </c>
      <c r="J2340">
        <v>7</v>
      </c>
      <c r="K2340">
        <v>0</v>
      </c>
      <c r="L2340" t="s">
        <v>3248</v>
      </c>
      <c r="M2340" t="s">
        <v>3225</v>
      </c>
      <c r="N2340" t="s">
        <v>1630</v>
      </c>
      <c r="O2340" s="4">
        <v>45679.7020023148</v>
      </c>
      <c r="P2340" t="s">
        <v>57</v>
      </c>
      <c r="Q2340" t="s">
        <v>1887</v>
      </c>
      <c r="R2340" t="s">
        <v>4297</v>
      </c>
      <c r="T2340" t="s">
        <v>57</v>
      </c>
    </row>
    <row r="2341" ht="25.5" customHeight="1" spans="1:20">
      <c r="A2341" t="s">
        <v>337</v>
      </c>
      <c r="B2341" t="s">
        <v>56</v>
      </c>
      <c r="C2341" t="s">
        <v>4520</v>
      </c>
      <c r="D2341" s="3"/>
      <c r="E2341" s="2">
        <v>45680</v>
      </c>
      <c r="F2341">
        <v>609200</v>
      </c>
      <c r="G2341">
        <v>1201</v>
      </c>
      <c r="H2341">
        <v>34</v>
      </c>
      <c r="I2341">
        <v>1</v>
      </c>
      <c r="J2341">
        <v>9</v>
      </c>
      <c r="K2341">
        <v>0</v>
      </c>
      <c r="L2341" t="s">
        <v>3284</v>
      </c>
      <c r="M2341" t="s">
        <v>3225</v>
      </c>
      <c r="N2341" t="s">
        <v>1630</v>
      </c>
      <c r="O2341" s="4">
        <v>45680.6633912037</v>
      </c>
      <c r="P2341" t="s">
        <v>57</v>
      </c>
      <c r="Q2341" t="s">
        <v>1887</v>
      </c>
      <c r="R2341" t="s">
        <v>3507</v>
      </c>
      <c r="T2341" t="s">
        <v>57</v>
      </c>
    </row>
    <row r="2342" ht="25.5" customHeight="1" spans="1:20">
      <c r="A2342" t="s">
        <v>337</v>
      </c>
      <c r="B2342" t="s">
        <v>56</v>
      </c>
      <c r="C2342" t="s">
        <v>4520</v>
      </c>
      <c r="D2342" s="3"/>
      <c r="E2342" s="2">
        <v>45681</v>
      </c>
      <c r="F2342">
        <v>609100</v>
      </c>
      <c r="G2342">
        <v>3126</v>
      </c>
      <c r="H2342">
        <v>36</v>
      </c>
      <c r="I2342">
        <v>1</v>
      </c>
      <c r="J2342">
        <v>9</v>
      </c>
      <c r="K2342">
        <v>0</v>
      </c>
      <c r="L2342" t="s">
        <v>3331</v>
      </c>
      <c r="M2342" t="s">
        <v>3225</v>
      </c>
      <c r="N2342" t="s">
        <v>1630</v>
      </c>
      <c r="O2342" s="4">
        <v>45681.6498611111</v>
      </c>
      <c r="P2342" t="s">
        <v>57</v>
      </c>
      <c r="Q2342" t="s">
        <v>1887</v>
      </c>
      <c r="R2342" t="s">
        <v>3175</v>
      </c>
      <c r="T2342" t="s">
        <v>57</v>
      </c>
    </row>
    <row r="2343" ht="25.5" customHeight="1" spans="1:20">
      <c r="A2343" t="s">
        <v>337</v>
      </c>
      <c r="B2343" t="s">
        <v>56</v>
      </c>
      <c r="C2343" t="s">
        <v>4520</v>
      </c>
      <c r="D2343" s="3"/>
      <c r="E2343" s="2">
        <v>45683</v>
      </c>
      <c r="F2343">
        <v>608900</v>
      </c>
      <c r="G2343">
        <v>3479</v>
      </c>
      <c r="H2343">
        <v>41</v>
      </c>
      <c r="I2343">
        <v>1</v>
      </c>
      <c r="J2343">
        <v>10</v>
      </c>
      <c r="K2343">
        <v>0</v>
      </c>
      <c r="L2343" t="s">
        <v>3331</v>
      </c>
      <c r="M2343" t="s">
        <v>3225</v>
      </c>
      <c r="N2343" t="s">
        <v>1630</v>
      </c>
      <c r="O2343" s="4">
        <v>45683.7664467593</v>
      </c>
      <c r="P2343" t="s">
        <v>57</v>
      </c>
      <c r="Q2343" t="s">
        <v>1887</v>
      </c>
      <c r="R2343" t="s">
        <v>3179</v>
      </c>
      <c r="T2343" t="s">
        <v>57</v>
      </c>
    </row>
    <row r="2344" ht="25.5" customHeight="1" spans="1:20">
      <c r="A2344" t="s">
        <v>337</v>
      </c>
      <c r="B2344" t="s">
        <v>56</v>
      </c>
      <c r="C2344" t="s">
        <v>4520</v>
      </c>
      <c r="D2344" s="3"/>
      <c r="E2344" s="2">
        <v>45683</v>
      </c>
      <c r="F2344">
        <v>608900</v>
      </c>
      <c r="G2344">
        <v>3479</v>
      </c>
      <c r="H2344">
        <v>41</v>
      </c>
      <c r="I2344">
        <v>1</v>
      </c>
      <c r="J2344">
        <v>10</v>
      </c>
      <c r="K2344">
        <v>0</v>
      </c>
      <c r="L2344" t="s">
        <v>3331</v>
      </c>
      <c r="M2344" t="s">
        <v>3225</v>
      </c>
      <c r="N2344" t="s">
        <v>1630</v>
      </c>
      <c r="O2344" s="4">
        <v>45683.7901736111</v>
      </c>
      <c r="P2344" t="s">
        <v>57</v>
      </c>
      <c r="Q2344" t="s">
        <v>1887</v>
      </c>
      <c r="R2344" t="s">
        <v>3179</v>
      </c>
      <c r="T2344" t="s">
        <v>57</v>
      </c>
    </row>
    <row r="2345" ht="25.5" customHeight="1" spans="1:20">
      <c r="A2345" t="s">
        <v>337</v>
      </c>
      <c r="B2345" t="s">
        <v>56</v>
      </c>
      <c r="C2345" t="s">
        <v>4520</v>
      </c>
      <c r="D2345" s="3"/>
      <c r="E2345" s="2">
        <v>45684</v>
      </c>
      <c r="F2345">
        <v>608800</v>
      </c>
      <c r="G2345">
        <v>3678</v>
      </c>
      <c r="H2345">
        <v>46</v>
      </c>
      <c r="I2345">
        <v>1</v>
      </c>
      <c r="J2345">
        <v>10</v>
      </c>
      <c r="K2345">
        <v>0</v>
      </c>
      <c r="L2345" t="s">
        <v>3331</v>
      </c>
      <c r="M2345" t="s">
        <v>3225</v>
      </c>
      <c r="N2345" t="s">
        <v>1630</v>
      </c>
      <c r="O2345" s="4">
        <v>45684.8678935185</v>
      </c>
      <c r="P2345" t="s">
        <v>57</v>
      </c>
      <c r="Q2345" t="s">
        <v>1887</v>
      </c>
      <c r="R2345" t="s">
        <v>3395</v>
      </c>
      <c r="T2345" t="s">
        <v>57</v>
      </c>
    </row>
    <row r="2346" ht="25.5" customHeight="1" spans="1:20">
      <c r="A2346" t="s">
        <v>337</v>
      </c>
      <c r="B2346" t="s">
        <v>56</v>
      </c>
      <c r="C2346" t="s">
        <v>4520</v>
      </c>
      <c r="D2346" s="3"/>
      <c r="E2346" s="2">
        <v>45693</v>
      </c>
      <c r="F2346">
        <v>607900</v>
      </c>
      <c r="G2346">
        <v>4487</v>
      </c>
      <c r="H2346">
        <v>61</v>
      </c>
      <c r="I2346">
        <v>1</v>
      </c>
      <c r="J2346">
        <v>16</v>
      </c>
      <c r="K2346">
        <v>2</v>
      </c>
      <c r="L2346" t="s">
        <v>3331</v>
      </c>
      <c r="M2346" t="s">
        <v>3225</v>
      </c>
      <c r="N2346" t="s">
        <v>1630</v>
      </c>
      <c r="O2346" s="4">
        <v>45693.8321412037</v>
      </c>
      <c r="P2346" t="s">
        <v>57</v>
      </c>
      <c r="Q2346" t="s">
        <v>1887</v>
      </c>
      <c r="R2346" t="s">
        <v>4497</v>
      </c>
      <c r="T2346" t="s">
        <v>57</v>
      </c>
    </row>
    <row r="2347" ht="25.5" customHeight="1" spans="1:20">
      <c r="A2347" t="s">
        <v>337</v>
      </c>
      <c r="B2347" t="s">
        <v>56</v>
      </c>
      <c r="C2347" t="s">
        <v>4520</v>
      </c>
      <c r="D2347" s="3"/>
      <c r="E2347" s="2">
        <v>45694</v>
      </c>
      <c r="F2347">
        <v>607800</v>
      </c>
      <c r="G2347">
        <v>4539</v>
      </c>
      <c r="H2347">
        <v>62</v>
      </c>
      <c r="I2347">
        <v>1</v>
      </c>
      <c r="J2347">
        <v>16</v>
      </c>
      <c r="K2347">
        <v>2</v>
      </c>
      <c r="L2347" t="s">
        <v>3331</v>
      </c>
      <c r="M2347" t="s">
        <v>3225</v>
      </c>
      <c r="N2347" t="s">
        <v>1630</v>
      </c>
      <c r="O2347" s="4">
        <v>45698.6216782407</v>
      </c>
      <c r="P2347" t="s">
        <v>57</v>
      </c>
      <c r="Q2347" t="s">
        <v>1887</v>
      </c>
      <c r="R2347" t="s">
        <v>3559</v>
      </c>
      <c r="S2347" t="s">
        <v>3169</v>
      </c>
      <c r="T2347" t="s">
        <v>57</v>
      </c>
    </row>
    <row r="2348" ht="25.5" customHeight="1" spans="1:20">
      <c r="A2348" t="s">
        <v>337</v>
      </c>
      <c r="B2348" t="s">
        <v>56</v>
      </c>
      <c r="C2348" t="s">
        <v>4520</v>
      </c>
      <c r="D2348" s="3"/>
      <c r="E2348" s="2">
        <v>45695</v>
      </c>
      <c r="F2348">
        <v>607600</v>
      </c>
      <c r="G2348">
        <v>4619</v>
      </c>
      <c r="H2348">
        <v>63</v>
      </c>
      <c r="I2348">
        <v>1</v>
      </c>
      <c r="J2348">
        <v>16</v>
      </c>
      <c r="K2348">
        <v>2</v>
      </c>
      <c r="L2348" t="s">
        <v>3331</v>
      </c>
      <c r="M2348" t="s">
        <v>3225</v>
      </c>
      <c r="N2348" t="s">
        <v>1630</v>
      </c>
      <c r="O2348" s="4">
        <v>45695.7251736111</v>
      </c>
      <c r="P2348" t="s">
        <v>57</v>
      </c>
      <c r="Q2348" t="s">
        <v>1887</v>
      </c>
      <c r="R2348" t="s">
        <v>3769</v>
      </c>
      <c r="T2348" t="s">
        <v>57</v>
      </c>
    </row>
    <row r="2349" ht="25.5" customHeight="1" spans="1:20">
      <c r="A2349" t="s">
        <v>337</v>
      </c>
      <c r="B2349" t="s">
        <v>56</v>
      </c>
      <c r="C2349" t="s">
        <v>4520</v>
      </c>
      <c r="D2349" s="3"/>
      <c r="E2349" s="2">
        <v>45696</v>
      </c>
      <c r="F2349">
        <v>607500</v>
      </c>
      <c r="G2349">
        <v>4666</v>
      </c>
      <c r="H2349">
        <v>66</v>
      </c>
      <c r="I2349">
        <v>1</v>
      </c>
      <c r="J2349">
        <v>17</v>
      </c>
      <c r="K2349">
        <v>2</v>
      </c>
      <c r="L2349" t="s">
        <v>3331</v>
      </c>
      <c r="M2349" t="s">
        <v>3225</v>
      </c>
      <c r="N2349" t="s">
        <v>1630</v>
      </c>
      <c r="O2349" s="4">
        <v>45696.442650463</v>
      </c>
      <c r="P2349" t="s">
        <v>57</v>
      </c>
      <c r="Q2349" t="s">
        <v>1887</v>
      </c>
      <c r="R2349" t="s">
        <v>4499</v>
      </c>
      <c r="T2349" t="s">
        <v>57</v>
      </c>
    </row>
    <row r="2350" ht="25.5" customHeight="1" spans="2:20">
      <c r="B2350" t="s">
        <v>4521</v>
      </c>
      <c r="C2350" t="s">
        <v>4522</v>
      </c>
      <c r="D2350" s="3"/>
      <c r="E2350" s="2"/>
      <c r="M2350" t="s">
        <v>4523</v>
      </c>
      <c r="N2350" t="s">
        <v>4524</v>
      </c>
      <c r="O2350" s="4">
        <v>45696.3884606482</v>
      </c>
      <c r="P2350" t="s">
        <v>4525</v>
      </c>
      <c r="Q2350" t="s">
        <v>4526</v>
      </c>
      <c r="R2350" t="s">
        <v>3133</v>
      </c>
      <c r="T2350" t="s">
        <v>4525</v>
      </c>
    </row>
    <row r="2351" ht="25.5" customHeight="1" spans="2:20">
      <c r="B2351" t="s">
        <v>4521</v>
      </c>
      <c r="C2351" t="s">
        <v>4522</v>
      </c>
      <c r="D2351" s="3"/>
      <c r="E2351" s="2"/>
      <c r="M2351" t="s">
        <v>4523</v>
      </c>
      <c r="N2351" t="s">
        <v>4524</v>
      </c>
      <c r="O2351" s="4">
        <v>45696.386099537</v>
      </c>
      <c r="P2351" t="s">
        <v>4525</v>
      </c>
      <c r="Q2351" t="s">
        <v>4526</v>
      </c>
      <c r="R2351" t="s">
        <v>3133</v>
      </c>
      <c r="T2351" t="s">
        <v>4525</v>
      </c>
    </row>
    <row r="2352" ht="25.5" customHeight="1" spans="2:20">
      <c r="B2352" t="s">
        <v>4521</v>
      </c>
      <c r="C2352" t="s">
        <v>4522</v>
      </c>
      <c r="D2352" s="3"/>
      <c r="E2352" s="2"/>
      <c r="M2352" t="s">
        <v>4523</v>
      </c>
      <c r="N2352" t="s">
        <v>4524</v>
      </c>
      <c r="O2352" s="4">
        <v>45696.3880439815</v>
      </c>
      <c r="P2352" t="s">
        <v>4525</v>
      </c>
      <c r="Q2352" t="s">
        <v>4526</v>
      </c>
      <c r="R2352" t="s">
        <v>3133</v>
      </c>
      <c r="T2352" t="s">
        <v>4525</v>
      </c>
    </row>
    <row r="2353" ht="25.5" customHeight="1" spans="2:20">
      <c r="B2353" t="s">
        <v>4521</v>
      </c>
      <c r="C2353" t="s">
        <v>4522</v>
      </c>
      <c r="D2353" s="3"/>
      <c r="E2353" s="2"/>
      <c r="M2353" t="s">
        <v>4523</v>
      </c>
      <c r="N2353" t="s">
        <v>4524</v>
      </c>
      <c r="O2353" s="4">
        <v>45696.3859259259</v>
      </c>
      <c r="P2353" t="s">
        <v>4525</v>
      </c>
      <c r="Q2353" t="s">
        <v>4526</v>
      </c>
      <c r="R2353" t="s">
        <v>3133</v>
      </c>
      <c r="T2353" t="s">
        <v>4525</v>
      </c>
    </row>
    <row r="2354" ht="25.5" customHeight="1" spans="2:20">
      <c r="B2354" t="s">
        <v>4521</v>
      </c>
      <c r="C2354" t="s">
        <v>4522</v>
      </c>
      <c r="D2354" s="3"/>
      <c r="E2354" s="2"/>
      <c r="M2354" t="s">
        <v>4523</v>
      </c>
      <c r="N2354" t="s">
        <v>4524</v>
      </c>
      <c r="O2354" s="4">
        <v>45696.3856481481</v>
      </c>
      <c r="P2354" t="s">
        <v>4525</v>
      </c>
      <c r="Q2354" t="s">
        <v>4526</v>
      </c>
      <c r="R2354" t="s">
        <v>3133</v>
      </c>
      <c r="T2354" t="s">
        <v>4525</v>
      </c>
    </row>
    <row r="2355" ht="25.5" customHeight="1" spans="2:20">
      <c r="B2355" t="s">
        <v>4521</v>
      </c>
      <c r="C2355" t="s">
        <v>4522</v>
      </c>
      <c r="D2355" s="3"/>
      <c r="E2355" s="2"/>
      <c r="M2355" t="s">
        <v>4523</v>
      </c>
      <c r="N2355" t="s">
        <v>4524</v>
      </c>
      <c r="O2355" s="4">
        <v>45696.3859259259</v>
      </c>
      <c r="P2355" t="s">
        <v>4525</v>
      </c>
      <c r="Q2355" t="s">
        <v>4526</v>
      </c>
      <c r="R2355" t="s">
        <v>3133</v>
      </c>
      <c r="T2355" t="s">
        <v>4525</v>
      </c>
    </row>
    <row r="2356" ht="25.5" customHeight="1" spans="2:20">
      <c r="B2356" t="s">
        <v>4521</v>
      </c>
      <c r="C2356" t="s">
        <v>4522</v>
      </c>
      <c r="D2356" s="3"/>
      <c r="E2356" s="2"/>
      <c r="M2356" t="s">
        <v>4523</v>
      </c>
      <c r="N2356" t="s">
        <v>4524</v>
      </c>
      <c r="O2356" s="4">
        <v>45696.3885648148</v>
      </c>
      <c r="P2356" t="s">
        <v>4525</v>
      </c>
      <c r="Q2356" t="s">
        <v>4526</v>
      </c>
      <c r="R2356" t="s">
        <v>3133</v>
      </c>
      <c r="T2356" t="s">
        <v>4525</v>
      </c>
    </row>
    <row r="2357" ht="25.5" customHeight="1" spans="2:20">
      <c r="B2357" t="s">
        <v>4521</v>
      </c>
      <c r="C2357" t="s">
        <v>4522</v>
      </c>
      <c r="D2357" s="3"/>
      <c r="E2357" s="2"/>
      <c r="M2357" t="s">
        <v>4523</v>
      </c>
      <c r="N2357" t="s">
        <v>4524</v>
      </c>
      <c r="O2357" s="4">
        <v>45670.743587963</v>
      </c>
      <c r="P2357" t="s">
        <v>4525</v>
      </c>
      <c r="Q2357" t="s">
        <v>4526</v>
      </c>
      <c r="R2357" t="s">
        <v>3133</v>
      </c>
      <c r="T2357" t="s">
        <v>4525</v>
      </c>
    </row>
    <row r="2358" ht="25.5" customHeight="1" spans="2:20">
      <c r="B2358" t="s">
        <v>4521</v>
      </c>
      <c r="C2358" t="s">
        <v>4522</v>
      </c>
      <c r="D2358" s="3"/>
      <c r="E2358" s="2"/>
      <c r="M2358" t="s">
        <v>4523</v>
      </c>
      <c r="N2358" t="s">
        <v>4524</v>
      </c>
      <c r="O2358" s="4">
        <v>45670.743587963</v>
      </c>
      <c r="P2358" t="s">
        <v>4525</v>
      </c>
      <c r="Q2358" t="s">
        <v>4526</v>
      </c>
      <c r="R2358" t="s">
        <v>3133</v>
      </c>
      <c r="T2358" t="s">
        <v>4525</v>
      </c>
    </row>
    <row r="2359" ht="25.5" customHeight="1" spans="2:20">
      <c r="B2359" t="s">
        <v>4521</v>
      </c>
      <c r="C2359" t="s">
        <v>4522</v>
      </c>
      <c r="D2359" s="3"/>
      <c r="E2359" s="2"/>
      <c r="M2359" t="s">
        <v>4523</v>
      </c>
      <c r="N2359" t="s">
        <v>4524</v>
      </c>
      <c r="O2359" s="4">
        <v>45696.3871990741</v>
      </c>
      <c r="P2359" t="s">
        <v>4525</v>
      </c>
      <c r="Q2359" t="s">
        <v>4526</v>
      </c>
      <c r="R2359" t="s">
        <v>3133</v>
      </c>
      <c r="T2359" t="s">
        <v>4525</v>
      </c>
    </row>
    <row r="2360" ht="25.5" customHeight="1" spans="2:20">
      <c r="B2360" t="s">
        <v>4521</v>
      </c>
      <c r="C2360" t="s">
        <v>4522</v>
      </c>
      <c r="D2360" s="3"/>
      <c r="E2360" s="2"/>
      <c r="M2360" t="s">
        <v>4523</v>
      </c>
      <c r="N2360" t="s">
        <v>4524</v>
      </c>
      <c r="O2360" s="4">
        <v>45670.743587963</v>
      </c>
      <c r="P2360" t="s">
        <v>4525</v>
      </c>
      <c r="Q2360" t="s">
        <v>4526</v>
      </c>
      <c r="R2360" t="s">
        <v>3133</v>
      </c>
      <c r="T2360" t="s">
        <v>4525</v>
      </c>
    </row>
    <row r="2361" ht="25.5" customHeight="1" spans="2:20">
      <c r="B2361" t="s">
        <v>4521</v>
      </c>
      <c r="C2361" t="s">
        <v>4522</v>
      </c>
      <c r="D2361" s="3"/>
      <c r="E2361" s="2"/>
      <c r="M2361" t="s">
        <v>4523</v>
      </c>
      <c r="N2361" t="s">
        <v>4524</v>
      </c>
      <c r="O2361" s="4">
        <v>45696.3866666667</v>
      </c>
      <c r="P2361" t="s">
        <v>4525</v>
      </c>
      <c r="Q2361" t="s">
        <v>4526</v>
      </c>
      <c r="R2361" t="s">
        <v>3133</v>
      </c>
      <c r="T2361" t="s">
        <v>4525</v>
      </c>
    </row>
    <row r="2362" ht="25.5" customHeight="1" spans="2:20">
      <c r="B2362" t="s">
        <v>4521</v>
      </c>
      <c r="C2362" t="s">
        <v>4522</v>
      </c>
      <c r="D2362" s="3"/>
      <c r="E2362" s="2"/>
      <c r="M2362" t="s">
        <v>4523</v>
      </c>
      <c r="N2362" t="s">
        <v>4524</v>
      </c>
      <c r="O2362" s="4">
        <v>45696.3858912037</v>
      </c>
      <c r="P2362" t="s">
        <v>4525</v>
      </c>
      <c r="Q2362" t="s">
        <v>4526</v>
      </c>
      <c r="R2362" t="s">
        <v>3133</v>
      </c>
      <c r="T2362" t="s">
        <v>4525</v>
      </c>
    </row>
    <row r="2363" ht="25.5" customHeight="1" spans="2:20">
      <c r="B2363" t="s">
        <v>4521</v>
      </c>
      <c r="C2363" t="s">
        <v>4522</v>
      </c>
      <c r="D2363" s="3"/>
      <c r="E2363" s="2"/>
      <c r="M2363" t="s">
        <v>4523</v>
      </c>
      <c r="N2363" t="s">
        <v>4524</v>
      </c>
      <c r="O2363" s="4">
        <v>45696.3856134259</v>
      </c>
      <c r="P2363" t="s">
        <v>4525</v>
      </c>
      <c r="Q2363" t="s">
        <v>4526</v>
      </c>
      <c r="R2363" t="s">
        <v>3133</v>
      </c>
      <c r="T2363" t="s">
        <v>4525</v>
      </c>
    </row>
    <row r="2364" ht="25.5" customHeight="1" spans="2:20">
      <c r="B2364" t="s">
        <v>4521</v>
      </c>
      <c r="C2364" t="s">
        <v>4522</v>
      </c>
      <c r="D2364" s="3"/>
      <c r="E2364" s="2"/>
      <c r="M2364" t="s">
        <v>4523</v>
      </c>
      <c r="N2364" t="s">
        <v>4524</v>
      </c>
      <c r="O2364" s="4">
        <v>45696.3878009259</v>
      </c>
      <c r="P2364" t="s">
        <v>4525</v>
      </c>
      <c r="Q2364" t="s">
        <v>4526</v>
      </c>
      <c r="R2364" t="s">
        <v>3133</v>
      </c>
      <c r="T2364" t="s">
        <v>4525</v>
      </c>
    </row>
    <row r="2365" ht="25.5" customHeight="1" spans="2:20">
      <c r="B2365" t="s">
        <v>4521</v>
      </c>
      <c r="C2365" t="s">
        <v>4522</v>
      </c>
      <c r="D2365" s="3"/>
      <c r="E2365" s="2"/>
      <c r="M2365" t="s">
        <v>4523</v>
      </c>
      <c r="N2365" t="s">
        <v>4524</v>
      </c>
      <c r="O2365" s="4">
        <v>45695.6913541667</v>
      </c>
      <c r="P2365" t="s">
        <v>4525</v>
      </c>
      <c r="Q2365" t="s">
        <v>4526</v>
      </c>
      <c r="R2365" t="s">
        <v>3133</v>
      </c>
      <c r="T2365" t="s">
        <v>4525</v>
      </c>
    </row>
    <row r="2366" ht="25.5" customHeight="1" spans="2:20">
      <c r="B2366" t="s">
        <v>4521</v>
      </c>
      <c r="C2366" t="s">
        <v>4522</v>
      </c>
      <c r="D2366" s="3"/>
      <c r="E2366" s="2"/>
      <c r="M2366" t="s">
        <v>4523</v>
      </c>
      <c r="N2366" t="s">
        <v>4524</v>
      </c>
      <c r="O2366" s="4">
        <v>45695.6930092593</v>
      </c>
      <c r="P2366" t="s">
        <v>4525</v>
      </c>
      <c r="Q2366" t="s">
        <v>4526</v>
      </c>
      <c r="R2366" t="s">
        <v>3133</v>
      </c>
      <c r="T2366" t="s">
        <v>4525</v>
      </c>
    </row>
    <row r="2367" ht="25.5" customHeight="1" spans="2:20">
      <c r="B2367" t="s">
        <v>4521</v>
      </c>
      <c r="C2367" t="s">
        <v>4522</v>
      </c>
      <c r="D2367" s="3"/>
      <c r="E2367" s="2"/>
      <c r="M2367" t="s">
        <v>4523</v>
      </c>
      <c r="N2367" t="s">
        <v>4524</v>
      </c>
      <c r="O2367" s="4">
        <v>45695.6931134259</v>
      </c>
      <c r="P2367" t="s">
        <v>4525</v>
      </c>
      <c r="Q2367" t="s">
        <v>4526</v>
      </c>
      <c r="R2367" t="s">
        <v>3133</v>
      </c>
      <c r="T2367" t="s">
        <v>4525</v>
      </c>
    </row>
    <row r="2368" ht="25.5" customHeight="1" spans="2:20">
      <c r="B2368" t="s">
        <v>4521</v>
      </c>
      <c r="C2368" t="s">
        <v>4522</v>
      </c>
      <c r="D2368" s="3"/>
      <c r="E2368" s="2"/>
      <c r="M2368" t="s">
        <v>4523</v>
      </c>
      <c r="N2368" t="s">
        <v>4524</v>
      </c>
      <c r="O2368" s="4">
        <v>45695.6930324074</v>
      </c>
      <c r="P2368" t="s">
        <v>4525</v>
      </c>
      <c r="Q2368" t="s">
        <v>4526</v>
      </c>
      <c r="R2368" t="s">
        <v>3133</v>
      </c>
      <c r="T2368" t="s">
        <v>4525</v>
      </c>
    </row>
    <row r="2369" ht="25.5" customHeight="1" spans="2:20">
      <c r="B2369" t="s">
        <v>4521</v>
      </c>
      <c r="C2369" t="s">
        <v>4522</v>
      </c>
      <c r="D2369" s="3"/>
      <c r="E2369" s="2"/>
      <c r="M2369" t="s">
        <v>4523</v>
      </c>
      <c r="N2369" t="s">
        <v>4524</v>
      </c>
      <c r="O2369" s="4">
        <v>45670.743587963</v>
      </c>
      <c r="P2369" t="s">
        <v>4525</v>
      </c>
      <c r="Q2369" t="s">
        <v>4526</v>
      </c>
      <c r="R2369" t="s">
        <v>3133</v>
      </c>
      <c r="T2369" t="s">
        <v>4525</v>
      </c>
    </row>
    <row r="2370" ht="25.5" customHeight="1" spans="2:20">
      <c r="B2370" t="s">
        <v>4521</v>
      </c>
      <c r="C2370" t="s">
        <v>4522</v>
      </c>
      <c r="D2370" s="3"/>
      <c r="E2370" s="2"/>
      <c r="M2370" t="s">
        <v>4523</v>
      </c>
      <c r="N2370" t="s">
        <v>4524</v>
      </c>
      <c r="O2370" s="4">
        <v>45670.743587963</v>
      </c>
      <c r="P2370" t="s">
        <v>4525</v>
      </c>
      <c r="Q2370" t="s">
        <v>4526</v>
      </c>
      <c r="R2370" t="s">
        <v>3133</v>
      </c>
      <c r="T2370" t="s">
        <v>4525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workbookViewId="0">
      <selection activeCell="A1" sqref="A1"/>
    </sheetView>
  </sheetViews>
  <sheetFormatPr defaultColWidth="9.64285714285714" defaultRowHeight="16.8" outlineLevelCol="2"/>
  <cols>
    <col min="1" max="3" width="19" customWidth="1"/>
  </cols>
  <sheetData>
    <row r="1" ht="13" customHeight="1" spans="1:3">
      <c r="A1" s="1" t="s">
        <v>4527</v>
      </c>
      <c r="B1" s="1" t="s">
        <v>4528</v>
      </c>
      <c r="C1" s="1" t="s">
        <v>4529</v>
      </c>
    </row>
    <row r="2" ht="25.5" customHeight="1" spans="1:2">
      <c r="A2" s="2">
        <v>45666</v>
      </c>
      <c r="B2">
        <v>5194</v>
      </c>
    </row>
    <row r="3" ht="25.5" customHeight="1" spans="1:2">
      <c r="A3" s="2">
        <v>45667</v>
      </c>
      <c r="B3">
        <v>3603</v>
      </c>
    </row>
    <row r="4" ht="25.5" customHeight="1" spans="1:2">
      <c r="A4" s="2">
        <v>45668</v>
      </c>
      <c r="B4">
        <v>3069</v>
      </c>
    </row>
    <row r="5" ht="25.5" customHeight="1" spans="1:2">
      <c r="A5" s="2">
        <v>45669</v>
      </c>
      <c r="B5">
        <v>3593</v>
      </c>
    </row>
    <row r="6" ht="25.5" customHeight="1" spans="1:2">
      <c r="A6" s="2">
        <v>45670</v>
      </c>
      <c r="B6">
        <v>4714</v>
      </c>
    </row>
    <row r="7" ht="25.5" customHeight="1" spans="1:2">
      <c r="A7" s="2">
        <v>45671</v>
      </c>
      <c r="B7">
        <v>3762</v>
      </c>
    </row>
    <row r="8" ht="25.5" customHeight="1" spans="1:2">
      <c r="A8" s="2">
        <v>45672</v>
      </c>
      <c r="B8">
        <v>3658</v>
      </c>
    </row>
    <row r="9" ht="25.5" customHeight="1" spans="1:2">
      <c r="A9" s="2">
        <v>45673</v>
      </c>
      <c r="B9">
        <v>2967</v>
      </c>
    </row>
    <row r="10" ht="25.5" customHeight="1" spans="1:2">
      <c r="A10" s="2">
        <v>45674</v>
      </c>
      <c r="B10">
        <v>4453</v>
      </c>
    </row>
    <row r="11" ht="25.5" customHeight="1" spans="1:2">
      <c r="A11" s="2">
        <v>45675</v>
      </c>
      <c r="B11">
        <v>4901</v>
      </c>
    </row>
    <row r="12" ht="25.5" customHeight="1" spans="1:2">
      <c r="A12" s="2">
        <v>45676</v>
      </c>
      <c r="B12">
        <v>5730</v>
      </c>
    </row>
    <row r="13" ht="25.5" customHeight="1" spans="1:2">
      <c r="A13" s="2">
        <v>45677</v>
      </c>
      <c r="B13">
        <v>4944</v>
      </c>
    </row>
    <row r="14" ht="25.5" customHeight="1" spans="1:2">
      <c r="A14" s="2">
        <v>45678</v>
      </c>
      <c r="B14">
        <v>4039</v>
      </c>
    </row>
    <row r="15" ht="25.5" customHeight="1" spans="1:2">
      <c r="A15" s="2">
        <v>45679</v>
      </c>
      <c r="B15">
        <v>4268</v>
      </c>
    </row>
    <row r="16" ht="25.5" customHeight="1" spans="1:2">
      <c r="A16" s="2">
        <v>45680</v>
      </c>
      <c r="B16">
        <v>3755</v>
      </c>
    </row>
    <row r="17" ht="25.5" customHeight="1" spans="1:2">
      <c r="A17" s="2">
        <v>45681</v>
      </c>
      <c r="B17">
        <v>3918</v>
      </c>
    </row>
    <row r="18" ht="25.5" customHeight="1" spans="1:2">
      <c r="A18" s="2">
        <v>45682</v>
      </c>
      <c r="B18">
        <v>3629</v>
      </c>
    </row>
    <row r="19" ht="25.5" customHeight="1" spans="1:2">
      <c r="A19" s="2">
        <v>45683</v>
      </c>
      <c r="B19">
        <v>3205</v>
      </c>
    </row>
    <row r="20" ht="25.5" customHeight="1" spans="1:2">
      <c r="A20" s="2">
        <v>45684</v>
      </c>
      <c r="B20">
        <v>3834</v>
      </c>
    </row>
    <row r="21" ht="25.5" customHeight="1" spans="1:2">
      <c r="A21" s="2">
        <v>45685</v>
      </c>
      <c r="B21">
        <v>3583</v>
      </c>
    </row>
    <row r="22" ht="25.5" customHeight="1" spans="1:2">
      <c r="A22" s="2">
        <v>45686</v>
      </c>
      <c r="B22">
        <v>3459</v>
      </c>
    </row>
    <row r="23" ht="25.5" customHeight="1" spans="1:2">
      <c r="A23" s="2">
        <v>45687</v>
      </c>
      <c r="B23">
        <v>3107</v>
      </c>
    </row>
    <row r="24" ht="25.5" customHeight="1" spans="1:2">
      <c r="A24" s="2">
        <v>45688</v>
      </c>
      <c r="B24">
        <v>3088</v>
      </c>
    </row>
    <row r="25" ht="25.5" customHeight="1" spans="1:1">
      <c r="A25" s="2"/>
    </row>
    <row r="26" ht="25.5" customHeight="1" spans="1:1">
      <c r="A26" s="2"/>
    </row>
    <row r="27" ht="25.5" customHeight="1" spans="1:1">
      <c r="A27" s="2"/>
    </row>
    <row r="28" ht="25.5" customHeight="1" spans="1:1">
      <c r="A28" s="2"/>
    </row>
    <row r="29" ht="25.5" customHeight="1" spans="1:1">
      <c r="A29" s="2"/>
    </row>
    <row r="30" ht="25.5" customHeight="1" spans="1:1">
      <c r="A30" s="2"/>
    </row>
    <row r="31" ht="25.5" customHeight="1" spans="1:1">
      <c r="A31" s="2"/>
    </row>
    <row r="32" ht="25.5" customHeight="1" spans="1:1">
      <c r="A32" s="2"/>
    </row>
    <row r="33" ht="25.5" customHeight="1" spans="1:1">
      <c r="A33" s="2"/>
    </row>
    <row r="34" ht="25.5" customHeight="1" spans="1:1">
      <c r="A34" s="2"/>
    </row>
    <row r="35" ht="25.5" customHeight="1" spans="1:1">
      <c r="A35" s="2"/>
    </row>
    <row r="36" ht="25.5" customHeight="1" spans="1:1">
      <c r="A36" s="2"/>
    </row>
    <row r="37" ht="25.5" customHeight="1" spans="1:1">
      <c r="A37" s="2"/>
    </row>
    <row r="38" ht="25.5" customHeight="1" spans="1:1">
      <c r="A38" s="2"/>
    </row>
    <row r="39" ht="25.5" customHeight="1" spans="1:1">
      <c r="A39" s="2"/>
    </row>
    <row r="40" ht="25.5" customHeight="1" spans="1:1">
      <c r="A40" s="2"/>
    </row>
    <row r="41" ht="25.5" customHeight="1" spans="1:1">
      <c r="A41" s="2"/>
    </row>
    <row r="42" ht="25.5" customHeight="1" spans="1:1">
      <c r="A42" s="2"/>
    </row>
    <row r="43" ht="25.5" customHeight="1" spans="1:1">
      <c r="A43" s="2"/>
    </row>
    <row r="44" ht="25.5" customHeight="1" spans="1:1">
      <c r="A44" s="2"/>
    </row>
    <row r="45" ht="25.5" customHeight="1" spans="1:1">
      <c r="A45" s="2"/>
    </row>
    <row r="46" ht="25.5" customHeight="1" spans="1:1">
      <c r="A46" s="2"/>
    </row>
    <row r="47" ht="25.5" customHeight="1" spans="1:1">
      <c r="A47" s="2"/>
    </row>
    <row r="48" ht="25.5" customHeight="1" spans="1:1">
      <c r="A48" s="2"/>
    </row>
    <row r="49" ht="25.5" customHeight="1" spans="1:1">
      <c r="A49" s="2"/>
    </row>
    <row r="50" ht="25.5" customHeight="1" spans="1:1">
      <c r="A50" s="2"/>
    </row>
    <row r="51" ht="25.5" customHeight="1" spans="1:1">
      <c r="A51" s="2"/>
    </row>
    <row r="52" ht="25.5" customHeight="1" spans="1:2">
      <c r="A52" s="2">
        <v>45664</v>
      </c>
      <c r="B52">
        <v>2029</v>
      </c>
    </row>
    <row r="53" ht="25.5" customHeight="1" spans="1:2">
      <c r="A53" s="2">
        <v>45665</v>
      </c>
      <c r="B53">
        <v>9045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45"/>
  <sheetViews>
    <sheetView workbookViewId="0">
      <selection activeCell="A1" sqref="A1"/>
    </sheetView>
  </sheetViews>
  <sheetFormatPr defaultColWidth="9.64285714285714" defaultRowHeight="16.8"/>
  <cols>
    <col min="1" max="5" width="19" customWidth="1"/>
    <col min="6" max="6" width="9.64285714285714" hidden="1" customWidth="1"/>
    <col min="7" max="11" width="19" customWidth="1"/>
    <col min="12" max="34" width="9.64285714285714" hidden="1" customWidth="1"/>
    <col min="35" max="37" width="19" customWidth="1"/>
    <col min="38" max="42" width="9.64285714285714" hidden="1" customWidth="1"/>
    <col min="43" max="43" width="19" customWidth="1"/>
  </cols>
  <sheetData>
    <row r="1" ht="13" customHeight="1" spans="1:43">
      <c r="A1" s="1" t="s">
        <v>4530</v>
      </c>
      <c r="B1" s="1" t="s">
        <v>8</v>
      </c>
      <c r="C1" s="1" t="s">
        <v>4531</v>
      </c>
      <c r="D1" s="1" t="s">
        <v>3117</v>
      </c>
      <c r="E1" s="1" t="s">
        <v>4532</v>
      </c>
      <c r="F1" s="1" t="s">
        <v>4533</v>
      </c>
      <c r="G1" s="1" t="s">
        <v>12</v>
      </c>
      <c r="H1" s="1" t="s">
        <v>3121</v>
      </c>
      <c r="I1" s="1" t="s">
        <v>3123</v>
      </c>
      <c r="J1" s="1" t="s">
        <v>3125</v>
      </c>
      <c r="K1" s="1" t="s">
        <v>3122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3124</v>
      </c>
      <c r="AJ1" s="1" t="s">
        <v>3126</v>
      </c>
      <c r="AK1" s="1" t="s">
        <v>3128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1622</v>
      </c>
      <c r="AQ1" s="1" t="s">
        <v>1630</v>
      </c>
    </row>
    <row r="2" ht="25.5" customHeight="1" spans="1:43">
      <c r="A2" t="s">
        <v>1624</v>
      </c>
      <c r="B2" t="s">
        <v>65</v>
      </c>
      <c r="D2" t="s">
        <v>3640</v>
      </c>
      <c r="E2" s="2">
        <v>45665</v>
      </c>
      <c r="F2" s="3" t="str">
        <f>HYPERLINK("https://app.hypeauditor.com/my-network/influencer/17100267/analytics/instagram/evolving.ai","https://app.hypeauditor.com/my-network/influencer/17100267/analytics/instagram/evolving.ai")</f>
        <v>https://app.hypeauditor.com/my-network/influencer/17100267/analytics/instagram/evolving.ai</v>
      </c>
      <c r="G2">
        <v>2100000</v>
      </c>
      <c r="I2">
        <v>5559</v>
      </c>
      <c r="K2">
        <v>22790</v>
      </c>
      <c r="L2" t="s">
        <v>4534</v>
      </c>
      <c r="N2" t="s">
        <v>55</v>
      </c>
      <c r="P2" t="s">
        <v>54</v>
      </c>
      <c r="R2" t="s">
        <v>55</v>
      </c>
      <c r="V2" t="s">
        <v>55</v>
      </c>
      <c r="X2" t="s">
        <v>54</v>
      </c>
      <c r="Z2" t="s">
        <v>55</v>
      </c>
      <c r="AB2" t="s">
        <v>55</v>
      </c>
      <c r="AD2" t="s">
        <v>55</v>
      </c>
      <c r="AF2" t="s">
        <v>55</v>
      </c>
      <c r="AH2" t="s">
        <v>54</v>
      </c>
      <c r="AJ2" t="s">
        <v>3331</v>
      </c>
      <c r="AK2" s="4">
        <v>45665.3837152778</v>
      </c>
      <c r="AQ2" t="s">
        <v>1630</v>
      </c>
    </row>
    <row r="3" ht="25.5" customHeight="1" spans="1:43">
      <c r="A3" t="s">
        <v>2302</v>
      </c>
      <c r="B3" t="s">
        <v>65</v>
      </c>
      <c r="D3" t="s">
        <v>4362</v>
      </c>
      <c r="E3" s="2">
        <v>45664</v>
      </c>
      <c r="F3" s="3" t="str">
        <f>HYPERLINK("https://app.hypeauditor.com/my-network/influencer/7516627/analytics/instagram/codingkite_","https://app.hypeauditor.com/my-network/influencer/7516627/analytics/instagram/codingkite_")</f>
        <v>https://app.hypeauditor.com/my-network/influencer/7516627/analytics/instagram/codingkite_</v>
      </c>
      <c r="G3">
        <v>355000</v>
      </c>
      <c r="L3" t="s">
        <v>4535</v>
      </c>
      <c r="N3" t="s">
        <v>55</v>
      </c>
      <c r="P3" t="s">
        <v>54</v>
      </c>
      <c r="R3" t="s">
        <v>55</v>
      </c>
      <c r="V3" t="s">
        <v>55</v>
      </c>
      <c r="X3" t="s">
        <v>54</v>
      </c>
      <c r="Z3" t="s">
        <v>55</v>
      </c>
      <c r="AB3" t="s">
        <v>55</v>
      </c>
      <c r="AD3" t="s">
        <v>55</v>
      </c>
      <c r="AF3" t="s">
        <v>55</v>
      </c>
      <c r="AH3" t="s">
        <v>54</v>
      </c>
      <c r="AJ3" t="s">
        <v>3138</v>
      </c>
      <c r="AK3" s="4">
        <v>45665.3837962963</v>
      </c>
      <c r="AQ3" t="s">
        <v>1630</v>
      </c>
    </row>
    <row r="4" ht="25.5" customHeight="1" spans="1:43">
      <c r="A4" t="s">
        <v>2047</v>
      </c>
      <c r="B4" t="s">
        <v>65</v>
      </c>
      <c r="D4" t="s">
        <v>3137</v>
      </c>
      <c r="E4" s="2">
        <v>45664</v>
      </c>
      <c r="F4" s="3" t="str">
        <f>HYPERLINK("https://app.hypeauditor.com/my-network/influencer/830110","https://app.hypeauditor.com/my-network/influencer/830110")</f>
        <v>https://app.hypeauditor.com/my-network/influencer/830110</v>
      </c>
      <c r="G4">
        <v>1200000</v>
      </c>
      <c r="H4">
        <v>17200</v>
      </c>
      <c r="I4">
        <v>16</v>
      </c>
      <c r="K4">
        <v>276</v>
      </c>
      <c r="L4" t="s">
        <v>117</v>
      </c>
      <c r="N4" t="s">
        <v>55</v>
      </c>
      <c r="P4" t="s">
        <v>54</v>
      </c>
      <c r="R4" t="s">
        <v>55</v>
      </c>
      <c r="V4" t="s">
        <v>55</v>
      </c>
      <c r="X4" t="s">
        <v>54</v>
      </c>
      <c r="Z4" t="s">
        <v>55</v>
      </c>
      <c r="AB4" t="s">
        <v>55</v>
      </c>
      <c r="AD4" t="s">
        <v>55</v>
      </c>
      <c r="AF4" t="s">
        <v>55</v>
      </c>
      <c r="AH4" t="s">
        <v>54</v>
      </c>
      <c r="AJ4" t="s">
        <v>3138</v>
      </c>
      <c r="AK4" s="4">
        <v>45665.3837962963</v>
      </c>
      <c r="AQ4" t="s">
        <v>1630</v>
      </c>
    </row>
    <row r="5" ht="25.5" customHeight="1" spans="1:43">
      <c r="A5" t="s">
        <v>2609</v>
      </c>
      <c r="B5" t="s">
        <v>65</v>
      </c>
      <c r="D5" t="s">
        <v>4426</v>
      </c>
      <c r="E5" s="2">
        <v>45664</v>
      </c>
      <c r="F5" s="3"/>
      <c r="G5">
        <v>211800</v>
      </c>
      <c r="H5">
        <v>8297</v>
      </c>
      <c r="I5">
        <v>12</v>
      </c>
      <c r="K5">
        <v>179</v>
      </c>
      <c r="L5" t="s">
        <v>4536</v>
      </c>
      <c r="N5" t="s">
        <v>55</v>
      </c>
      <c r="P5" t="s">
        <v>54</v>
      </c>
      <c r="R5" t="s">
        <v>55</v>
      </c>
      <c r="V5" t="s">
        <v>55</v>
      </c>
      <c r="X5" t="s">
        <v>54</v>
      </c>
      <c r="Z5" t="s">
        <v>55</v>
      </c>
      <c r="AB5" t="s">
        <v>55</v>
      </c>
      <c r="AD5" t="s">
        <v>55</v>
      </c>
      <c r="AF5" t="s">
        <v>55</v>
      </c>
      <c r="AH5" t="s">
        <v>54</v>
      </c>
      <c r="AJ5" t="s">
        <v>3138</v>
      </c>
      <c r="AK5" s="4">
        <v>45665.3838773148</v>
      </c>
      <c r="AQ5" t="s">
        <v>1630</v>
      </c>
    </row>
    <row r="6" ht="25.5" customHeight="1" spans="1:43">
      <c r="A6" t="s">
        <v>2636</v>
      </c>
      <c r="B6" t="s">
        <v>56</v>
      </c>
      <c r="D6" t="s">
        <v>3929</v>
      </c>
      <c r="E6" s="2">
        <v>45665</v>
      </c>
      <c r="F6" s="3" t="str">
        <f>HYPERLINK("https://app.hypeauditor.com/my-network/influencer/23128244/analytics/tiktok/dibujosmel_colorp","https://app.hypeauditor.com/my-network/influencer/23128244/analytics/tiktok/dibujosmel_colorp")</f>
        <v>https://app.hypeauditor.com/my-network/influencer/23128244/analytics/tiktok/dibujosmel_colorp</v>
      </c>
      <c r="G6">
        <v>665700</v>
      </c>
      <c r="H6">
        <v>991</v>
      </c>
      <c r="I6">
        <v>2</v>
      </c>
      <c r="J6">
        <v>1</v>
      </c>
      <c r="K6">
        <v>52</v>
      </c>
      <c r="L6" t="s">
        <v>4537</v>
      </c>
      <c r="N6" t="s">
        <v>55</v>
      </c>
      <c r="P6" t="s">
        <v>54</v>
      </c>
      <c r="R6" t="s">
        <v>55</v>
      </c>
      <c r="V6" t="s">
        <v>55</v>
      </c>
      <c r="X6" t="s">
        <v>54</v>
      </c>
      <c r="Z6" t="s">
        <v>55</v>
      </c>
      <c r="AB6" t="s">
        <v>55</v>
      </c>
      <c r="AD6" t="s">
        <v>55</v>
      </c>
      <c r="AF6" t="s">
        <v>55</v>
      </c>
      <c r="AH6" t="s">
        <v>54</v>
      </c>
      <c r="AI6">
        <v>2</v>
      </c>
      <c r="AJ6" t="s">
        <v>3258</v>
      </c>
      <c r="AK6" s="4">
        <v>45665.4091782407</v>
      </c>
      <c r="AQ6" t="s">
        <v>1630</v>
      </c>
    </row>
    <row r="7" ht="25.5" customHeight="1" spans="1:43">
      <c r="A7" t="s">
        <v>2708</v>
      </c>
      <c r="B7" t="s">
        <v>56</v>
      </c>
      <c r="D7" t="s">
        <v>4348</v>
      </c>
      <c r="E7" s="2">
        <v>45664</v>
      </c>
      <c r="F7" s="3" t="str">
        <f>HYPERLINK("https://app.hypeauditor.com/my-network/influencer/33240827/analytics/tiktok/void_tech96","https://app.hypeauditor.com/my-network/influencer/33240827/analytics/tiktok/void_tech96")</f>
        <v>https://app.hypeauditor.com/my-network/influencer/33240827/analytics/tiktok/void_tech96</v>
      </c>
      <c r="G7">
        <v>4459</v>
      </c>
      <c r="H7">
        <v>436</v>
      </c>
      <c r="I7">
        <v>24</v>
      </c>
      <c r="J7">
        <v>31</v>
      </c>
      <c r="K7">
        <v>36</v>
      </c>
      <c r="L7" t="s">
        <v>55</v>
      </c>
      <c r="N7" t="s">
        <v>55</v>
      </c>
      <c r="P7" t="s">
        <v>54</v>
      </c>
      <c r="R7" t="s">
        <v>55</v>
      </c>
      <c r="V7" t="s">
        <v>55</v>
      </c>
      <c r="X7" t="s">
        <v>54</v>
      </c>
      <c r="Z7" t="s">
        <v>55</v>
      </c>
      <c r="AB7" t="s">
        <v>55</v>
      </c>
      <c r="AD7" t="s">
        <v>55</v>
      </c>
      <c r="AF7" t="s">
        <v>55</v>
      </c>
      <c r="AH7" t="s">
        <v>54</v>
      </c>
      <c r="AI7">
        <v>14</v>
      </c>
      <c r="AJ7" t="s">
        <v>3510</v>
      </c>
      <c r="AK7" s="4">
        <v>45665.4093402778</v>
      </c>
      <c r="AQ7" t="s">
        <v>1630</v>
      </c>
    </row>
    <row r="8" ht="25.5" customHeight="1" spans="1:43">
      <c r="A8" t="s">
        <v>3040</v>
      </c>
      <c r="B8" t="s">
        <v>56</v>
      </c>
      <c r="D8" t="s">
        <v>4433</v>
      </c>
      <c r="E8" s="2">
        <v>45664</v>
      </c>
      <c r="F8" s="3"/>
      <c r="G8">
        <v>12700</v>
      </c>
      <c r="H8">
        <v>3639</v>
      </c>
      <c r="I8">
        <v>8</v>
      </c>
      <c r="J8">
        <v>16</v>
      </c>
      <c r="K8">
        <v>14</v>
      </c>
      <c r="L8" t="s">
        <v>55</v>
      </c>
      <c r="N8" t="s">
        <v>55</v>
      </c>
      <c r="P8" t="s">
        <v>54</v>
      </c>
      <c r="R8" t="s">
        <v>55</v>
      </c>
      <c r="V8" t="s">
        <v>55</v>
      </c>
      <c r="X8" t="s">
        <v>54</v>
      </c>
      <c r="Z8" t="s">
        <v>55</v>
      </c>
      <c r="AB8" t="s">
        <v>55</v>
      </c>
      <c r="AD8" t="s">
        <v>55</v>
      </c>
      <c r="AF8" t="s">
        <v>55</v>
      </c>
      <c r="AH8" t="s">
        <v>54</v>
      </c>
      <c r="AI8">
        <v>8</v>
      </c>
      <c r="AJ8" t="s">
        <v>3331</v>
      </c>
      <c r="AK8" s="4">
        <v>45665.4093518518</v>
      </c>
      <c r="AQ8" t="s">
        <v>1630</v>
      </c>
    </row>
    <row r="9" ht="25.5" customHeight="1" spans="1:43">
      <c r="A9" t="s">
        <v>2653</v>
      </c>
      <c r="B9" t="s">
        <v>56</v>
      </c>
      <c r="D9" t="s">
        <v>3259</v>
      </c>
      <c r="E9" s="2">
        <v>45665</v>
      </c>
      <c r="F9" s="3"/>
      <c r="G9">
        <v>95200</v>
      </c>
      <c r="H9">
        <v>5015</v>
      </c>
      <c r="I9">
        <v>3</v>
      </c>
      <c r="J9">
        <v>17</v>
      </c>
      <c r="K9">
        <v>642</v>
      </c>
      <c r="L9" t="s">
        <v>55</v>
      </c>
      <c r="N9" t="s">
        <v>55</v>
      </c>
      <c r="P9" t="s">
        <v>54</v>
      </c>
      <c r="R9" t="s">
        <v>55</v>
      </c>
      <c r="V9" t="s">
        <v>55</v>
      </c>
      <c r="X9" t="s">
        <v>54</v>
      </c>
      <c r="Z9" t="s">
        <v>55</v>
      </c>
      <c r="AB9" t="s">
        <v>55</v>
      </c>
      <c r="AD9" t="s">
        <v>55</v>
      </c>
      <c r="AF9" t="s">
        <v>55</v>
      </c>
      <c r="AH9" t="s">
        <v>54</v>
      </c>
      <c r="AI9">
        <v>49</v>
      </c>
      <c r="AJ9" t="s">
        <v>3227</v>
      </c>
      <c r="AK9" s="4">
        <v>45665.4094560185</v>
      </c>
      <c r="AQ9" t="s">
        <v>1630</v>
      </c>
    </row>
    <row r="10" ht="25.5" customHeight="1" spans="1:43">
      <c r="A10" t="s">
        <v>2949</v>
      </c>
      <c r="B10" t="s">
        <v>56</v>
      </c>
      <c r="D10" t="s">
        <v>3875</v>
      </c>
      <c r="E10" s="2">
        <v>45670</v>
      </c>
      <c r="F10" s="3"/>
      <c r="G10">
        <v>244200</v>
      </c>
      <c r="L10" t="s">
        <v>2950</v>
      </c>
      <c r="N10" t="s">
        <v>55</v>
      </c>
      <c r="P10" t="s">
        <v>54</v>
      </c>
      <c r="R10" t="s">
        <v>55</v>
      </c>
      <c r="V10" t="s">
        <v>55</v>
      </c>
      <c r="X10" t="s">
        <v>54</v>
      </c>
      <c r="Z10" t="s">
        <v>55</v>
      </c>
      <c r="AB10" t="s">
        <v>55</v>
      </c>
      <c r="AD10" t="s">
        <v>55</v>
      </c>
      <c r="AF10" t="s">
        <v>55</v>
      </c>
      <c r="AH10" t="s">
        <v>54</v>
      </c>
      <c r="AK10" s="4">
        <v>45665.4094907407</v>
      </c>
      <c r="AQ10" t="s">
        <v>1630</v>
      </c>
    </row>
    <row r="11" ht="25.5" customHeight="1" spans="1:43">
      <c r="A11" t="s">
        <v>3047</v>
      </c>
      <c r="B11" t="s">
        <v>65</v>
      </c>
      <c r="D11" t="s">
        <v>4431</v>
      </c>
      <c r="E11" s="2">
        <v>45664</v>
      </c>
      <c r="F11" s="3" t="str">
        <f>HYPERLINK("https://app.hypeauditor.com/my-network/influencer/32696192/analytics/instagram/cozywith_m","https://app.hypeauditor.com/my-network/influencer/32696192/analytics/instagram/cozywith_m")</f>
        <v>https://app.hypeauditor.com/my-network/influencer/32696192/analytics/instagram/cozywith_m</v>
      </c>
      <c r="G11">
        <v>1946</v>
      </c>
      <c r="H11">
        <v>944</v>
      </c>
      <c r="L11" t="s">
        <v>55</v>
      </c>
      <c r="N11" t="s">
        <v>55</v>
      </c>
      <c r="P11" t="s">
        <v>54</v>
      </c>
      <c r="R11" t="s">
        <v>55</v>
      </c>
      <c r="V11" t="s">
        <v>55</v>
      </c>
      <c r="X11" t="s">
        <v>54</v>
      </c>
      <c r="Z11" t="s">
        <v>55</v>
      </c>
      <c r="AB11" t="s">
        <v>55</v>
      </c>
      <c r="AD11" t="s">
        <v>55</v>
      </c>
      <c r="AF11" t="s">
        <v>55</v>
      </c>
      <c r="AH11" t="s">
        <v>54</v>
      </c>
      <c r="AJ11" t="s">
        <v>3138</v>
      </c>
      <c r="AK11" s="4">
        <v>45665.4145023148</v>
      </c>
      <c r="AQ11" t="s">
        <v>1630</v>
      </c>
    </row>
    <row r="12" ht="25.5" customHeight="1" spans="1:43">
      <c r="A12" t="s">
        <v>2267</v>
      </c>
      <c r="B12" t="s">
        <v>1816</v>
      </c>
      <c r="C12" t="s">
        <v>54</v>
      </c>
      <c r="D12" t="s">
        <v>3943</v>
      </c>
      <c r="E12" s="2">
        <v>45664</v>
      </c>
      <c r="F12" s="3"/>
      <c r="G12">
        <v>137400</v>
      </c>
      <c r="H12">
        <v>110500</v>
      </c>
      <c r="I12">
        <v>29</v>
      </c>
      <c r="J12">
        <v>64</v>
      </c>
      <c r="K12">
        <v>285</v>
      </c>
      <c r="L12" t="s">
        <v>4538</v>
      </c>
      <c r="N12" t="s">
        <v>55</v>
      </c>
      <c r="P12" t="s">
        <v>54</v>
      </c>
      <c r="R12" t="s">
        <v>55</v>
      </c>
      <c r="V12" t="s">
        <v>55</v>
      </c>
      <c r="X12" t="s">
        <v>54</v>
      </c>
      <c r="Z12" t="s">
        <v>55</v>
      </c>
      <c r="AB12" t="s">
        <v>55</v>
      </c>
      <c r="AD12" t="s">
        <v>55</v>
      </c>
      <c r="AF12" t="s">
        <v>55</v>
      </c>
      <c r="AH12" t="s">
        <v>54</v>
      </c>
      <c r="AI12">
        <v>396</v>
      </c>
      <c r="AJ12" t="s">
        <v>3138</v>
      </c>
      <c r="AK12" s="4">
        <v>45665.4286921296</v>
      </c>
      <c r="AQ12" t="s">
        <v>1630</v>
      </c>
    </row>
    <row r="13" ht="25.5" customHeight="1" spans="1:43">
      <c r="A13" t="s">
        <v>2466</v>
      </c>
      <c r="B13" t="s">
        <v>1816</v>
      </c>
      <c r="D13" t="s">
        <v>3760</v>
      </c>
      <c r="E13" s="2">
        <v>45664</v>
      </c>
      <c r="F13" s="3"/>
      <c r="G13">
        <v>154800</v>
      </c>
      <c r="H13">
        <v>16900</v>
      </c>
      <c r="I13">
        <v>23</v>
      </c>
      <c r="J13">
        <v>14</v>
      </c>
      <c r="K13">
        <v>63</v>
      </c>
      <c r="L13" t="s">
        <v>4539</v>
      </c>
      <c r="N13" t="s">
        <v>55</v>
      </c>
      <c r="P13" t="s">
        <v>54</v>
      </c>
      <c r="R13" t="s">
        <v>55</v>
      </c>
      <c r="V13" t="s">
        <v>55</v>
      </c>
      <c r="X13" t="s">
        <v>54</v>
      </c>
      <c r="Z13" t="s">
        <v>55</v>
      </c>
      <c r="AB13" t="s">
        <v>55</v>
      </c>
      <c r="AD13" t="s">
        <v>55</v>
      </c>
      <c r="AF13" t="s">
        <v>55</v>
      </c>
      <c r="AH13" t="s">
        <v>54</v>
      </c>
      <c r="AI13">
        <v>84</v>
      </c>
      <c r="AJ13" t="s">
        <v>3138</v>
      </c>
      <c r="AK13" s="4">
        <v>45665.4287268519</v>
      </c>
      <c r="AQ13" t="s">
        <v>1630</v>
      </c>
    </row>
    <row r="14" ht="25.5" customHeight="1" spans="1:43">
      <c r="A14" t="s">
        <v>2152</v>
      </c>
      <c r="B14" t="s">
        <v>1816</v>
      </c>
      <c r="D14" t="s">
        <v>3718</v>
      </c>
      <c r="E14" s="2">
        <v>45664</v>
      </c>
      <c r="F14" s="3"/>
      <c r="G14">
        <v>378500</v>
      </c>
      <c r="H14">
        <v>54100</v>
      </c>
      <c r="I14">
        <v>33</v>
      </c>
      <c r="J14">
        <v>38</v>
      </c>
      <c r="K14">
        <v>165</v>
      </c>
      <c r="L14" t="s">
        <v>4540</v>
      </c>
      <c r="N14" t="s">
        <v>55</v>
      </c>
      <c r="P14" t="s">
        <v>54</v>
      </c>
      <c r="R14" t="s">
        <v>55</v>
      </c>
      <c r="V14" t="s">
        <v>55</v>
      </c>
      <c r="X14" t="s">
        <v>54</v>
      </c>
      <c r="Z14" t="s">
        <v>55</v>
      </c>
      <c r="AB14" t="s">
        <v>55</v>
      </c>
      <c r="AD14" t="s">
        <v>55</v>
      </c>
      <c r="AF14" t="s">
        <v>55</v>
      </c>
      <c r="AH14" t="s">
        <v>54</v>
      </c>
      <c r="AI14">
        <v>293</v>
      </c>
      <c r="AJ14" t="s">
        <v>3138</v>
      </c>
      <c r="AK14" s="4">
        <v>45665.4287268519</v>
      </c>
      <c r="AQ14" t="s">
        <v>1630</v>
      </c>
    </row>
    <row r="15" ht="25.5" customHeight="1" spans="1:43">
      <c r="A15" t="s">
        <v>2470</v>
      </c>
      <c r="B15" t="s">
        <v>1816</v>
      </c>
      <c r="D15" t="s">
        <v>3983</v>
      </c>
      <c r="E15" s="2">
        <v>45664</v>
      </c>
      <c r="F15" s="3"/>
      <c r="G15">
        <v>31600</v>
      </c>
      <c r="H15">
        <v>21400</v>
      </c>
      <c r="I15">
        <v>39</v>
      </c>
      <c r="J15">
        <v>20</v>
      </c>
      <c r="K15">
        <v>62</v>
      </c>
      <c r="L15" t="s">
        <v>55</v>
      </c>
      <c r="N15" t="s">
        <v>55</v>
      </c>
      <c r="P15" t="s">
        <v>54</v>
      </c>
      <c r="R15" t="s">
        <v>55</v>
      </c>
      <c r="V15" t="s">
        <v>55</v>
      </c>
      <c r="X15" t="s">
        <v>54</v>
      </c>
      <c r="Z15" t="s">
        <v>55</v>
      </c>
      <c r="AB15" t="s">
        <v>55</v>
      </c>
      <c r="AD15" t="s">
        <v>55</v>
      </c>
      <c r="AF15" t="s">
        <v>55</v>
      </c>
      <c r="AH15" t="s">
        <v>54</v>
      </c>
      <c r="AI15">
        <v>70</v>
      </c>
      <c r="AJ15" t="s">
        <v>3138</v>
      </c>
      <c r="AK15" s="4">
        <v>45665.4287268519</v>
      </c>
      <c r="AQ15" t="s">
        <v>1630</v>
      </c>
    </row>
    <row r="16" ht="25.5" customHeight="1" spans="1:43">
      <c r="A16" t="s">
        <v>2107</v>
      </c>
      <c r="B16" t="s">
        <v>1816</v>
      </c>
      <c r="D16" t="s">
        <v>3351</v>
      </c>
      <c r="E16" s="2">
        <v>45664</v>
      </c>
      <c r="F16" s="3"/>
      <c r="G16">
        <v>125800</v>
      </c>
      <c r="H16">
        <v>96000</v>
      </c>
      <c r="I16">
        <v>20</v>
      </c>
      <c r="J16">
        <v>56</v>
      </c>
      <c r="K16">
        <v>371</v>
      </c>
      <c r="L16" t="s">
        <v>4541</v>
      </c>
      <c r="N16" t="s">
        <v>55</v>
      </c>
      <c r="P16" t="s">
        <v>54</v>
      </c>
      <c r="R16" t="s">
        <v>55</v>
      </c>
      <c r="V16" t="s">
        <v>55</v>
      </c>
      <c r="X16" t="s">
        <v>54</v>
      </c>
      <c r="Z16" t="s">
        <v>55</v>
      </c>
      <c r="AB16" t="s">
        <v>55</v>
      </c>
      <c r="AD16" t="s">
        <v>55</v>
      </c>
      <c r="AF16" t="s">
        <v>55</v>
      </c>
      <c r="AH16" t="s">
        <v>54</v>
      </c>
      <c r="AI16">
        <v>1000</v>
      </c>
      <c r="AJ16" t="s">
        <v>3138</v>
      </c>
      <c r="AK16" s="4">
        <v>45665.4287268519</v>
      </c>
      <c r="AQ16" t="s">
        <v>1630</v>
      </c>
    </row>
    <row r="17" ht="25.5" customHeight="1" spans="1:43">
      <c r="A17" t="s">
        <v>2234</v>
      </c>
      <c r="B17" t="s">
        <v>1816</v>
      </c>
      <c r="D17" t="s">
        <v>3399</v>
      </c>
      <c r="E17" s="2">
        <v>45664</v>
      </c>
      <c r="F17" s="3"/>
      <c r="G17">
        <v>108700</v>
      </c>
      <c r="H17">
        <v>40400</v>
      </c>
      <c r="I17">
        <v>33</v>
      </c>
      <c r="J17">
        <v>22</v>
      </c>
      <c r="K17">
        <v>81</v>
      </c>
      <c r="L17" t="s">
        <v>2235</v>
      </c>
      <c r="N17" t="s">
        <v>55</v>
      </c>
      <c r="P17" t="s">
        <v>54</v>
      </c>
      <c r="R17" t="s">
        <v>55</v>
      </c>
      <c r="V17" t="s">
        <v>55</v>
      </c>
      <c r="X17" t="s">
        <v>54</v>
      </c>
      <c r="Z17" t="s">
        <v>55</v>
      </c>
      <c r="AB17" t="s">
        <v>55</v>
      </c>
      <c r="AD17" t="s">
        <v>55</v>
      </c>
      <c r="AF17" t="s">
        <v>55</v>
      </c>
      <c r="AH17" t="s">
        <v>54</v>
      </c>
      <c r="AI17">
        <v>69</v>
      </c>
      <c r="AJ17" t="s">
        <v>3138</v>
      </c>
      <c r="AK17" s="4">
        <v>45665.4287268519</v>
      </c>
      <c r="AQ17" t="s">
        <v>1630</v>
      </c>
    </row>
    <row r="18" ht="25.5" customHeight="1" spans="1:43">
      <c r="A18" t="s">
        <v>2307</v>
      </c>
      <c r="B18" t="s">
        <v>1816</v>
      </c>
      <c r="D18" t="s">
        <v>4157</v>
      </c>
      <c r="E18" s="2">
        <v>45664</v>
      </c>
      <c r="F18" s="3"/>
      <c r="G18">
        <v>67800</v>
      </c>
      <c r="H18">
        <v>83100</v>
      </c>
      <c r="I18">
        <v>36</v>
      </c>
      <c r="J18">
        <v>57</v>
      </c>
      <c r="K18">
        <v>251</v>
      </c>
      <c r="L18" t="s">
        <v>55</v>
      </c>
      <c r="N18" t="s">
        <v>55</v>
      </c>
      <c r="P18" t="s">
        <v>54</v>
      </c>
      <c r="R18" t="s">
        <v>55</v>
      </c>
      <c r="V18" t="s">
        <v>55</v>
      </c>
      <c r="X18" t="s">
        <v>54</v>
      </c>
      <c r="Z18" t="s">
        <v>55</v>
      </c>
      <c r="AB18" t="s">
        <v>55</v>
      </c>
      <c r="AD18" t="s">
        <v>55</v>
      </c>
      <c r="AF18" t="s">
        <v>55</v>
      </c>
      <c r="AH18" t="s">
        <v>54</v>
      </c>
      <c r="AI18">
        <v>486</v>
      </c>
      <c r="AJ18" t="s">
        <v>3331</v>
      </c>
      <c r="AK18" s="4">
        <v>45665.4287268519</v>
      </c>
      <c r="AQ18" t="s">
        <v>1630</v>
      </c>
    </row>
    <row r="19" ht="25.5" customHeight="1" spans="1:43">
      <c r="A19" t="s">
        <v>2475</v>
      </c>
      <c r="B19" t="s">
        <v>1816</v>
      </c>
      <c r="D19" t="s">
        <v>3377</v>
      </c>
      <c r="E19" s="2">
        <v>45664</v>
      </c>
      <c r="F19" s="3"/>
      <c r="G19">
        <v>109400</v>
      </c>
      <c r="H19">
        <v>36500</v>
      </c>
      <c r="I19">
        <v>20</v>
      </c>
      <c r="J19">
        <v>50</v>
      </c>
      <c r="K19">
        <v>148</v>
      </c>
      <c r="L19" t="s">
        <v>2477</v>
      </c>
      <c r="N19" t="s">
        <v>55</v>
      </c>
      <c r="P19" t="s">
        <v>54</v>
      </c>
      <c r="R19" t="s">
        <v>55</v>
      </c>
      <c r="V19" t="s">
        <v>55</v>
      </c>
      <c r="X19" t="s">
        <v>54</v>
      </c>
      <c r="Z19" t="s">
        <v>55</v>
      </c>
      <c r="AB19" t="s">
        <v>55</v>
      </c>
      <c r="AD19" t="s">
        <v>55</v>
      </c>
      <c r="AF19" t="s">
        <v>55</v>
      </c>
      <c r="AH19" t="s">
        <v>54</v>
      </c>
      <c r="AI19">
        <v>192</v>
      </c>
      <c r="AJ19" t="s">
        <v>3138</v>
      </c>
      <c r="AK19" s="4">
        <v>45665.4296296296</v>
      </c>
      <c r="AQ19" t="s">
        <v>1630</v>
      </c>
    </row>
    <row r="20" ht="25.5" customHeight="1" spans="1:37">
      <c r="A20" t="s">
        <v>4542</v>
      </c>
      <c r="B20" t="s">
        <v>1816</v>
      </c>
      <c r="E20" s="2">
        <v>45664</v>
      </c>
      <c r="F20" s="3"/>
      <c r="G20">
        <v>2598</v>
      </c>
      <c r="H20">
        <v>46400</v>
      </c>
      <c r="I20">
        <v>8</v>
      </c>
      <c r="J20">
        <v>22</v>
      </c>
      <c r="K20">
        <v>123</v>
      </c>
      <c r="L20" t="s">
        <v>55</v>
      </c>
      <c r="N20" t="s">
        <v>55</v>
      </c>
      <c r="P20" t="s">
        <v>54</v>
      </c>
      <c r="R20" t="s">
        <v>55</v>
      </c>
      <c r="V20" t="s">
        <v>55</v>
      </c>
      <c r="X20" t="s">
        <v>54</v>
      </c>
      <c r="Z20" t="s">
        <v>55</v>
      </c>
      <c r="AB20" t="s">
        <v>55</v>
      </c>
      <c r="AD20" t="s">
        <v>55</v>
      </c>
      <c r="AF20" t="s">
        <v>55</v>
      </c>
      <c r="AH20" t="s">
        <v>54</v>
      </c>
      <c r="AI20">
        <v>81</v>
      </c>
      <c r="AJ20" t="s">
        <v>3258</v>
      </c>
      <c r="AK20" s="4">
        <v>45665.4296527778</v>
      </c>
    </row>
    <row r="21" ht="25.5" customHeight="1" spans="1:43">
      <c r="A21" t="s">
        <v>2803</v>
      </c>
      <c r="B21" t="s">
        <v>1816</v>
      </c>
      <c r="D21" t="s">
        <v>4086</v>
      </c>
      <c r="E21" s="2">
        <v>45664</v>
      </c>
      <c r="F21" s="3"/>
      <c r="G21">
        <v>65300</v>
      </c>
      <c r="H21">
        <v>35100</v>
      </c>
      <c r="I21">
        <v>62</v>
      </c>
      <c r="J21">
        <v>27</v>
      </c>
      <c r="K21">
        <v>113</v>
      </c>
      <c r="L21" t="s">
        <v>55</v>
      </c>
      <c r="N21" t="s">
        <v>55</v>
      </c>
      <c r="P21" t="s">
        <v>54</v>
      </c>
      <c r="R21" t="s">
        <v>55</v>
      </c>
      <c r="V21" t="s">
        <v>55</v>
      </c>
      <c r="X21" t="s">
        <v>54</v>
      </c>
      <c r="Z21" t="s">
        <v>55</v>
      </c>
      <c r="AB21" t="s">
        <v>55</v>
      </c>
      <c r="AD21" t="s">
        <v>55</v>
      </c>
      <c r="AF21" t="s">
        <v>55</v>
      </c>
      <c r="AH21" t="s">
        <v>54</v>
      </c>
      <c r="AI21">
        <v>98</v>
      </c>
      <c r="AJ21" t="s">
        <v>3138</v>
      </c>
      <c r="AK21" s="4">
        <v>45665.4296527778</v>
      </c>
      <c r="AQ21" t="s">
        <v>1630</v>
      </c>
    </row>
    <row r="22" ht="25.5" customHeight="1" spans="1:43">
      <c r="A22" t="s">
        <v>2553</v>
      </c>
      <c r="B22" t="s">
        <v>1816</v>
      </c>
      <c r="D22" t="s">
        <v>4277</v>
      </c>
      <c r="E22" s="2">
        <v>45664</v>
      </c>
      <c r="F22" s="3"/>
      <c r="G22">
        <v>294600</v>
      </c>
      <c r="H22">
        <v>59600</v>
      </c>
      <c r="I22">
        <v>15</v>
      </c>
      <c r="J22">
        <v>44</v>
      </c>
      <c r="K22">
        <v>150</v>
      </c>
      <c r="L22" t="s">
        <v>2268</v>
      </c>
      <c r="N22" t="s">
        <v>55</v>
      </c>
      <c r="P22" t="s">
        <v>54</v>
      </c>
      <c r="R22" t="s">
        <v>55</v>
      </c>
      <c r="V22" t="s">
        <v>55</v>
      </c>
      <c r="X22" t="s">
        <v>54</v>
      </c>
      <c r="Z22" t="s">
        <v>55</v>
      </c>
      <c r="AB22" t="s">
        <v>55</v>
      </c>
      <c r="AD22" t="s">
        <v>55</v>
      </c>
      <c r="AF22" t="s">
        <v>55</v>
      </c>
      <c r="AH22" t="s">
        <v>54</v>
      </c>
      <c r="AI22">
        <v>181</v>
      </c>
      <c r="AJ22" t="s">
        <v>3138</v>
      </c>
      <c r="AK22" s="4">
        <v>45665.4296527778</v>
      </c>
      <c r="AQ22" t="s">
        <v>1630</v>
      </c>
    </row>
    <row r="23" ht="25.5" customHeight="1" spans="1:43">
      <c r="A23" t="s">
        <v>2378</v>
      </c>
      <c r="B23" t="s">
        <v>1816</v>
      </c>
      <c r="D23" t="s">
        <v>3477</v>
      </c>
      <c r="E23" s="2">
        <v>45664</v>
      </c>
      <c r="F23" s="3"/>
      <c r="G23">
        <v>211200</v>
      </c>
      <c r="H23">
        <v>44600</v>
      </c>
      <c r="I23">
        <v>21</v>
      </c>
      <c r="J23">
        <v>17</v>
      </c>
      <c r="K23">
        <v>121</v>
      </c>
      <c r="L23" t="s">
        <v>4543</v>
      </c>
      <c r="N23" t="s">
        <v>55</v>
      </c>
      <c r="P23" t="s">
        <v>54</v>
      </c>
      <c r="R23" t="s">
        <v>55</v>
      </c>
      <c r="V23" t="s">
        <v>55</v>
      </c>
      <c r="X23" t="s">
        <v>54</v>
      </c>
      <c r="Z23" t="s">
        <v>55</v>
      </c>
      <c r="AB23" t="s">
        <v>55</v>
      </c>
      <c r="AD23" t="s">
        <v>55</v>
      </c>
      <c r="AF23" t="s">
        <v>55</v>
      </c>
      <c r="AH23" t="s">
        <v>54</v>
      </c>
      <c r="AI23">
        <v>187</v>
      </c>
      <c r="AJ23" t="s">
        <v>3138</v>
      </c>
      <c r="AK23" s="4">
        <v>45665.4296527778</v>
      </c>
      <c r="AQ23" t="s">
        <v>1630</v>
      </c>
    </row>
    <row r="24" ht="25.5" customHeight="1" spans="1:43">
      <c r="A24" t="s">
        <v>2517</v>
      </c>
      <c r="B24" t="s">
        <v>1816</v>
      </c>
      <c r="D24" t="s">
        <v>3946</v>
      </c>
      <c r="E24" s="2">
        <v>45664</v>
      </c>
      <c r="F24" s="3"/>
      <c r="G24">
        <v>364700</v>
      </c>
      <c r="H24">
        <v>21800</v>
      </c>
      <c r="I24">
        <v>46</v>
      </c>
      <c r="J24">
        <v>9</v>
      </c>
      <c r="K24">
        <v>85</v>
      </c>
      <c r="L24" t="s">
        <v>2518</v>
      </c>
      <c r="N24" t="s">
        <v>55</v>
      </c>
      <c r="P24" t="s">
        <v>54</v>
      </c>
      <c r="R24" t="s">
        <v>55</v>
      </c>
      <c r="V24" t="s">
        <v>55</v>
      </c>
      <c r="X24" t="s">
        <v>54</v>
      </c>
      <c r="Z24" t="s">
        <v>55</v>
      </c>
      <c r="AB24" t="s">
        <v>55</v>
      </c>
      <c r="AD24" t="s">
        <v>55</v>
      </c>
      <c r="AF24" t="s">
        <v>55</v>
      </c>
      <c r="AH24" t="s">
        <v>54</v>
      </c>
      <c r="AI24">
        <v>43</v>
      </c>
      <c r="AJ24" t="s">
        <v>3138</v>
      </c>
      <c r="AK24" s="4">
        <v>45665.4296527778</v>
      </c>
      <c r="AQ24" t="s">
        <v>1630</v>
      </c>
    </row>
    <row r="25" ht="25.5" customHeight="1" spans="1:43">
      <c r="A25" t="s">
        <v>2237</v>
      </c>
      <c r="B25" t="s">
        <v>1816</v>
      </c>
      <c r="D25" t="s">
        <v>3922</v>
      </c>
      <c r="E25" s="2">
        <v>45664</v>
      </c>
      <c r="F25" s="3"/>
      <c r="G25">
        <v>107100</v>
      </c>
      <c r="H25">
        <v>33300</v>
      </c>
      <c r="I25">
        <v>10</v>
      </c>
      <c r="J25">
        <v>12</v>
      </c>
      <c r="K25">
        <v>56</v>
      </c>
      <c r="L25" t="s">
        <v>4544</v>
      </c>
      <c r="N25" t="s">
        <v>55</v>
      </c>
      <c r="P25" t="s">
        <v>54</v>
      </c>
      <c r="R25" t="s">
        <v>55</v>
      </c>
      <c r="V25" t="s">
        <v>55</v>
      </c>
      <c r="X25" t="s">
        <v>54</v>
      </c>
      <c r="Z25" t="s">
        <v>55</v>
      </c>
      <c r="AB25" t="s">
        <v>55</v>
      </c>
      <c r="AD25" t="s">
        <v>55</v>
      </c>
      <c r="AF25" t="s">
        <v>55</v>
      </c>
      <c r="AH25" t="s">
        <v>54</v>
      </c>
      <c r="AI25">
        <v>67</v>
      </c>
      <c r="AJ25" t="s">
        <v>3138</v>
      </c>
      <c r="AK25" s="4">
        <v>45665.4296527778</v>
      </c>
      <c r="AQ25" t="s">
        <v>1630</v>
      </c>
    </row>
    <row r="26" ht="25.5" customHeight="1" spans="1:43">
      <c r="A26" t="s">
        <v>2523</v>
      </c>
      <c r="B26" t="s">
        <v>1816</v>
      </c>
      <c r="D26" t="s">
        <v>3515</v>
      </c>
      <c r="E26" s="2">
        <v>45664</v>
      </c>
      <c r="F26" s="3"/>
      <c r="G26">
        <v>21900</v>
      </c>
      <c r="H26">
        <v>3613</v>
      </c>
      <c r="I26">
        <v>3</v>
      </c>
      <c r="J26">
        <v>7</v>
      </c>
      <c r="K26">
        <v>13</v>
      </c>
      <c r="L26" t="s">
        <v>55</v>
      </c>
      <c r="N26" t="s">
        <v>55</v>
      </c>
      <c r="P26" t="s">
        <v>54</v>
      </c>
      <c r="R26" t="s">
        <v>55</v>
      </c>
      <c r="V26" t="s">
        <v>55</v>
      </c>
      <c r="X26" t="s">
        <v>54</v>
      </c>
      <c r="Z26" t="s">
        <v>55</v>
      </c>
      <c r="AB26" t="s">
        <v>55</v>
      </c>
      <c r="AD26" t="s">
        <v>55</v>
      </c>
      <c r="AF26" t="s">
        <v>55</v>
      </c>
      <c r="AH26" t="s">
        <v>54</v>
      </c>
      <c r="AI26">
        <v>13</v>
      </c>
      <c r="AJ26" t="s">
        <v>3138</v>
      </c>
      <c r="AK26" s="4">
        <v>45665.4296527778</v>
      </c>
      <c r="AQ26" t="s">
        <v>1630</v>
      </c>
    </row>
    <row r="27" ht="25.5" customHeight="1" spans="1:43">
      <c r="A27" t="s">
        <v>1814</v>
      </c>
      <c r="B27" t="s">
        <v>1816</v>
      </c>
      <c r="D27" t="s">
        <v>3727</v>
      </c>
      <c r="E27" s="2">
        <v>45664</v>
      </c>
      <c r="F27" s="3"/>
      <c r="G27">
        <v>164900</v>
      </c>
      <c r="H27">
        <v>118700</v>
      </c>
      <c r="I27">
        <v>8</v>
      </c>
      <c r="J27">
        <v>73</v>
      </c>
      <c r="K27">
        <v>686</v>
      </c>
      <c r="L27" t="s">
        <v>4545</v>
      </c>
      <c r="N27" t="s">
        <v>55</v>
      </c>
      <c r="P27" t="s">
        <v>54</v>
      </c>
      <c r="R27" t="s">
        <v>55</v>
      </c>
      <c r="V27" t="s">
        <v>55</v>
      </c>
      <c r="X27" t="s">
        <v>54</v>
      </c>
      <c r="Z27" t="s">
        <v>55</v>
      </c>
      <c r="AB27" t="s">
        <v>55</v>
      </c>
      <c r="AD27" t="s">
        <v>55</v>
      </c>
      <c r="AF27" t="s">
        <v>55</v>
      </c>
      <c r="AH27" t="s">
        <v>54</v>
      </c>
      <c r="AI27">
        <v>1300</v>
      </c>
      <c r="AJ27" t="s">
        <v>3138</v>
      </c>
      <c r="AK27" s="4">
        <v>45665.4296527778</v>
      </c>
      <c r="AQ27" t="s">
        <v>1630</v>
      </c>
    </row>
    <row r="28" ht="25.5" customHeight="1" spans="1:43">
      <c r="A28" t="s">
        <v>2417</v>
      </c>
      <c r="B28" t="s">
        <v>1816</v>
      </c>
      <c r="D28" t="s">
        <v>4515</v>
      </c>
      <c r="E28" s="2">
        <v>45664</v>
      </c>
      <c r="F28" s="3"/>
      <c r="G28">
        <v>36000</v>
      </c>
      <c r="H28">
        <v>46200</v>
      </c>
      <c r="I28">
        <v>54</v>
      </c>
      <c r="J28">
        <v>50</v>
      </c>
      <c r="K28">
        <v>107</v>
      </c>
      <c r="L28" t="s">
        <v>55</v>
      </c>
      <c r="N28" t="s">
        <v>55</v>
      </c>
      <c r="P28" t="s">
        <v>54</v>
      </c>
      <c r="R28" t="s">
        <v>55</v>
      </c>
      <c r="V28" t="s">
        <v>55</v>
      </c>
      <c r="X28" t="s">
        <v>54</v>
      </c>
      <c r="Z28" t="s">
        <v>55</v>
      </c>
      <c r="AB28" t="s">
        <v>55</v>
      </c>
      <c r="AD28" t="s">
        <v>55</v>
      </c>
      <c r="AF28" t="s">
        <v>55</v>
      </c>
      <c r="AH28" t="s">
        <v>54</v>
      </c>
      <c r="AI28">
        <v>71</v>
      </c>
      <c r="AJ28" t="s">
        <v>3331</v>
      </c>
      <c r="AK28" s="4">
        <v>45665.4296527778</v>
      </c>
      <c r="AQ28" t="s">
        <v>1630</v>
      </c>
    </row>
    <row r="29" ht="25.5" customHeight="1" spans="1:43">
      <c r="A29" t="s">
        <v>2198</v>
      </c>
      <c r="B29" t="s">
        <v>56</v>
      </c>
      <c r="D29" t="s">
        <v>4168</v>
      </c>
      <c r="E29" s="2">
        <v>45665</v>
      </c>
      <c r="F29" s="3"/>
      <c r="G29">
        <v>390900</v>
      </c>
      <c r="H29">
        <v>593</v>
      </c>
      <c r="I29">
        <v>3</v>
      </c>
      <c r="K29">
        <v>25</v>
      </c>
      <c r="L29" t="s">
        <v>1262</v>
      </c>
      <c r="N29" t="s">
        <v>55</v>
      </c>
      <c r="P29" t="s">
        <v>54</v>
      </c>
      <c r="R29" t="s">
        <v>55</v>
      </c>
      <c r="V29" t="s">
        <v>55</v>
      </c>
      <c r="X29" t="s">
        <v>54</v>
      </c>
      <c r="Z29" t="s">
        <v>55</v>
      </c>
      <c r="AB29" t="s">
        <v>55</v>
      </c>
      <c r="AD29" t="s">
        <v>55</v>
      </c>
      <c r="AF29" t="s">
        <v>55</v>
      </c>
      <c r="AH29" t="s">
        <v>54</v>
      </c>
      <c r="AI29">
        <v>3</v>
      </c>
      <c r="AJ29" t="s">
        <v>3195</v>
      </c>
      <c r="AK29" s="4">
        <v>45665.4656134259</v>
      </c>
      <c r="AQ29" t="s">
        <v>1630</v>
      </c>
    </row>
    <row r="30" ht="25.5" customHeight="1" spans="1:43">
      <c r="A30" t="s">
        <v>2694</v>
      </c>
      <c r="B30" t="s">
        <v>65</v>
      </c>
      <c r="D30" t="s">
        <v>3570</v>
      </c>
      <c r="E30" s="2">
        <v>45664</v>
      </c>
      <c r="F30" s="3"/>
      <c r="G30">
        <v>27800</v>
      </c>
      <c r="H30">
        <v>14300</v>
      </c>
      <c r="I30">
        <v>24</v>
      </c>
      <c r="K30">
        <v>515</v>
      </c>
      <c r="L30" t="s">
        <v>55</v>
      </c>
      <c r="N30" t="s">
        <v>55</v>
      </c>
      <c r="P30" t="s">
        <v>54</v>
      </c>
      <c r="R30" t="s">
        <v>55</v>
      </c>
      <c r="V30" t="s">
        <v>55</v>
      </c>
      <c r="X30" t="s">
        <v>54</v>
      </c>
      <c r="Z30" t="s">
        <v>55</v>
      </c>
      <c r="AB30" t="s">
        <v>55</v>
      </c>
      <c r="AD30" t="s">
        <v>55</v>
      </c>
      <c r="AF30" t="s">
        <v>55</v>
      </c>
      <c r="AH30" t="s">
        <v>54</v>
      </c>
      <c r="AJ30" t="s">
        <v>3281</v>
      </c>
      <c r="AK30" s="4">
        <v>45665.7068634259</v>
      </c>
      <c r="AQ30" t="s">
        <v>1630</v>
      </c>
    </row>
    <row r="31" ht="25.5" customHeight="1" spans="1:43">
      <c r="A31" t="s">
        <v>2831</v>
      </c>
      <c r="B31" t="s">
        <v>56</v>
      </c>
      <c r="D31" t="s">
        <v>3705</v>
      </c>
      <c r="E31" s="2">
        <v>45665</v>
      </c>
      <c r="F31" s="3"/>
      <c r="G31">
        <v>265900</v>
      </c>
      <c r="H31">
        <v>13900</v>
      </c>
      <c r="I31">
        <v>10</v>
      </c>
      <c r="J31">
        <v>68</v>
      </c>
      <c r="K31">
        <v>1345</v>
      </c>
      <c r="L31" t="s">
        <v>4546</v>
      </c>
      <c r="N31" t="s">
        <v>55</v>
      </c>
      <c r="P31" t="s">
        <v>54</v>
      </c>
      <c r="R31" t="s">
        <v>55</v>
      </c>
      <c r="V31" t="s">
        <v>55</v>
      </c>
      <c r="X31" t="s">
        <v>54</v>
      </c>
      <c r="Z31" t="s">
        <v>55</v>
      </c>
      <c r="AB31" t="s">
        <v>55</v>
      </c>
      <c r="AD31" t="s">
        <v>55</v>
      </c>
      <c r="AF31" t="s">
        <v>55</v>
      </c>
      <c r="AH31" t="s">
        <v>54</v>
      </c>
      <c r="AI31">
        <v>268</v>
      </c>
      <c r="AJ31" t="s">
        <v>3260</v>
      </c>
      <c r="AK31" s="4">
        <v>45665.7083796296</v>
      </c>
      <c r="AQ31" t="s">
        <v>1630</v>
      </c>
    </row>
    <row r="32" ht="25.5" customHeight="1" spans="1:43">
      <c r="A32" t="s">
        <v>1937</v>
      </c>
      <c r="B32" t="s">
        <v>56</v>
      </c>
      <c r="D32" t="s">
        <v>3593</v>
      </c>
      <c r="E32" s="2">
        <v>45664</v>
      </c>
      <c r="F32" s="3"/>
      <c r="G32">
        <v>219700</v>
      </c>
      <c r="H32">
        <v>144800</v>
      </c>
      <c r="I32">
        <v>84</v>
      </c>
      <c r="J32">
        <v>1130</v>
      </c>
      <c r="K32">
        <v>5228</v>
      </c>
      <c r="L32" t="s">
        <v>4547</v>
      </c>
      <c r="N32" t="s">
        <v>55</v>
      </c>
      <c r="P32" t="s">
        <v>54</v>
      </c>
      <c r="R32" t="s">
        <v>55</v>
      </c>
      <c r="V32" t="s">
        <v>55</v>
      </c>
      <c r="X32" t="s">
        <v>54</v>
      </c>
      <c r="Z32" t="s">
        <v>55</v>
      </c>
      <c r="AB32" t="s">
        <v>55</v>
      </c>
      <c r="AD32" t="s">
        <v>55</v>
      </c>
      <c r="AF32" t="s">
        <v>55</v>
      </c>
      <c r="AH32" t="s">
        <v>54</v>
      </c>
      <c r="AI32">
        <v>5873</v>
      </c>
      <c r="AJ32" t="s">
        <v>3208</v>
      </c>
      <c r="AK32" s="4">
        <v>45665.7085416667</v>
      </c>
      <c r="AQ32" t="s">
        <v>1630</v>
      </c>
    </row>
    <row r="33" ht="25.5" customHeight="1" spans="1:43">
      <c r="A33" t="s">
        <v>3062</v>
      </c>
      <c r="B33" t="s">
        <v>56</v>
      </c>
      <c r="D33" t="s">
        <v>3843</v>
      </c>
      <c r="E33" s="2">
        <v>45665</v>
      </c>
      <c r="F33" s="3"/>
      <c r="G33">
        <v>8872</v>
      </c>
      <c r="H33">
        <v>310</v>
      </c>
      <c r="I33">
        <v>1</v>
      </c>
      <c r="J33">
        <v>3</v>
      </c>
      <c r="K33">
        <v>23</v>
      </c>
      <c r="L33" t="s">
        <v>55</v>
      </c>
      <c r="N33" t="s">
        <v>55</v>
      </c>
      <c r="P33" t="s">
        <v>54</v>
      </c>
      <c r="R33" t="s">
        <v>55</v>
      </c>
      <c r="V33" t="s">
        <v>55</v>
      </c>
      <c r="X33" t="s">
        <v>54</v>
      </c>
      <c r="Z33" t="s">
        <v>55</v>
      </c>
      <c r="AB33" t="s">
        <v>55</v>
      </c>
      <c r="AD33" t="s">
        <v>55</v>
      </c>
      <c r="AF33" t="s">
        <v>55</v>
      </c>
      <c r="AH33" t="s">
        <v>54</v>
      </c>
      <c r="AI33">
        <v>5</v>
      </c>
      <c r="AJ33" t="s">
        <v>3230</v>
      </c>
      <c r="AK33" s="4">
        <v>45665.708900463</v>
      </c>
      <c r="AQ33" t="s">
        <v>1630</v>
      </c>
    </row>
    <row r="34" ht="25.5" customHeight="1" spans="1:43">
      <c r="A34" t="s">
        <v>2047</v>
      </c>
      <c r="B34" t="s">
        <v>65</v>
      </c>
      <c r="D34" t="s">
        <v>3137</v>
      </c>
      <c r="E34" s="2">
        <v>45665</v>
      </c>
      <c r="F34" s="3"/>
      <c r="G34">
        <v>1200000</v>
      </c>
      <c r="H34">
        <v>21400</v>
      </c>
      <c r="I34">
        <v>18</v>
      </c>
      <c r="K34">
        <v>321</v>
      </c>
      <c r="L34" t="s">
        <v>117</v>
      </c>
      <c r="N34" t="s">
        <v>55</v>
      </c>
      <c r="P34" t="s">
        <v>54</v>
      </c>
      <c r="R34" t="s">
        <v>55</v>
      </c>
      <c r="V34" t="s">
        <v>55</v>
      </c>
      <c r="X34" t="s">
        <v>54</v>
      </c>
      <c r="Z34" t="s">
        <v>55</v>
      </c>
      <c r="AB34" t="s">
        <v>55</v>
      </c>
      <c r="AD34" t="s">
        <v>55</v>
      </c>
      <c r="AF34" t="s">
        <v>55</v>
      </c>
      <c r="AH34" t="s">
        <v>54</v>
      </c>
      <c r="AJ34" t="s">
        <v>3138</v>
      </c>
      <c r="AK34" s="4">
        <v>45665.7220138889</v>
      </c>
      <c r="AQ34" t="s">
        <v>1630</v>
      </c>
    </row>
    <row r="35" ht="25.5" customHeight="1" spans="1:43">
      <c r="A35" t="s">
        <v>2095</v>
      </c>
      <c r="B35" t="s">
        <v>1816</v>
      </c>
      <c r="C35" t="s">
        <v>54</v>
      </c>
      <c r="D35" t="s">
        <v>4327</v>
      </c>
      <c r="E35" s="2">
        <v>45665</v>
      </c>
      <c r="F35" s="3"/>
      <c r="G35">
        <v>136800</v>
      </c>
      <c r="H35">
        <v>565</v>
      </c>
      <c r="I35">
        <v>0</v>
      </c>
      <c r="J35">
        <v>2</v>
      </c>
      <c r="K35">
        <v>7</v>
      </c>
      <c r="L35" t="s">
        <v>4548</v>
      </c>
      <c r="N35" t="s">
        <v>55</v>
      </c>
      <c r="P35" t="s">
        <v>54</v>
      </c>
      <c r="R35" t="s">
        <v>55</v>
      </c>
      <c r="V35" t="s">
        <v>55</v>
      </c>
      <c r="X35" t="s">
        <v>54</v>
      </c>
      <c r="Z35" t="s">
        <v>55</v>
      </c>
      <c r="AB35" t="s">
        <v>55</v>
      </c>
      <c r="AD35" t="s">
        <v>55</v>
      </c>
      <c r="AF35" t="s">
        <v>55</v>
      </c>
      <c r="AH35" t="s">
        <v>54</v>
      </c>
      <c r="AI35">
        <v>1</v>
      </c>
      <c r="AJ35" t="s">
        <v>3138</v>
      </c>
      <c r="AK35" s="4"/>
      <c r="AQ35" t="s">
        <v>1630</v>
      </c>
    </row>
    <row r="36" ht="25.5" customHeight="1" spans="1:43">
      <c r="A36" t="s">
        <v>2609</v>
      </c>
      <c r="B36" t="s">
        <v>65</v>
      </c>
      <c r="D36" t="s">
        <v>4426</v>
      </c>
      <c r="E36" s="2">
        <v>45665</v>
      </c>
      <c r="F36" s="3"/>
      <c r="G36">
        <v>212000</v>
      </c>
      <c r="H36">
        <v>10100</v>
      </c>
      <c r="I36">
        <v>18</v>
      </c>
      <c r="K36">
        <v>213</v>
      </c>
      <c r="L36" t="s">
        <v>4549</v>
      </c>
      <c r="N36" t="s">
        <v>55</v>
      </c>
      <c r="P36" t="s">
        <v>54</v>
      </c>
      <c r="R36" t="s">
        <v>55</v>
      </c>
      <c r="V36" t="s">
        <v>55</v>
      </c>
      <c r="X36" t="s">
        <v>54</v>
      </c>
      <c r="Z36" t="s">
        <v>55</v>
      </c>
      <c r="AB36" t="s">
        <v>55</v>
      </c>
      <c r="AD36" t="s">
        <v>55</v>
      </c>
      <c r="AF36" t="s">
        <v>55</v>
      </c>
      <c r="AH36" t="s">
        <v>54</v>
      </c>
      <c r="AJ36" t="s">
        <v>3138</v>
      </c>
      <c r="AK36" s="4">
        <v>45665.7261226852</v>
      </c>
      <c r="AQ36" t="s">
        <v>1630</v>
      </c>
    </row>
    <row r="37" ht="25.5" customHeight="1" spans="1:43">
      <c r="A37" t="s">
        <v>3047</v>
      </c>
      <c r="B37" t="s">
        <v>65</v>
      </c>
      <c r="D37" t="s">
        <v>4431</v>
      </c>
      <c r="E37" s="2">
        <v>45665</v>
      </c>
      <c r="F37" s="3"/>
      <c r="G37">
        <v>1949</v>
      </c>
      <c r="H37">
        <v>1048</v>
      </c>
      <c r="L37" t="s">
        <v>55</v>
      </c>
      <c r="N37" t="s">
        <v>55</v>
      </c>
      <c r="P37" t="s">
        <v>54</v>
      </c>
      <c r="R37" t="s">
        <v>55</v>
      </c>
      <c r="V37" t="s">
        <v>55</v>
      </c>
      <c r="X37" t="s">
        <v>54</v>
      </c>
      <c r="Z37" t="s">
        <v>55</v>
      </c>
      <c r="AB37" t="s">
        <v>55</v>
      </c>
      <c r="AD37" t="s">
        <v>55</v>
      </c>
      <c r="AF37" t="s">
        <v>55</v>
      </c>
      <c r="AH37" t="s">
        <v>54</v>
      </c>
      <c r="AJ37" t="s">
        <v>3138</v>
      </c>
      <c r="AK37" s="4">
        <v>45665.7282175926</v>
      </c>
      <c r="AQ37" t="s">
        <v>1630</v>
      </c>
    </row>
    <row r="38" ht="25.5" customHeight="1" spans="1:43">
      <c r="A38" t="s">
        <v>1937</v>
      </c>
      <c r="B38" t="s">
        <v>56</v>
      </c>
      <c r="D38" t="s">
        <v>3593</v>
      </c>
      <c r="E38" s="2">
        <v>45665</v>
      </c>
      <c r="F38" s="3"/>
      <c r="G38">
        <v>219700</v>
      </c>
      <c r="H38">
        <v>146400</v>
      </c>
      <c r="I38">
        <v>84</v>
      </c>
      <c r="J38">
        <v>1151</v>
      </c>
      <c r="K38">
        <v>5290</v>
      </c>
      <c r="L38" t="s">
        <v>4547</v>
      </c>
      <c r="N38" t="s">
        <v>55</v>
      </c>
      <c r="P38" t="s">
        <v>54</v>
      </c>
      <c r="R38" t="s">
        <v>55</v>
      </c>
      <c r="V38" t="s">
        <v>55</v>
      </c>
      <c r="X38" t="s">
        <v>54</v>
      </c>
      <c r="Z38" t="s">
        <v>55</v>
      </c>
      <c r="AB38" t="s">
        <v>55</v>
      </c>
      <c r="AD38" t="s">
        <v>55</v>
      </c>
      <c r="AF38" t="s">
        <v>55</v>
      </c>
      <c r="AH38" t="s">
        <v>54</v>
      </c>
      <c r="AI38">
        <v>5944</v>
      </c>
      <c r="AJ38" t="s">
        <v>3208</v>
      </c>
      <c r="AK38" s="4">
        <v>45665.7301157407</v>
      </c>
      <c r="AQ38" t="s">
        <v>1630</v>
      </c>
    </row>
    <row r="39" ht="25.5" customHeight="1" spans="1:43">
      <c r="A39" t="s">
        <v>2708</v>
      </c>
      <c r="B39" t="s">
        <v>56</v>
      </c>
      <c r="D39" t="s">
        <v>4348</v>
      </c>
      <c r="E39" s="2">
        <v>45665</v>
      </c>
      <c r="F39" s="3"/>
      <c r="G39">
        <v>4481</v>
      </c>
      <c r="H39">
        <v>525</v>
      </c>
      <c r="I39">
        <v>25</v>
      </c>
      <c r="J39">
        <v>31</v>
      </c>
      <c r="K39">
        <v>47</v>
      </c>
      <c r="L39" t="s">
        <v>55</v>
      </c>
      <c r="N39" t="s">
        <v>55</v>
      </c>
      <c r="P39" t="s">
        <v>54</v>
      </c>
      <c r="R39" t="s">
        <v>55</v>
      </c>
      <c r="V39" t="s">
        <v>55</v>
      </c>
      <c r="X39" t="s">
        <v>54</v>
      </c>
      <c r="Z39" t="s">
        <v>55</v>
      </c>
      <c r="AB39" t="s">
        <v>55</v>
      </c>
      <c r="AD39" t="s">
        <v>55</v>
      </c>
      <c r="AF39" t="s">
        <v>55</v>
      </c>
      <c r="AH39" t="s">
        <v>54</v>
      </c>
      <c r="AI39">
        <v>17</v>
      </c>
      <c r="AJ39" t="s">
        <v>3862</v>
      </c>
      <c r="AK39" s="4">
        <v>45665.731099537</v>
      </c>
      <c r="AQ39" t="s">
        <v>1630</v>
      </c>
    </row>
    <row r="40" ht="25.5" customHeight="1" spans="1:43">
      <c r="A40" t="s">
        <v>3040</v>
      </c>
      <c r="B40" t="s">
        <v>56</v>
      </c>
      <c r="D40" t="s">
        <v>4433</v>
      </c>
      <c r="E40" s="2">
        <v>45665</v>
      </c>
      <c r="F40" s="3"/>
      <c r="G40">
        <v>12700</v>
      </c>
      <c r="H40">
        <v>5114</v>
      </c>
      <c r="I40">
        <v>10</v>
      </c>
      <c r="J40">
        <v>16</v>
      </c>
      <c r="K40">
        <v>14</v>
      </c>
      <c r="L40" t="s">
        <v>55</v>
      </c>
      <c r="N40" t="s">
        <v>55</v>
      </c>
      <c r="P40" t="s">
        <v>54</v>
      </c>
      <c r="R40" t="s">
        <v>55</v>
      </c>
      <c r="V40" t="s">
        <v>55</v>
      </c>
      <c r="X40" t="s">
        <v>54</v>
      </c>
      <c r="Z40" t="s">
        <v>55</v>
      </c>
      <c r="AB40" t="s">
        <v>55</v>
      </c>
      <c r="AD40" t="s">
        <v>55</v>
      </c>
      <c r="AF40" t="s">
        <v>55</v>
      </c>
      <c r="AH40" t="s">
        <v>54</v>
      </c>
      <c r="AI40">
        <v>8</v>
      </c>
      <c r="AJ40" t="s">
        <v>3331</v>
      </c>
      <c r="AK40" s="4">
        <v>45665.7311111111</v>
      </c>
      <c r="AQ40" t="s">
        <v>1630</v>
      </c>
    </row>
    <row r="41" ht="25.5" customHeight="1" spans="1:43">
      <c r="A41" t="s">
        <v>2107</v>
      </c>
      <c r="B41" t="s">
        <v>1816</v>
      </c>
      <c r="C41" t="s">
        <v>4550</v>
      </c>
      <c r="D41" t="s">
        <v>3351</v>
      </c>
      <c r="E41" s="2">
        <v>45665</v>
      </c>
      <c r="F41" s="3"/>
      <c r="G41">
        <v>125900</v>
      </c>
      <c r="H41">
        <v>106900</v>
      </c>
      <c r="I41">
        <v>21</v>
      </c>
      <c r="J41">
        <v>68</v>
      </c>
      <c r="K41">
        <v>432</v>
      </c>
      <c r="L41" t="s">
        <v>4551</v>
      </c>
      <c r="N41" t="s">
        <v>55</v>
      </c>
      <c r="P41" t="s">
        <v>54</v>
      </c>
      <c r="R41" t="s">
        <v>55</v>
      </c>
      <c r="V41" t="s">
        <v>55</v>
      </c>
      <c r="X41" t="s">
        <v>54</v>
      </c>
      <c r="Z41" t="s">
        <v>55</v>
      </c>
      <c r="AB41" t="s">
        <v>55</v>
      </c>
      <c r="AD41" t="s">
        <v>55</v>
      </c>
      <c r="AF41" t="s">
        <v>55</v>
      </c>
      <c r="AH41" t="s">
        <v>54</v>
      </c>
      <c r="AI41">
        <v>1200</v>
      </c>
      <c r="AJ41" t="s">
        <v>3138</v>
      </c>
      <c r="AK41" s="4">
        <v>45665.7311574074</v>
      </c>
      <c r="AQ41" t="s">
        <v>1630</v>
      </c>
    </row>
    <row r="42" ht="25.5" customHeight="1" spans="1:43">
      <c r="A42" t="s">
        <v>2475</v>
      </c>
      <c r="B42" t="s">
        <v>1816</v>
      </c>
      <c r="C42" t="s">
        <v>4550</v>
      </c>
      <c r="D42" t="s">
        <v>3377</v>
      </c>
      <c r="E42" s="2">
        <v>45665</v>
      </c>
      <c r="F42" s="3"/>
      <c r="G42">
        <v>109400</v>
      </c>
      <c r="H42">
        <v>45700</v>
      </c>
      <c r="I42">
        <v>22</v>
      </c>
      <c r="J42">
        <v>63</v>
      </c>
      <c r="K42">
        <v>201</v>
      </c>
      <c r="L42" t="s">
        <v>2477</v>
      </c>
      <c r="N42" t="s">
        <v>55</v>
      </c>
      <c r="P42" t="s">
        <v>54</v>
      </c>
      <c r="R42" t="s">
        <v>55</v>
      </c>
      <c r="V42" t="s">
        <v>55</v>
      </c>
      <c r="X42" t="s">
        <v>54</v>
      </c>
      <c r="Z42" t="s">
        <v>55</v>
      </c>
      <c r="AB42" t="s">
        <v>55</v>
      </c>
      <c r="AD42" t="s">
        <v>55</v>
      </c>
      <c r="AF42" t="s">
        <v>55</v>
      </c>
      <c r="AH42" t="s">
        <v>54</v>
      </c>
      <c r="AI42">
        <v>283</v>
      </c>
      <c r="AJ42" t="s">
        <v>3138</v>
      </c>
      <c r="AK42" s="4">
        <v>45665.7311921296</v>
      </c>
      <c r="AQ42" t="s">
        <v>1630</v>
      </c>
    </row>
    <row r="43" ht="25.5" customHeight="1" spans="1:43">
      <c r="A43" t="s">
        <v>2234</v>
      </c>
      <c r="B43" t="s">
        <v>1816</v>
      </c>
      <c r="C43" t="s">
        <v>4550</v>
      </c>
      <c r="D43" t="s">
        <v>3399</v>
      </c>
      <c r="E43" s="2">
        <v>45665</v>
      </c>
      <c r="F43" s="3"/>
      <c r="G43">
        <v>108700</v>
      </c>
      <c r="H43">
        <v>43700</v>
      </c>
      <c r="I43">
        <v>37</v>
      </c>
      <c r="J43">
        <v>22</v>
      </c>
      <c r="K43">
        <v>90</v>
      </c>
      <c r="L43" t="s">
        <v>2235</v>
      </c>
      <c r="N43" t="s">
        <v>55</v>
      </c>
      <c r="P43" t="s">
        <v>54</v>
      </c>
      <c r="R43" t="s">
        <v>55</v>
      </c>
      <c r="V43" t="s">
        <v>55</v>
      </c>
      <c r="X43" t="s">
        <v>54</v>
      </c>
      <c r="Z43" t="s">
        <v>55</v>
      </c>
      <c r="AB43" t="s">
        <v>55</v>
      </c>
      <c r="AD43" t="s">
        <v>55</v>
      </c>
      <c r="AF43" t="s">
        <v>55</v>
      </c>
      <c r="AH43" t="s">
        <v>54</v>
      </c>
      <c r="AI43">
        <v>78</v>
      </c>
      <c r="AJ43" t="s">
        <v>3138</v>
      </c>
      <c r="AK43" s="4">
        <v>45665.7312268519</v>
      </c>
      <c r="AQ43" t="s">
        <v>1630</v>
      </c>
    </row>
    <row r="44" ht="25.5" customHeight="1" spans="1:43">
      <c r="A44" t="s">
        <v>2378</v>
      </c>
      <c r="B44" t="s">
        <v>1816</v>
      </c>
      <c r="C44" t="s">
        <v>4550</v>
      </c>
      <c r="D44" t="s">
        <v>3477</v>
      </c>
      <c r="E44" s="2">
        <v>45665</v>
      </c>
      <c r="F44" s="3"/>
      <c r="G44">
        <v>211200</v>
      </c>
      <c r="H44">
        <v>48200</v>
      </c>
      <c r="I44">
        <v>21</v>
      </c>
      <c r="J44">
        <v>17</v>
      </c>
      <c r="K44">
        <v>127</v>
      </c>
      <c r="L44" t="s">
        <v>4543</v>
      </c>
      <c r="N44" t="s">
        <v>55</v>
      </c>
      <c r="P44" t="s">
        <v>54</v>
      </c>
      <c r="R44" t="s">
        <v>55</v>
      </c>
      <c r="V44" t="s">
        <v>55</v>
      </c>
      <c r="X44" t="s">
        <v>54</v>
      </c>
      <c r="Z44" t="s">
        <v>55</v>
      </c>
      <c r="AB44" t="s">
        <v>55</v>
      </c>
      <c r="AD44" t="s">
        <v>55</v>
      </c>
      <c r="AF44" t="s">
        <v>55</v>
      </c>
      <c r="AH44" t="s">
        <v>54</v>
      </c>
      <c r="AI44">
        <v>205</v>
      </c>
      <c r="AJ44" t="s">
        <v>3138</v>
      </c>
      <c r="AK44" s="4">
        <v>45665.7312384259</v>
      </c>
      <c r="AQ44" t="s">
        <v>1630</v>
      </c>
    </row>
    <row r="45" ht="25.5" customHeight="1" spans="1:43">
      <c r="A45" t="s">
        <v>2523</v>
      </c>
      <c r="B45" t="s">
        <v>1816</v>
      </c>
      <c r="C45" t="s">
        <v>4550</v>
      </c>
      <c r="D45" t="s">
        <v>3515</v>
      </c>
      <c r="E45" s="2">
        <v>45665</v>
      </c>
      <c r="F45" s="3"/>
      <c r="G45">
        <v>21900</v>
      </c>
      <c r="H45">
        <v>4661</v>
      </c>
      <c r="I45">
        <v>4</v>
      </c>
      <c r="J45">
        <v>8</v>
      </c>
      <c r="K45">
        <v>15</v>
      </c>
      <c r="L45" t="s">
        <v>55</v>
      </c>
      <c r="N45" t="s">
        <v>55</v>
      </c>
      <c r="P45" t="s">
        <v>54</v>
      </c>
      <c r="R45" t="s">
        <v>55</v>
      </c>
      <c r="V45" t="s">
        <v>55</v>
      </c>
      <c r="X45" t="s">
        <v>54</v>
      </c>
      <c r="Z45" t="s">
        <v>55</v>
      </c>
      <c r="AB45" t="s">
        <v>55</v>
      </c>
      <c r="AD45" t="s">
        <v>55</v>
      </c>
      <c r="AF45" t="s">
        <v>55</v>
      </c>
      <c r="AH45" t="s">
        <v>54</v>
      </c>
      <c r="AI45">
        <v>16</v>
      </c>
      <c r="AJ45" t="s">
        <v>3138</v>
      </c>
      <c r="AK45" s="4">
        <v>45665.7312615741</v>
      </c>
      <c r="AQ45" t="s">
        <v>1630</v>
      </c>
    </row>
    <row r="46" ht="25.5" customHeight="1" spans="1:43">
      <c r="A46" t="s">
        <v>2152</v>
      </c>
      <c r="B46" t="s">
        <v>1816</v>
      </c>
      <c r="C46" t="s">
        <v>4550</v>
      </c>
      <c r="D46" t="s">
        <v>3718</v>
      </c>
      <c r="E46" s="2">
        <v>45665</v>
      </c>
      <c r="F46" s="3"/>
      <c r="G46">
        <v>379200</v>
      </c>
      <c r="H46">
        <v>62800</v>
      </c>
      <c r="I46">
        <v>34</v>
      </c>
      <c r="J46">
        <v>41</v>
      </c>
      <c r="K46">
        <v>184</v>
      </c>
      <c r="L46" t="s">
        <v>4552</v>
      </c>
      <c r="N46" t="s">
        <v>55</v>
      </c>
      <c r="P46" t="s">
        <v>54</v>
      </c>
      <c r="R46" t="s">
        <v>55</v>
      </c>
      <c r="V46" t="s">
        <v>55</v>
      </c>
      <c r="X46" t="s">
        <v>54</v>
      </c>
      <c r="Z46" t="s">
        <v>55</v>
      </c>
      <c r="AB46" t="s">
        <v>55</v>
      </c>
      <c r="AD46" t="s">
        <v>55</v>
      </c>
      <c r="AF46" t="s">
        <v>55</v>
      </c>
      <c r="AH46" t="s">
        <v>54</v>
      </c>
      <c r="AI46">
        <v>351</v>
      </c>
      <c r="AJ46" t="s">
        <v>3138</v>
      </c>
      <c r="AK46" s="4">
        <v>45665.7312847222</v>
      </c>
      <c r="AQ46" t="s">
        <v>1630</v>
      </c>
    </row>
    <row r="47" ht="25.5" customHeight="1" spans="1:43">
      <c r="A47" t="s">
        <v>1814</v>
      </c>
      <c r="B47" t="s">
        <v>1816</v>
      </c>
      <c r="C47" t="s">
        <v>4550</v>
      </c>
      <c r="D47" t="s">
        <v>3727</v>
      </c>
      <c r="E47" s="2">
        <v>45665</v>
      </c>
      <c r="F47" s="3"/>
      <c r="G47">
        <v>165000</v>
      </c>
      <c r="H47">
        <v>159100</v>
      </c>
      <c r="I47">
        <v>8</v>
      </c>
      <c r="J47">
        <v>87</v>
      </c>
      <c r="K47">
        <v>786</v>
      </c>
      <c r="L47" t="s">
        <v>1818</v>
      </c>
      <c r="N47" t="s">
        <v>55</v>
      </c>
      <c r="P47" t="s">
        <v>54</v>
      </c>
      <c r="R47" t="s">
        <v>55</v>
      </c>
      <c r="V47" t="s">
        <v>55</v>
      </c>
      <c r="X47" t="s">
        <v>54</v>
      </c>
      <c r="Z47" t="s">
        <v>55</v>
      </c>
      <c r="AB47" t="s">
        <v>55</v>
      </c>
      <c r="AD47" t="s">
        <v>55</v>
      </c>
      <c r="AF47" t="s">
        <v>55</v>
      </c>
      <c r="AH47" t="s">
        <v>54</v>
      </c>
      <c r="AI47">
        <v>1400</v>
      </c>
      <c r="AJ47" t="s">
        <v>3331</v>
      </c>
      <c r="AK47" s="4">
        <v>45665.7313078704</v>
      </c>
      <c r="AQ47" t="s">
        <v>1630</v>
      </c>
    </row>
    <row r="48" ht="25.5" customHeight="1" spans="1:43">
      <c r="A48" t="s">
        <v>2466</v>
      </c>
      <c r="B48" t="s">
        <v>1816</v>
      </c>
      <c r="C48" t="s">
        <v>4550</v>
      </c>
      <c r="D48" t="s">
        <v>3760</v>
      </c>
      <c r="E48" s="2">
        <v>45665</v>
      </c>
      <c r="F48" s="3"/>
      <c r="G48">
        <v>154900</v>
      </c>
      <c r="H48">
        <v>18500</v>
      </c>
      <c r="I48">
        <v>25</v>
      </c>
      <c r="J48">
        <v>14</v>
      </c>
      <c r="K48">
        <v>68</v>
      </c>
      <c r="L48" t="s">
        <v>2467</v>
      </c>
      <c r="N48" t="s">
        <v>55</v>
      </c>
      <c r="P48" t="s">
        <v>54</v>
      </c>
      <c r="R48" t="s">
        <v>55</v>
      </c>
      <c r="V48" t="s">
        <v>55</v>
      </c>
      <c r="X48" t="s">
        <v>54</v>
      </c>
      <c r="Z48" t="s">
        <v>55</v>
      </c>
      <c r="AB48" t="s">
        <v>55</v>
      </c>
      <c r="AD48" t="s">
        <v>55</v>
      </c>
      <c r="AF48" t="s">
        <v>55</v>
      </c>
      <c r="AH48" t="s">
        <v>54</v>
      </c>
      <c r="AI48">
        <v>93</v>
      </c>
      <c r="AJ48" t="s">
        <v>3138</v>
      </c>
      <c r="AK48" s="4">
        <v>45665.7313310185</v>
      </c>
      <c r="AQ48" t="s">
        <v>1630</v>
      </c>
    </row>
    <row r="49" ht="25.5" customHeight="1" spans="1:43">
      <c r="A49" t="s">
        <v>2237</v>
      </c>
      <c r="B49" t="s">
        <v>1816</v>
      </c>
      <c r="C49" t="s">
        <v>4550</v>
      </c>
      <c r="D49" t="s">
        <v>3922</v>
      </c>
      <c r="E49" s="2">
        <v>45665</v>
      </c>
      <c r="F49" s="3"/>
      <c r="G49">
        <v>107100</v>
      </c>
      <c r="H49">
        <v>36000</v>
      </c>
      <c r="I49">
        <v>10</v>
      </c>
      <c r="J49">
        <v>12</v>
      </c>
      <c r="K49">
        <v>57</v>
      </c>
      <c r="L49" t="s">
        <v>4544</v>
      </c>
      <c r="N49" t="s">
        <v>55</v>
      </c>
      <c r="P49" t="s">
        <v>54</v>
      </c>
      <c r="R49" t="s">
        <v>55</v>
      </c>
      <c r="V49" t="s">
        <v>55</v>
      </c>
      <c r="X49" t="s">
        <v>54</v>
      </c>
      <c r="Z49" t="s">
        <v>55</v>
      </c>
      <c r="AB49" t="s">
        <v>55</v>
      </c>
      <c r="AD49" t="s">
        <v>55</v>
      </c>
      <c r="AF49" t="s">
        <v>55</v>
      </c>
      <c r="AH49" t="s">
        <v>54</v>
      </c>
      <c r="AI49">
        <v>71</v>
      </c>
      <c r="AJ49" t="s">
        <v>3138</v>
      </c>
      <c r="AK49" s="4">
        <v>45665.7313541667</v>
      </c>
      <c r="AQ49" t="s">
        <v>1630</v>
      </c>
    </row>
    <row r="50" ht="25.5" customHeight="1" spans="1:43">
      <c r="A50" t="s">
        <v>2267</v>
      </c>
      <c r="B50" t="s">
        <v>1816</v>
      </c>
      <c r="C50" t="s">
        <v>54</v>
      </c>
      <c r="D50" t="s">
        <v>3943</v>
      </c>
      <c r="E50" s="2">
        <v>45665</v>
      </c>
      <c r="F50" s="3"/>
      <c r="G50">
        <v>157300</v>
      </c>
      <c r="H50">
        <v>936</v>
      </c>
      <c r="I50">
        <v>0</v>
      </c>
      <c r="J50">
        <v>0</v>
      </c>
      <c r="K50">
        <v>5</v>
      </c>
      <c r="L50" t="s">
        <v>4553</v>
      </c>
      <c r="N50" t="s">
        <v>55</v>
      </c>
      <c r="P50" t="s">
        <v>54</v>
      </c>
      <c r="R50" t="s">
        <v>55</v>
      </c>
      <c r="V50" t="s">
        <v>55</v>
      </c>
      <c r="X50" t="s">
        <v>54</v>
      </c>
      <c r="Z50" t="s">
        <v>55</v>
      </c>
      <c r="AB50" t="s">
        <v>55</v>
      </c>
      <c r="AD50" t="s">
        <v>55</v>
      </c>
      <c r="AF50" t="s">
        <v>55</v>
      </c>
      <c r="AH50" t="s">
        <v>54</v>
      </c>
      <c r="AI50">
        <v>5</v>
      </c>
      <c r="AJ50" t="s">
        <v>3138</v>
      </c>
      <c r="AK50" s="4">
        <v>45665.7313657407</v>
      </c>
      <c r="AQ50" t="s">
        <v>1630</v>
      </c>
    </row>
    <row r="51" ht="25.5" customHeight="1" spans="1:43">
      <c r="A51" t="s">
        <v>2517</v>
      </c>
      <c r="B51" t="s">
        <v>1816</v>
      </c>
      <c r="C51" t="s">
        <v>4550</v>
      </c>
      <c r="D51" t="s">
        <v>3946</v>
      </c>
      <c r="E51" s="2">
        <v>45665</v>
      </c>
      <c r="F51" s="3"/>
      <c r="G51">
        <v>364800</v>
      </c>
      <c r="H51">
        <v>24500</v>
      </c>
      <c r="I51">
        <v>50</v>
      </c>
      <c r="J51">
        <v>10</v>
      </c>
      <c r="K51">
        <v>90</v>
      </c>
      <c r="L51" t="s">
        <v>4554</v>
      </c>
      <c r="N51" t="s">
        <v>55</v>
      </c>
      <c r="P51" t="s">
        <v>54</v>
      </c>
      <c r="R51" t="s">
        <v>55</v>
      </c>
      <c r="V51" t="s">
        <v>55</v>
      </c>
      <c r="X51" t="s">
        <v>54</v>
      </c>
      <c r="Z51" t="s">
        <v>55</v>
      </c>
      <c r="AB51" t="s">
        <v>55</v>
      </c>
      <c r="AD51" t="s">
        <v>55</v>
      </c>
      <c r="AF51" t="s">
        <v>55</v>
      </c>
      <c r="AH51" t="s">
        <v>54</v>
      </c>
      <c r="AI51">
        <v>49</v>
      </c>
      <c r="AJ51" t="s">
        <v>3138</v>
      </c>
      <c r="AK51" s="4">
        <v>45665.7313888889</v>
      </c>
      <c r="AQ51" t="s">
        <v>1630</v>
      </c>
    </row>
    <row r="52" ht="25.5" customHeight="1" spans="1:43">
      <c r="A52" t="s">
        <v>2470</v>
      </c>
      <c r="B52" t="s">
        <v>1816</v>
      </c>
      <c r="C52" t="s">
        <v>4550</v>
      </c>
      <c r="D52" t="s">
        <v>3983</v>
      </c>
      <c r="E52" s="2">
        <v>45665</v>
      </c>
      <c r="F52" s="3"/>
      <c r="G52">
        <v>31700</v>
      </c>
      <c r="H52">
        <v>23300</v>
      </c>
      <c r="I52">
        <v>41</v>
      </c>
      <c r="J52">
        <v>18</v>
      </c>
      <c r="K52">
        <v>73</v>
      </c>
      <c r="L52" t="s">
        <v>55</v>
      </c>
      <c r="N52" t="s">
        <v>55</v>
      </c>
      <c r="P52" t="s">
        <v>54</v>
      </c>
      <c r="R52" t="s">
        <v>55</v>
      </c>
      <c r="V52" t="s">
        <v>55</v>
      </c>
      <c r="X52" t="s">
        <v>54</v>
      </c>
      <c r="Z52" t="s">
        <v>55</v>
      </c>
      <c r="AB52" t="s">
        <v>55</v>
      </c>
      <c r="AD52" t="s">
        <v>55</v>
      </c>
      <c r="AF52" t="s">
        <v>55</v>
      </c>
      <c r="AH52" t="s">
        <v>54</v>
      </c>
      <c r="AI52">
        <v>80</v>
      </c>
      <c r="AJ52" t="s">
        <v>3138</v>
      </c>
      <c r="AK52" s="4">
        <v>45665.731400463</v>
      </c>
      <c r="AQ52" t="s">
        <v>1630</v>
      </c>
    </row>
    <row r="53" ht="25.5" customHeight="1" spans="1:43">
      <c r="A53" t="s">
        <v>2803</v>
      </c>
      <c r="B53" t="s">
        <v>1816</v>
      </c>
      <c r="C53" t="s">
        <v>4550</v>
      </c>
      <c r="D53" t="s">
        <v>4086</v>
      </c>
      <c r="E53" s="2">
        <v>45665</v>
      </c>
      <c r="F53" s="3"/>
      <c r="G53">
        <v>65300</v>
      </c>
      <c r="H53">
        <v>36800</v>
      </c>
      <c r="I53">
        <v>63</v>
      </c>
      <c r="J53">
        <v>26</v>
      </c>
      <c r="K53">
        <v>118</v>
      </c>
      <c r="L53" t="s">
        <v>55</v>
      </c>
      <c r="N53" t="s">
        <v>55</v>
      </c>
      <c r="P53" t="s">
        <v>54</v>
      </c>
      <c r="R53" t="s">
        <v>55</v>
      </c>
      <c r="V53" t="s">
        <v>55</v>
      </c>
      <c r="X53" t="s">
        <v>54</v>
      </c>
      <c r="Z53" t="s">
        <v>55</v>
      </c>
      <c r="AB53" t="s">
        <v>55</v>
      </c>
      <c r="AD53" t="s">
        <v>55</v>
      </c>
      <c r="AF53" t="s">
        <v>55</v>
      </c>
      <c r="AH53" t="s">
        <v>54</v>
      </c>
      <c r="AI53">
        <v>102</v>
      </c>
      <c r="AJ53" t="s">
        <v>3138</v>
      </c>
      <c r="AK53" s="4">
        <v>45665.731412037</v>
      </c>
      <c r="AQ53" t="s">
        <v>1630</v>
      </c>
    </row>
    <row r="54" ht="25.5" customHeight="1" spans="1:37">
      <c r="A54" t="s">
        <v>4542</v>
      </c>
      <c r="B54" t="s">
        <v>1816</v>
      </c>
      <c r="C54" t="s">
        <v>4550</v>
      </c>
      <c r="E54" s="2">
        <v>45665</v>
      </c>
      <c r="F54" s="3"/>
      <c r="G54">
        <v>2600</v>
      </c>
      <c r="H54">
        <v>51800</v>
      </c>
      <c r="I54">
        <v>9</v>
      </c>
      <c r="J54">
        <v>22</v>
      </c>
      <c r="K54">
        <v>133</v>
      </c>
      <c r="L54" t="s">
        <v>55</v>
      </c>
      <c r="N54" t="s">
        <v>55</v>
      </c>
      <c r="P54" t="s">
        <v>54</v>
      </c>
      <c r="R54" t="s">
        <v>55</v>
      </c>
      <c r="V54" t="s">
        <v>55</v>
      </c>
      <c r="X54" t="s">
        <v>54</v>
      </c>
      <c r="Z54" t="s">
        <v>55</v>
      </c>
      <c r="AB54" t="s">
        <v>55</v>
      </c>
      <c r="AD54" t="s">
        <v>55</v>
      </c>
      <c r="AF54" t="s">
        <v>55</v>
      </c>
      <c r="AH54" t="s">
        <v>54</v>
      </c>
      <c r="AI54">
        <v>102</v>
      </c>
      <c r="AJ54" t="s">
        <v>3258</v>
      </c>
      <c r="AK54" s="4">
        <v>45665.7314236111</v>
      </c>
    </row>
    <row r="55" ht="25.5" customHeight="1" spans="1:43">
      <c r="A55" t="s">
        <v>2307</v>
      </c>
      <c r="B55" t="s">
        <v>1816</v>
      </c>
      <c r="C55" t="s">
        <v>4550</v>
      </c>
      <c r="D55" t="s">
        <v>4157</v>
      </c>
      <c r="E55" s="2">
        <v>45665</v>
      </c>
      <c r="F55" s="3"/>
      <c r="G55">
        <v>67900</v>
      </c>
      <c r="H55">
        <v>97000</v>
      </c>
      <c r="I55">
        <v>43</v>
      </c>
      <c r="J55">
        <v>69</v>
      </c>
      <c r="K55">
        <v>304</v>
      </c>
      <c r="L55" t="s">
        <v>55</v>
      </c>
      <c r="N55" t="s">
        <v>55</v>
      </c>
      <c r="P55" t="s">
        <v>54</v>
      </c>
      <c r="R55" t="s">
        <v>55</v>
      </c>
      <c r="V55" t="s">
        <v>55</v>
      </c>
      <c r="X55" t="s">
        <v>54</v>
      </c>
      <c r="Z55" t="s">
        <v>55</v>
      </c>
      <c r="AB55" t="s">
        <v>55</v>
      </c>
      <c r="AD55" t="s">
        <v>55</v>
      </c>
      <c r="AF55" t="s">
        <v>55</v>
      </c>
      <c r="AH55" t="s">
        <v>54</v>
      </c>
      <c r="AI55">
        <v>621</v>
      </c>
      <c r="AJ55" t="s">
        <v>3331</v>
      </c>
      <c r="AK55" s="4">
        <v>45665.7314351852</v>
      </c>
      <c r="AQ55" t="s">
        <v>1630</v>
      </c>
    </row>
    <row r="56" ht="25.5" customHeight="1" spans="1:43">
      <c r="A56" t="s">
        <v>2553</v>
      </c>
      <c r="B56" t="s">
        <v>1816</v>
      </c>
      <c r="C56" t="s">
        <v>4550</v>
      </c>
      <c r="D56" t="s">
        <v>4277</v>
      </c>
      <c r="E56" s="2">
        <v>45665</v>
      </c>
      <c r="F56" s="3"/>
      <c r="G56">
        <v>294700</v>
      </c>
      <c r="H56">
        <v>69100</v>
      </c>
      <c r="I56">
        <v>18</v>
      </c>
      <c r="J56">
        <v>43</v>
      </c>
      <c r="K56">
        <v>165</v>
      </c>
      <c r="L56" t="s">
        <v>4555</v>
      </c>
      <c r="N56" t="s">
        <v>55</v>
      </c>
      <c r="P56" t="s">
        <v>54</v>
      </c>
      <c r="R56" t="s">
        <v>55</v>
      </c>
      <c r="V56" t="s">
        <v>55</v>
      </c>
      <c r="X56" t="s">
        <v>54</v>
      </c>
      <c r="Z56" t="s">
        <v>55</v>
      </c>
      <c r="AB56" t="s">
        <v>55</v>
      </c>
      <c r="AD56" t="s">
        <v>55</v>
      </c>
      <c r="AF56" t="s">
        <v>55</v>
      </c>
      <c r="AH56" t="s">
        <v>54</v>
      </c>
      <c r="AI56">
        <v>218</v>
      </c>
      <c r="AJ56" t="s">
        <v>3138</v>
      </c>
      <c r="AK56" s="4">
        <v>45665.7314583333</v>
      </c>
      <c r="AQ56" t="s">
        <v>1630</v>
      </c>
    </row>
    <row r="57" ht="25.5" customHeight="1" spans="1:43">
      <c r="A57" t="s">
        <v>2417</v>
      </c>
      <c r="B57" t="s">
        <v>1816</v>
      </c>
      <c r="C57" t="s">
        <v>4550</v>
      </c>
      <c r="D57" t="s">
        <v>4515</v>
      </c>
      <c r="E57" s="2">
        <v>45665</v>
      </c>
      <c r="F57" s="3"/>
      <c r="G57">
        <v>36000</v>
      </c>
      <c r="H57">
        <v>49000</v>
      </c>
      <c r="I57">
        <v>56</v>
      </c>
      <c r="J57">
        <v>47</v>
      </c>
      <c r="K57">
        <v>120</v>
      </c>
      <c r="L57" t="s">
        <v>55</v>
      </c>
      <c r="N57" t="s">
        <v>55</v>
      </c>
      <c r="P57" t="s">
        <v>54</v>
      </c>
      <c r="R57" t="s">
        <v>55</v>
      </c>
      <c r="V57" t="s">
        <v>55</v>
      </c>
      <c r="X57" t="s">
        <v>54</v>
      </c>
      <c r="Z57" t="s">
        <v>55</v>
      </c>
      <c r="AB57" t="s">
        <v>55</v>
      </c>
      <c r="AD57" t="s">
        <v>55</v>
      </c>
      <c r="AF57" t="s">
        <v>55</v>
      </c>
      <c r="AH57" t="s">
        <v>54</v>
      </c>
      <c r="AI57">
        <v>90</v>
      </c>
      <c r="AJ57" t="s">
        <v>3331</v>
      </c>
      <c r="AK57" s="4">
        <v>45665.7314814815</v>
      </c>
      <c r="AQ57" t="s">
        <v>1630</v>
      </c>
    </row>
    <row r="58" ht="25.5" customHeight="1" spans="1:43">
      <c r="A58" t="s">
        <v>1860</v>
      </c>
      <c r="B58" t="s">
        <v>56</v>
      </c>
      <c r="D58" t="s">
        <v>4047</v>
      </c>
      <c r="E58" s="2">
        <v>45670</v>
      </c>
      <c r="F58" s="3"/>
      <c r="G58">
        <v>625500</v>
      </c>
      <c r="H58">
        <v>1503</v>
      </c>
      <c r="I58">
        <v>12</v>
      </c>
      <c r="K58">
        <v>91</v>
      </c>
      <c r="L58" t="s">
        <v>1863</v>
      </c>
      <c r="N58" t="s">
        <v>55</v>
      </c>
      <c r="P58" t="s">
        <v>54</v>
      </c>
      <c r="R58" t="s">
        <v>55</v>
      </c>
      <c r="V58" t="s">
        <v>55</v>
      </c>
      <c r="X58" t="s">
        <v>54</v>
      </c>
      <c r="Z58" t="s">
        <v>55</v>
      </c>
      <c r="AB58" t="s">
        <v>55</v>
      </c>
      <c r="AD58" t="s">
        <v>55</v>
      </c>
      <c r="AF58" t="s">
        <v>55</v>
      </c>
      <c r="AH58" t="s">
        <v>54</v>
      </c>
      <c r="AI58">
        <v>23</v>
      </c>
      <c r="AJ58" t="s">
        <v>3248</v>
      </c>
      <c r="AK58" s="4">
        <v>45665.809212963</v>
      </c>
      <c r="AQ58" t="s">
        <v>1630</v>
      </c>
    </row>
    <row r="59" ht="25.5" customHeight="1" spans="1:43">
      <c r="A59" t="s">
        <v>81</v>
      </c>
      <c r="B59" t="s">
        <v>65</v>
      </c>
      <c r="D59" t="s">
        <v>3408</v>
      </c>
      <c r="E59" s="2">
        <v>45664</v>
      </c>
      <c r="F59" s="3"/>
      <c r="G59">
        <v>69700</v>
      </c>
      <c r="I59">
        <v>1</v>
      </c>
      <c r="K59">
        <v>141</v>
      </c>
      <c r="L59" t="s">
        <v>55</v>
      </c>
      <c r="N59" t="s">
        <v>55</v>
      </c>
      <c r="P59" t="s">
        <v>54</v>
      </c>
      <c r="R59" t="s">
        <v>55</v>
      </c>
      <c r="V59" t="s">
        <v>55</v>
      </c>
      <c r="X59" t="s">
        <v>54</v>
      </c>
      <c r="Z59" t="s">
        <v>55</v>
      </c>
      <c r="AB59" t="s">
        <v>55</v>
      </c>
      <c r="AD59" t="s">
        <v>55</v>
      </c>
      <c r="AF59" t="s">
        <v>55</v>
      </c>
      <c r="AH59" t="s">
        <v>54</v>
      </c>
      <c r="AJ59" t="s">
        <v>3138</v>
      </c>
      <c r="AK59" s="4">
        <v>45665.8189467593</v>
      </c>
      <c r="AQ59" t="s">
        <v>1630</v>
      </c>
    </row>
    <row r="60" ht="25.5" customHeight="1" spans="1:43">
      <c r="A60" t="s">
        <v>1689</v>
      </c>
      <c r="B60" t="s">
        <v>65</v>
      </c>
      <c r="D60" t="s">
        <v>3153</v>
      </c>
      <c r="E60" s="2">
        <v>45670</v>
      </c>
      <c r="F60" s="3"/>
      <c r="N60" t="s">
        <v>55</v>
      </c>
      <c r="P60" t="s">
        <v>54</v>
      </c>
      <c r="R60" t="s">
        <v>55</v>
      </c>
      <c r="V60" t="s">
        <v>55</v>
      </c>
      <c r="X60" t="s">
        <v>54</v>
      </c>
      <c r="Z60" t="s">
        <v>55</v>
      </c>
      <c r="AB60" t="s">
        <v>55</v>
      </c>
      <c r="AD60" t="s">
        <v>55</v>
      </c>
      <c r="AF60" t="s">
        <v>55</v>
      </c>
      <c r="AH60" t="s">
        <v>54</v>
      </c>
      <c r="AK60" s="4">
        <v>45670.3869907407</v>
      </c>
      <c r="AQ60" t="s">
        <v>1630</v>
      </c>
    </row>
    <row r="61" ht="25.5" customHeight="1" spans="1:43">
      <c r="A61" t="s">
        <v>2702</v>
      </c>
      <c r="B61" t="s">
        <v>65</v>
      </c>
      <c r="D61" t="s">
        <v>3388</v>
      </c>
      <c r="E61" s="2">
        <v>45670</v>
      </c>
      <c r="F61" s="3"/>
      <c r="N61" t="s">
        <v>55</v>
      </c>
      <c r="P61" t="s">
        <v>54</v>
      </c>
      <c r="R61" t="s">
        <v>55</v>
      </c>
      <c r="V61" t="s">
        <v>55</v>
      </c>
      <c r="X61" t="s">
        <v>54</v>
      </c>
      <c r="Z61" t="s">
        <v>55</v>
      </c>
      <c r="AB61" t="s">
        <v>55</v>
      </c>
      <c r="AD61" t="s">
        <v>55</v>
      </c>
      <c r="AF61" t="s">
        <v>55</v>
      </c>
      <c r="AH61" t="s">
        <v>54</v>
      </c>
      <c r="AK61" s="4">
        <v>45670.3869907407</v>
      </c>
      <c r="AQ61" t="s">
        <v>1630</v>
      </c>
    </row>
    <row r="62" ht="25.5" customHeight="1" spans="1:43">
      <c r="A62" t="s">
        <v>2825</v>
      </c>
      <c r="B62" t="s">
        <v>65</v>
      </c>
      <c r="D62" t="s">
        <v>3392</v>
      </c>
      <c r="E62" s="2">
        <v>45670</v>
      </c>
      <c r="F62" s="3"/>
      <c r="N62" t="s">
        <v>55</v>
      </c>
      <c r="P62" t="s">
        <v>54</v>
      </c>
      <c r="R62" t="s">
        <v>55</v>
      </c>
      <c r="V62" t="s">
        <v>55</v>
      </c>
      <c r="X62" t="s">
        <v>54</v>
      </c>
      <c r="Z62" t="s">
        <v>55</v>
      </c>
      <c r="AB62" t="s">
        <v>55</v>
      </c>
      <c r="AD62" t="s">
        <v>55</v>
      </c>
      <c r="AF62" t="s">
        <v>55</v>
      </c>
      <c r="AH62" t="s">
        <v>54</v>
      </c>
      <c r="AK62" s="4">
        <v>45670.3869907407</v>
      </c>
      <c r="AQ62" t="s">
        <v>1630</v>
      </c>
    </row>
    <row r="63" ht="25.5" customHeight="1" spans="1:43">
      <c r="A63" t="s">
        <v>2741</v>
      </c>
      <c r="B63" t="s">
        <v>65</v>
      </c>
      <c r="D63" t="s">
        <v>4556</v>
      </c>
      <c r="E63" s="2">
        <v>45670</v>
      </c>
      <c r="F63" s="3"/>
      <c r="N63" t="s">
        <v>55</v>
      </c>
      <c r="P63" t="s">
        <v>54</v>
      </c>
      <c r="R63" t="s">
        <v>55</v>
      </c>
      <c r="V63" t="s">
        <v>55</v>
      </c>
      <c r="X63" t="s">
        <v>54</v>
      </c>
      <c r="Z63" t="s">
        <v>55</v>
      </c>
      <c r="AB63" t="s">
        <v>55</v>
      </c>
      <c r="AD63" t="s">
        <v>55</v>
      </c>
      <c r="AF63" t="s">
        <v>55</v>
      </c>
      <c r="AH63" t="s">
        <v>54</v>
      </c>
      <c r="AK63" s="4">
        <v>45670.3869907407</v>
      </c>
      <c r="AQ63" t="s">
        <v>1630</v>
      </c>
    </row>
    <row r="64" ht="25.5" customHeight="1" spans="1:43">
      <c r="A64" t="s">
        <v>1898</v>
      </c>
      <c r="B64" t="s">
        <v>65</v>
      </c>
      <c r="D64" t="s">
        <v>3667</v>
      </c>
      <c r="E64" s="2">
        <v>45670</v>
      </c>
      <c r="F64" s="3"/>
      <c r="N64" t="s">
        <v>55</v>
      </c>
      <c r="P64" t="s">
        <v>54</v>
      </c>
      <c r="R64" t="s">
        <v>55</v>
      </c>
      <c r="V64" t="s">
        <v>55</v>
      </c>
      <c r="X64" t="s">
        <v>54</v>
      </c>
      <c r="Z64" t="s">
        <v>55</v>
      </c>
      <c r="AB64" t="s">
        <v>55</v>
      </c>
      <c r="AD64" t="s">
        <v>55</v>
      </c>
      <c r="AF64" t="s">
        <v>55</v>
      </c>
      <c r="AH64" t="s">
        <v>54</v>
      </c>
      <c r="AK64" s="4">
        <v>45670.3869907407</v>
      </c>
      <c r="AQ64" t="s">
        <v>1630</v>
      </c>
    </row>
    <row r="65" ht="25.5" customHeight="1" spans="1:43">
      <c r="A65" t="s">
        <v>1893</v>
      </c>
      <c r="B65" t="s">
        <v>65</v>
      </c>
      <c r="D65" t="s">
        <v>3697</v>
      </c>
      <c r="E65" s="2">
        <v>45670</v>
      </c>
      <c r="F65" s="3"/>
      <c r="N65" t="s">
        <v>55</v>
      </c>
      <c r="P65" t="s">
        <v>54</v>
      </c>
      <c r="R65" t="s">
        <v>55</v>
      </c>
      <c r="V65" t="s">
        <v>55</v>
      </c>
      <c r="X65" t="s">
        <v>54</v>
      </c>
      <c r="Z65" t="s">
        <v>55</v>
      </c>
      <c r="AB65" t="s">
        <v>55</v>
      </c>
      <c r="AD65" t="s">
        <v>55</v>
      </c>
      <c r="AF65" t="s">
        <v>55</v>
      </c>
      <c r="AH65" t="s">
        <v>54</v>
      </c>
      <c r="AK65" s="4">
        <v>45670.3869907407</v>
      </c>
      <c r="AQ65" t="s">
        <v>1630</v>
      </c>
    </row>
    <row r="66" ht="25.5" customHeight="1" spans="1:43">
      <c r="A66" t="s">
        <v>2666</v>
      </c>
      <c r="B66" t="s">
        <v>65</v>
      </c>
      <c r="D66" t="s">
        <v>4105</v>
      </c>
      <c r="E66" s="2">
        <v>45670</v>
      </c>
      <c r="F66" s="3"/>
      <c r="N66" t="s">
        <v>55</v>
      </c>
      <c r="P66" t="s">
        <v>54</v>
      </c>
      <c r="R66" t="s">
        <v>55</v>
      </c>
      <c r="V66" t="s">
        <v>55</v>
      </c>
      <c r="X66" t="s">
        <v>54</v>
      </c>
      <c r="Z66" t="s">
        <v>55</v>
      </c>
      <c r="AB66" t="s">
        <v>55</v>
      </c>
      <c r="AD66" t="s">
        <v>55</v>
      </c>
      <c r="AF66" t="s">
        <v>55</v>
      </c>
      <c r="AH66" t="s">
        <v>54</v>
      </c>
      <c r="AK66" s="4">
        <v>45670.3869907407</v>
      </c>
      <c r="AQ66" t="s">
        <v>1630</v>
      </c>
    </row>
    <row r="67" ht="25.5" customHeight="1" spans="1:37">
      <c r="A67" t="s">
        <v>4557</v>
      </c>
      <c r="B67" t="s">
        <v>65</v>
      </c>
      <c r="E67" s="2">
        <v>45670</v>
      </c>
      <c r="F67" s="3"/>
      <c r="N67" t="s">
        <v>55</v>
      </c>
      <c r="P67" t="s">
        <v>54</v>
      </c>
      <c r="R67" t="s">
        <v>55</v>
      </c>
      <c r="V67" t="s">
        <v>55</v>
      </c>
      <c r="X67" t="s">
        <v>54</v>
      </c>
      <c r="Z67" t="s">
        <v>55</v>
      </c>
      <c r="AB67" t="s">
        <v>55</v>
      </c>
      <c r="AD67" t="s">
        <v>55</v>
      </c>
      <c r="AF67" t="s">
        <v>55</v>
      </c>
      <c r="AH67" t="s">
        <v>54</v>
      </c>
      <c r="AK67" s="4">
        <v>45670.3869907407</v>
      </c>
    </row>
    <row r="68" ht="25.5" customHeight="1" spans="1:43">
      <c r="A68" t="s">
        <v>2826</v>
      </c>
      <c r="B68" t="s">
        <v>65</v>
      </c>
      <c r="D68" t="s">
        <v>4421</v>
      </c>
      <c r="E68" s="2">
        <v>45670</v>
      </c>
      <c r="F68" s="3"/>
      <c r="N68" t="s">
        <v>55</v>
      </c>
      <c r="P68" t="s">
        <v>54</v>
      </c>
      <c r="R68" t="s">
        <v>55</v>
      </c>
      <c r="V68" t="s">
        <v>55</v>
      </c>
      <c r="X68" t="s">
        <v>54</v>
      </c>
      <c r="Z68" t="s">
        <v>55</v>
      </c>
      <c r="AB68" t="s">
        <v>55</v>
      </c>
      <c r="AD68" t="s">
        <v>55</v>
      </c>
      <c r="AF68" t="s">
        <v>55</v>
      </c>
      <c r="AH68" t="s">
        <v>54</v>
      </c>
      <c r="AK68" s="4">
        <v>45670.3869907407</v>
      </c>
      <c r="AQ68" t="s">
        <v>1630</v>
      </c>
    </row>
    <row r="69" ht="25.5" customHeight="1" spans="1:43">
      <c r="A69" t="s">
        <v>3048</v>
      </c>
      <c r="B69" t="s">
        <v>65</v>
      </c>
      <c r="D69" t="s">
        <v>4434</v>
      </c>
      <c r="E69" s="2">
        <v>45670</v>
      </c>
      <c r="F69" s="3"/>
      <c r="N69" t="s">
        <v>55</v>
      </c>
      <c r="P69" t="s">
        <v>54</v>
      </c>
      <c r="R69" t="s">
        <v>55</v>
      </c>
      <c r="V69" t="s">
        <v>55</v>
      </c>
      <c r="X69" t="s">
        <v>54</v>
      </c>
      <c r="Z69" t="s">
        <v>55</v>
      </c>
      <c r="AB69" t="s">
        <v>55</v>
      </c>
      <c r="AD69" t="s">
        <v>55</v>
      </c>
      <c r="AF69" t="s">
        <v>55</v>
      </c>
      <c r="AH69" t="s">
        <v>54</v>
      </c>
      <c r="AK69" s="4">
        <v>45670.3869907407</v>
      </c>
      <c r="AQ69" t="s">
        <v>1630</v>
      </c>
    </row>
    <row r="70" ht="25.5" customHeight="1" spans="1:43">
      <c r="A70" t="s">
        <v>2830</v>
      </c>
      <c r="B70" t="s">
        <v>65</v>
      </c>
      <c r="D70" t="s">
        <v>4440</v>
      </c>
      <c r="E70" s="2">
        <v>45670</v>
      </c>
      <c r="F70" s="3"/>
      <c r="N70" t="s">
        <v>55</v>
      </c>
      <c r="P70" t="s">
        <v>54</v>
      </c>
      <c r="R70" t="s">
        <v>55</v>
      </c>
      <c r="V70" t="s">
        <v>55</v>
      </c>
      <c r="X70" t="s">
        <v>54</v>
      </c>
      <c r="Z70" t="s">
        <v>55</v>
      </c>
      <c r="AB70" t="s">
        <v>55</v>
      </c>
      <c r="AD70" t="s">
        <v>55</v>
      </c>
      <c r="AF70" t="s">
        <v>55</v>
      </c>
      <c r="AH70" t="s">
        <v>54</v>
      </c>
      <c r="AK70" s="4">
        <v>45670.3878009259</v>
      </c>
      <c r="AQ70" t="s">
        <v>1630</v>
      </c>
    </row>
    <row r="71" ht="25.5" customHeight="1" spans="1:43">
      <c r="A71" t="s">
        <v>2827</v>
      </c>
      <c r="B71" t="s">
        <v>65</v>
      </c>
      <c r="D71" t="s">
        <v>4494</v>
      </c>
      <c r="E71" s="2">
        <v>45670</v>
      </c>
      <c r="F71" s="3"/>
      <c r="N71" t="s">
        <v>55</v>
      </c>
      <c r="P71" t="s">
        <v>54</v>
      </c>
      <c r="R71" t="s">
        <v>55</v>
      </c>
      <c r="V71" t="s">
        <v>55</v>
      </c>
      <c r="X71" t="s">
        <v>54</v>
      </c>
      <c r="Z71" t="s">
        <v>55</v>
      </c>
      <c r="AB71" t="s">
        <v>55</v>
      </c>
      <c r="AD71" t="s">
        <v>55</v>
      </c>
      <c r="AF71" t="s">
        <v>55</v>
      </c>
      <c r="AH71" t="s">
        <v>54</v>
      </c>
      <c r="AK71" s="4">
        <v>45670.3878009259</v>
      </c>
      <c r="AQ71" t="s">
        <v>1630</v>
      </c>
    </row>
    <row r="72" ht="25.5" customHeight="1" spans="1:43">
      <c r="A72" t="s">
        <v>2828</v>
      </c>
      <c r="B72" t="s">
        <v>65</v>
      </c>
      <c r="D72" t="s">
        <v>4495</v>
      </c>
      <c r="E72" s="2">
        <v>45670</v>
      </c>
      <c r="F72" s="3"/>
      <c r="N72" t="s">
        <v>55</v>
      </c>
      <c r="P72" t="s">
        <v>54</v>
      </c>
      <c r="R72" t="s">
        <v>55</v>
      </c>
      <c r="V72" t="s">
        <v>55</v>
      </c>
      <c r="X72" t="s">
        <v>54</v>
      </c>
      <c r="Z72" t="s">
        <v>55</v>
      </c>
      <c r="AB72" t="s">
        <v>55</v>
      </c>
      <c r="AD72" t="s">
        <v>55</v>
      </c>
      <c r="AF72" t="s">
        <v>55</v>
      </c>
      <c r="AH72" t="s">
        <v>54</v>
      </c>
      <c r="AK72" s="4">
        <v>45670.3878009259</v>
      </c>
      <c r="AQ72" t="s">
        <v>1630</v>
      </c>
    </row>
    <row r="73" ht="25.5" customHeight="1" spans="1:43">
      <c r="A73" t="s">
        <v>2829</v>
      </c>
      <c r="B73" t="s">
        <v>65</v>
      </c>
      <c r="D73" t="s">
        <v>4500</v>
      </c>
      <c r="E73" s="2">
        <v>45670</v>
      </c>
      <c r="F73" s="3"/>
      <c r="N73" t="s">
        <v>55</v>
      </c>
      <c r="P73" t="s">
        <v>54</v>
      </c>
      <c r="R73" t="s">
        <v>55</v>
      </c>
      <c r="V73" t="s">
        <v>55</v>
      </c>
      <c r="X73" t="s">
        <v>54</v>
      </c>
      <c r="Z73" t="s">
        <v>55</v>
      </c>
      <c r="AB73" t="s">
        <v>55</v>
      </c>
      <c r="AD73" t="s">
        <v>55</v>
      </c>
      <c r="AF73" t="s">
        <v>55</v>
      </c>
      <c r="AH73" t="s">
        <v>54</v>
      </c>
      <c r="AK73" s="4">
        <v>45670.3878009259</v>
      </c>
      <c r="AQ73" t="s">
        <v>1630</v>
      </c>
    </row>
    <row r="74" ht="25.5" customHeight="1" spans="1:43">
      <c r="A74" t="s">
        <v>2904</v>
      </c>
      <c r="B74" t="s">
        <v>56</v>
      </c>
      <c r="D74" t="s">
        <v>3212</v>
      </c>
      <c r="E74" s="2">
        <v>45670</v>
      </c>
      <c r="F74" s="3"/>
      <c r="N74" t="s">
        <v>55</v>
      </c>
      <c r="P74" t="s">
        <v>54</v>
      </c>
      <c r="R74" t="s">
        <v>55</v>
      </c>
      <c r="V74" t="s">
        <v>55</v>
      </c>
      <c r="X74" t="s">
        <v>54</v>
      </c>
      <c r="Z74" t="s">
        <v>55</v>
      </c>
      <c r="AB74" t="s">
        <v>55</v>
      </c>
      <c r="AD74" t="s">
        <v>55</v>
      </c>
      <c r="AF74" t="s">
        <v>55</v>
      </c>
      <c r="AH74" t="s">
        <v>54</v>
      </c>
      <c r="AK74" s="4">
        <v>45670.3880324074</v>
      </c>
      <c r="AQ74" t="s">
        <v>1630</v>
      </c>
    </row>
    <row r="75" ht="25.5" customHeight="1" spans="1:43">
      <c r="A75" t="s">
        <v>2350</v>
      </c>
      <c r="B75" t="s">
        <v>56</v>
      </c>
      <c r="D75" t="s">
        <v>3226</v>
      </c>
      <c r="E75" s="2">
        <v>45670</v>
      </c>
      <c r="F75" s="3"/>
      <c r="N75" t="s">
        <v>55</v>
      </c>
      <c r="P75" t="s">
        <v>54</v>
      </c>
      <c r="R75" t="s">
        <v>55</v>
      </c>
      <c r="V75" t="s">
        <v>55</v>
      </c>
      <c r="X75" t="s">
        <v>54</v>
      </c>
      <c r="Z75" t="s">
        <v>55</v>
      </c>
      <c r="AB75" t="s">
        <v>55</v>
      </c>
      <c r="AD75" t="s">
        <v>55</v>
      </c>
      <c r="AF75" t="s">
        <v>55</v>
      </c>
      <c r="AH75" t="s">
        <v>54</v>
      </c>
      <c r="AK75" s="4">
        <v>45670.3880902778</v>
      </c>
      <c r="AQ75" t="s">
        <v>1630</v>
      </c>
    </row>
    <row r="76" ht="25.5" customHeight="1" spans="1:43">
      <c r="A76" t="s">
        <v>1358</v>
      </c>
      <c r="B76" t="s">
        <v>56</v>
      </c>
      <c r="D76" t="s">
        <v>3455</v>
      </c>
      <c r="E76" s="2">
        <v>45670</v>
      </c>
      <c r="F76" s="3"/>
      <c r="N76" t="s">
        <v>55</v>
      </c>
      <c r="P76" t="s">
        <v>54</v>
      </c>
      <c r="R76" t="s">
        <v>55</v>
      </c>
      <c r="V76" t="s">
        <v>55</v>
      </c>
      <c r="X76" t="s">
        <v>54</v>
      </c>
      <c r="Z76" t="s">
        <v>55</v>
      </c>
      <c r="AB76" t="s">
        <v>55</v>
      </c>
      <c r="AD76" t="s">
        <v>55</v>
      </c>
      <c r="AF76" t="s">
        <v>55</v>
      </c>
      <c r="AH76" t="s">
        <v>54</v>
      </c>
      <c r="AK76" s="4">
        <v>45670.3880902778</v>
      </c>
      <c r="AQ76" t="s">
        <v>1630</v>
      </c>
    </row>
    <row r="77" ht="25.5" customHeight="1" spans="1:43">
      <c r="A77" t="s">
        <v>2997</v>
      </c>
      <c r="B77" t="s">
        <v>56</v>
      </c>
      <c r="D77" t="s">
        <v>3484</v>
      </c>
      <c r="E77" s="2">
        <v>45670</v>
      </c>
      <c r="F77" s="3"/>
      <c r="N77" t="s">
        <v>55</v>
      </c>
      <c r="P77" t="s">
        <v>54</v>
      </c>
      <c r="R77" t="s">
        <v>55</v>
      </c>
      <c r="V77" t="s">
        <v>55</v>
      </c>
      <c r="X77" t="s">
        <v>54</v>
      </c>
      <c r="Z77" t="s">
        <v>55</v>
      </c>
      <c r="AB77" t="s">
        <v>55</v>
      </c>
      <c r="AD77" t="s">
        <v>55</v>
      </c>
      <c r="AF77" t="s">
        <v>55</v>
      </c>
      <c r="AH77" t="s">
        <v>54</v>
      </c>
      <c r="AK77" s="4">
        <v>45670.3880902778</v>
      </c>
      <c r="AQ77" t="s">
        <v>1630</v>
      </c>
    </row>
    <row r="78" ht="25.5" customHeight="1" spans="1:43">
      <c r="A78" t="s">
        <v>2736</v>
      </c>
      <c r="B78" t="s">
        <v>56</v>
      </c>
      <c r="D78" t="s">
        <v>3683</v>
      </c>
      <c r="E78" s="2">
        <v>45670</v>
      </c>
      <c r="F78" s="3"/>
      <c r="N78" t="s">
        <v>55</v>
      </c>
      <c r="P78" t="s">
        <v>54</v>
      </c>
      <c r="R78" t="s">
        <v>55</v>
      </c>
      <c r="V78" t="s">
        <v>55</v>
      </c>
      <c r="X78" t="s">
        <v>54</v>
      </c>
      <c r="Z78" t="s">
        <v>55</v>
      </c>
      <c r="AB78" t="s">
        <v>55</v>
      </c>
      <c r="AD78" t="s">
        <v>55</v>
      </c>
      <c r="AF78" t="s">
        <v>55</v>
      </c>
      <c r="AH78" t="s">
        <v>54</v>
      </c>
      <c r="AK78" s="4">
        <v>45670.3880902778</v>
      </c>
      <c r="AQ78" t="s">
        <v>1630</v>
      </c>
    </row>
    <row r="79" ht="25.5" customHeight="1" spans="1:43">
      <c r="A79" t="s">
        <v>1349</v>
      </c>
      <c r="B79" t="s">
        <v>56</v>
      </c>
      <c r="D79" t="s">
        <v>3774</v>
      </c>
      <c r="E79" s="2">
        <v>45670</v>
      </c>
      <c r="F79" s="3"/>
      <c r="N79" t="s">
        <v>55</v>
      </c>
      <c r="P79" t="s">
        <v>54</v>
      </c>
      <c r="R79" t="s">
        <v>55</v>
      </c>
      <c r="V79" t="s">
        <v>55</v>
      </c>
      <c r="X79" t="s">
        <v>54</v>
      </c>
      <c r="Z79" t="s">
        <v>55</v>
      </c>
      <c r="AB79" t="s">
        <v>55</v>
      </c>
      <c r="AD79" t="s">
        <v>55</v>
      </c>
      <c r="AF79" t="s">
        <v>55</v>
      </c>
      <c r="AH79" t="s">
        <v>54</v>
      </c>
      <c r="AK79" s="4">
        <v>45670.3880902778</v>
      </c>
      <c r="AQ79" t="s">
        <v>1630</v>
      </c>
    </row>
    <row r="80" ht="25.5" customHeight="1" spans="1:43">
      <c r="A80" t="s">
        <v>2699</v>
      </c>
      <c r="B80" t="s">
        <v>56</v>
      </c>
      <c r="D80" t="s">
        <v>3785</v>
      </c>
      <c r="E80" s="2">
        <v>45670</v>
      </c>
      <c r="F80" s="3"/>
      <c r="N80" t="s">
        <v>55</v>
      </c>
      <c r="P80" t="s">
        <v>54</v>
      </c>
      <c r="R80" t="s">
        <v>55</v>
      </c>
      <c r="V80" t="s">
        <v>55</v>
      </c>
      <c r="X80" t="s">
        <v>54</v>
      </c>
      <c r="Z80" t="s">
        <v>55</v>
      </c>
      <c r="AB80" t="s">
        <v>55</v>
      </c>
      <c r="AD80" t="s">
        <v>55</v>
      </c>
      <c r="AF80" t="s">
        <v>55</v>
      </c>
      <c r="AH80" t="s">
        <v>54</v>
      </c>
      <c r="AK80" s="4">
        <v>45670.3880902778</v>
      </c>
      <c r="AQ80" t="s">
        <v>1630</v>
      </c>
    </row>
    <row r="81" ht="25.5" customHeight="1" spans="1:43">
      <c r="A81" t="s">
        <v>2781</v>
      </c>
      <c r="B81" t="s">
        <v>56</v>
      </c>
      <c r="D81" t="s">
        <v>3827</v>
      </c>
      <c r="E81" s="2">
        <v>45670</v>
      </c>
      <c r="F81" s="3"/>
      <c r="N81" t="s">
        <v>55</v>
      </c>
      <c r="P81" t="s">
        <v>54</v>
      </c>
      <c r="R81" t="s">
        <v>55</v>
      </c>
      <c r="V81" t="s">
        <v>55</v>
      </c>
      <c r="X81" t="s">
        <v>54</v>
      </c>
      <c r="Z81" t="s">
        <v>55</v>
      </c>
      <c r="AB81" t="s">
        <v>55</v>
      </c>
      <c r="AD81" t="s">
        <v>55</v>
      </c>
      <c r="AF81" t="s">
        <v>55</v>
      </c>
      <c r="AH81" t="s">
        <v>54</v>
      </c>
      <c r="AK81" s="4">
        <v>45670.3880902778</v>
      </c>
      <c r="AQ81" t="s">
        <v>1630</v>
      </c>
    </row>
    <row r="82" ht="25.5" customHeight="1" spans="1:43">
      <c r="A82" t="s">
        <v>2595</v>
      </c>
      <c r="B82" t="s">
        <v>56</v>
      </c>
      <c r="D82" t="s">
        <v>3857</v>
      </c>
      <c r="E82" s="2">
        <v>45670</v>
      </c>
      <c r="F82" s="3"/>
      <c r="N82" t="s">
        <v>55</v>
      </c>
      <c r="P82" t="s">
        <v>54</v>
      </c>
      <c r="R82" t="s">
        <v>55</v>
      </c>
      <c r="V82" t="s">
        <v>55</v>
      </c>
      <c r="X82" t="s">
        <v>54</v>
      </c>
      <c r="Z82" t="s">
        <v>55</v>
      </c>
      <c r="AB82" t="s">
        <v>55</v>
      </c>
      <c r="AD82" t="s">
        <v>55</v>
      </c>
      <c r="AF82" t="s">
        <v>55</v>
      </c>
      <c r="AH82" t="s">
        <v>54</v>
      </c>
      <c r="AK82" s="4">
        <v>45670.3880902778</v>
      </c>
      <c r="AQ82" t="s">
        <v>1630</v>
      </c>
    </row>
    <row r="83" ht="25.5" customHeight="1" spans="1:43">
      <c r="A83" t="s">
        <v>2967</v>
      </c>
      <c r="B83" t="s">
        <v>56</v>
      </c>
      <c r="D83" t="s">
        <v>3912</v>
      </c>
      <c r="E83" s="2">
        <v>45670</v>
      </c>
      <c r="F83" s="3"/>
      <c r="N83" t="s">
        <v>55</v>
      </c>
      <c r="P83" t="s">
        <v>54</v>
      </c>
      <c r="R83" t="s">
        <v>55</v>
      </c>
      <c r="V83" t="s">
        <v>55</v>
      </c>
      <c r="X83" t="s">
        <v>54</v>
      </c>
      <c r="Z83" t="s">
        <v>55</v>
      </c>
      <c r="AB83" t="s">
        <v>55</v>
      </c>
      <c r="AD83" t="s">
        <v>55</v>
      </c>
      <c r="AF83" t="s">
        <v>55</v>
      </c>
      <c r="AH83" t="s">
        <v>54</v>
      </c>
      <c r="AK83" s="4">
        <v>45670.3880902778</v>
      </c>
      <c r="AQ83" t="s">
        <v>1630</v>
      </c>
    </row>
    <row r="84" ht="25.5" customHeight="1" spans="1:43">
      <c r="A84" t="s">
        <v>2689</v>
      </c>
      <c r="B84" t="s">
        <v>56</v>
      </c>
      <c r="D84" t="s">
        <v>4098</v>
      </c>
      <c r="E84" s="2">
        <v>45670</v>
      </c>
      <c r="F84" s="3"/>
      <c r="N84" t="s">
        <v>55</v>
      </c>
      <c r="P84" t="s">
        <v>54</v>
      </c>
      <c r="R84" t="s">
        <v>55</v>
      </c>
      <c r="V84" t="s">
        <v>55</v>
      </c>
      <c r="X84" t="s">
        <v>54</v>
      </c>
      <c r="Z84" t="s">
        <v>55</v>
      </c>
      <c r="AB84" t="s">
        <v>55</v>
      </c>
      <c r="AD84" t="s">
        <v>55</v>
      </c>
      <c r="AF84" t="s">
        <v>55</v>
      </c>
      <c r="AH84" t="s">
        <v>54</v>
      </c>
      <c r="AK84" s="4">
        <v>45670.3880902778</v>
      </c>
      <c r="AQ84" t="s">
        <v>1630</v>
      </c>
    </row>
    <row r="85" ht="25.5" customHeight="1" spans="1:43">
      <c r="A85" t="s">
        <v>2445</v>
      </c>
      <c r="B85" t="s">
        <v>56</v>
      </c>
      <c r="D85" t="s">
        <v>4188</v>
      </c>
      <c r="E85" s="2">
        <v>45670</v>
      </c>
      <c r="F85" s="3"/>
      <c r="N85" t="s">
        <v>55</v>
      </c>
      <c r="P85" t="s">
        <v>54</v>
      </c>
      <c r="R85" t="s">
        <v>55</v>
      </c>
      <c r="V85" t="s">
        <v>55</v>
      </c>
      <c r="X85" t="s">
        <v>54</v>
      </c>
      <c r="Z85" t="s">
        <v>55</v>
      </c>
      <c r="AB85" t="s">
        <v>55</v>
      </c>
      <c r="AD85" t="s">
        <v>55</v>
      </c>
      <c r="AF85" t="s">
        <v>55</v>
      </c>
      <c r="AH85" t="s">
        <v>54</v>
      </c>
      <c r="AK85" s="4">
        <v>45670.3890625</v>
      </c>
      <c r="AQ85" t="s">
        <v>1630</v>
      </c>
    </row>
    <row r="86" ht="25.5" customHeight="1" spans="1:43">
      <c r="A86" t="s">
        <v>2591</v>
      </c>
      <c r="B86" t="s">
        <v>56</v>
      </c>
      <c r="D86" t="s">
        <v>4300</v>
      </c>
      <c r="E86" s="2">
        <v>45670</v>
      </c>
      <c r="F86" s="3"/>
      <c r="N86" t="s">
        <v>55</v>
      </c>
      <c r="P86" t="s">
        <v>54</v>
      </c>
      <c r="R86" t="s">
        <v>55</v>
      </c>
      <c r="V86" t="s">
        <v>55</v>
      </c>
      <c r="X86" t="s">
        <v>54</v>
      </c>
      <c r="Z86" t="s">
        <v>55</v>
      </c>
      <c r="AB86" t="s">
        <v>55</v>
      </c>
      <c r="AD86" t="s">
        <v>55</v>
      </c>
      <c r="AF86" t="s">
        <v>55</v>
      </c>
      <c r="AH86" t="s">
        <v>54</v>
      </c>
      <c r="AK86" s="4">
        <v>45670.3891550926</v>
      </c>
      <c r="AQ86" t="s">
        <v>1630</v>
      </c>
    </row>
    <row r="87" ht="25.5" customHeight="1" spans="1:43">
      <c r="A87" t="s">
        <v>2811</v>
      </c>
      <c r="B87" t="s">
        <v>56</v>
      </c>
      <c r="D87" t="s">
        <v>4313</v>
      </c>
      <c r="E87" s="2">
        <v>45670</v>
      </c>
      <c r="F87" s="3"/>
      <c r="N87" t="s">
        <v>55</v>
      </c>
      <c r="P87" t="s">
        <v>54</v>
      </c>
      <c r="R87" t="s">
        <v>55</v>
      </c>
      <c r="V87" t="s">
        <v>55</v>
      </c>
      <c r="X87" t="s">
        <v>54</v>
      </c>
      <c r="Z87" t="s">
        <v>55</v>
      </c>
      <c r="AB87" t="s">
        <v>55</v>
      </c>
      <c r="AD87" t="s">
        <v>55</v>
      </c>
      <c r="AF87" t="s">
        <v>55</v>
      </c>
      <c r="AH87" t="s">
        <v>54</v>
      </c>
      <c r="AK87" s="4">
        <v>45670.389212963</v>
      </c>
      <c r="AQ87" t="s">
        <v>1630</v>
      </c>
    </row>
    <row r="88" ht="25.5" customHeight="1" spans="1:43">
      <c r="A88" t="s">
        <v>2107</v>
      </c>
      <c r="B88" t="s">
        <v>1816</v>
      </c>
      <c r="D88" t="s">
        <v>3351</v>
      </c>
      <c r="E88" s="2">
        <v>45670</v>
      </c>
      <c r="F88" s="3"/>
      <c r="G88">
        <v>126500</v>
      </c>
      <c r="H88">
        <v>111500</v>
      </c>
      <c r="I88">
        <v>21</v>
      </c>
      <c r="J88">
        <v>72</v>
      </c>
      <c r="K88">
        <v>443</v>
      </c>
      <c r="L88" t="s">
        <v>4558</v>
      </c>
      <c r="N88" t="s">
        <v>55</v>
      </c>
      <c r="P88" t="s">
        <v>54</v>
      </c>
      <c r="R88" t="s">
        <v>55</v>
      </c>
      <c r="V88" t="s">
        <v>55</v>
      </c>
      <c r="X88" t="s">
        <v>54</v>
      </c>
      <c r="Z88" t="s">
        <v>55</v>
      </c>
      <c r="AB88" t="s">
        <v>55</v>
      </c>
      <c r="AD88" t="s">
        <v>55</v>
      </c>
      <c r="AF88" t="s">
        <v>55</v>
      </c>
      <c r="AH88" t="s">
        <v>54</v>
      </c>
      <c r="AI88">
        <v>1200</v>
      </c>
      <c r="AJ88" t="s">
        <v>3138</v>
      </c>
      <c r="AK88" s="4">
        <v>45670.6369328704</v>
      </c>
      <c r="AQ88" t="s">
        <v>1630</v>
      </c>
    </row>
    <row r="89" ht="25.5" customHeight="1" spans="1:43">
      <c r="A89" t="s">
        <v>2475</v>
      </c>
      <c r="B89" t="s">
        <v>1816</v>
      </c>
      <c r="D89" t="s">
        <v>3377</v>
      </c>
      <c r="E89" s="2">
        <v>45670</v>
      </c>
      <c r="F89" s="3"/>
      <c r="G89">
        <v>110200</v>
      </c>
      <c r="H89">
        <v>63200</v>
      </c>
      <c r="I89">
        <v>23</v>
      </c>
      <c r="J89">
        <v>87</v>
      </c>
      <c r="K89">
        <v>322</v>
      </c>
      <c r="L89" t="s">
        <v>4559</v>
      </c>
      <c r="N89" t="s">
        <v>55</v>
      </c>
      <c r="P89" t="s">
        <v>54</v>
      </c>
      <c r="R89" t="s">
        <v>55</v>
      </c>
      <c r="V89" t="s">
        <v>55</v>
      </c>
      <c r="X89" t="s">
        <v>54</v>
      </c>
      <c r="Z89" t="s">
        <v>55</v>
      </c>
      <c r="AB89" t="s">
        <v>55</v>
      </c>
      <c r="AD89" t="s">
        <v>55</v>
      </c>
      <c r="AF89" t="s">
        <v>55</v>
      </c>
      <c r="AH89" t="s">
        <v>54</v>
      </c>
      <c r="AI89">
        <v>465</v>
      </c>
      <c r="AJ89" t="s">
        <v>3138</v>
      </c>
      <c r="AK89" s="4">
        <v>45670.6369444444</v>
      </c>
      <c r="AQ89" t="s">
        <v>1630</v>
      </c>
    </row>
    <row r="90" ht="25.5" customHeight="1" spans="1:43">
      <c r="A90" t="s">
        <v>2234</v>
      </c>
      <c r="B90" t="s">
        <v>1816</v>
      </c>
      <c r="D90" t="s">
        <v>3399</v>
      </c>
      <c r="E90" s="2">
        <v>45670</v>
      </c>
      <c r="F90" s="3"/>
      <c r="G90">
        <v>109000</v>
      </c>
      <c r="H90">
        <v>46000</v>
      </c>
      <c r="I90">
        <v>40</v>
      </c>
      <c r="J90">
        <v>22</v>
      </c>
      <c r="K90">
        <v>94</v>
      </c>
      <c r="L90" t="s">
        <v>550</v>
      </c>
      <c r="N90" t="s">
        <v>55</v>
      </c>
      <c r="P90" t="s">
        <v>54</v>
      </c>
      <c r="R90" t="s">
        <v>55</v>
      </c>
      <c r="V90" t="s">
        <v>55</v>
      </c>
      <c r="X90" t="s">
        <v>54</v>
      </c>
      <c r="Z90" t="s">
        <v>55</v>
      </c>
      <c r="AB90" t="s">
        <v>55</v>
      </c>
      <c r="AD90" t="s">
        <v>55</v>
      </c>
      <c r="AF90" t="s">
        <v>55</v>
      </c>
      <c r="AH90" t="s">
        <v>54</v>
      </c>
      <c r="AI90">
        <v>81</v>
      </c>
      <c r="AJ90" t="s">
        <v>3138</v>
      </c>
      <c r="AK90" s="4">
        <v>45670.6369675926</v>
      </c>
      <c r="AQ90" t="s">
        <v>1630</v>
      </c>
    </row>
    <row r="91" ht="25.5" customHeight="1" spans="1:43">
      <c r="A91" t="s">
        <v>2378</v>
      </c>
      <c r="B91" t="s">
        <v>1816</v>
      </c>
      <c r="D91" t="s">
        <v>3477</v>
      </c>
      <c r="E91" s="2">
        <v>45670</v>
      </c>
      <c r="F91" s="3"/>
      <c r="G91">
        <v>211200</v>
      </c>
      <c r="H91">
        <v>49600</v>
      </c>
      <c r="I91">
        <v>21</v>
      </c>
      <c r="J91">
        <v>12</v>
      </c>
      <c r="K91">
        <v>131</v>
      </c>
      <c r="L91" t="s">
        <v>4543</v>
      </c>
      <c r="N91" t="s">
        <v>55</v>
      </c>
      <c r="P91" t="s">
        <v>54</v>
      </c>
      <c r="R91" t="s">
        <v>55</v>
      </c>
      <c r="V91" t="s">
        <v>55</v>
      </c>
      <c r="X91" t="s">
        <v>54</v>
      </c>
      <c r="Z91" t="s">
        <v>55</v>
      </c>
      <c r="AB91" t="s">
        <v>55</v>
      </c>
      <c r="AD91" t="s">
        <v>55</v>
      </c>
      <c r="AF91" t="s">
        <v>55</v>
      </c>
      <c r="AH91" t="s">
        <v>54</v>
      </c>
      <c r="AI91">
        <v>208</v>
      </c>
      <c r="AJ91" t="s">
        <v>3138</v>
      </c>
      <c r="AK91" s="4">
        <v>45670.6369791667</v>
      </c>
      <c r="AQ91" t="s">
        <v>1630</v>
      </c>
    </row>
    <row r="92" ht="25.5" customHeight="1" spans="1:43">
      <c r="A92" t="s">
        <v>2523</v>
      </c>
      <c r="B92" t="s">
        <v>1816</v>
      </c>
      <c r="D92" t="s">
        <v>3515</v>
      </c>
      <c r="E92" s="2">
        <v>45670</v>
      </c>
      <c r="F92" s="3"/>
      <c r="G92">
        <v>22300</v>
      </c>
      <c r="H92">
        <v>177800</v>
      </c>
      <c r="I92">
        <v>4</v>
      </c>
      <c r="J92">
        <v>9</v>
      </c>
      <c r="K92">
        <v>31</v>
      </c>
      <c r="L92" t="s">
        <v>55</v>
      </c>
      <c r="N92" t="s">
        <v>55</v>
      </c>
      <c r="P92" t="s">
        <v>54</v>
      </c>
      <c r="R92" t="s">
        <v>55</v>
      </c>
      <c r="V92" t="s">
        <v>55</v>
      </c>
      <c r="X92" t="s">
        <v>54</v>
      </c>
      <c r="Z92" t="s">
        <v>55</v>
      </c>
      <c r="AB92" t="s">
        <v>55</v>
      </c>
      <c r="AD92" t="s">
        <v>55</v>
      </c>
      <c r="AF92" t="s">
        <v>55</v>
      </c>
      <c r="AH92" t="s">
        <v>54</v>
      </c>
      <c r="AI92">
        <v>51</v>
      </c>
      <c r="AJ92" t="s">
        <v>3138</v>
      </c>
      <c r="AK92" s="4">
        <v>45670.6370023148</v>
      </c>
      <c r="AQ92" t="s">
        <v>1630</v>
      </c>
    </row>
    <row r="93" ht="25.5" customHeight="1" spans="1:43">
      <c r="A93" t="s">
        <v>2152</v>
      </c>
      <c r="B93" t="s">
        <v>1816</v>
      </c>
      <c r="D93" t="s">
        <v>3718</v>
      </c>
      <c r="E93" s="2">
        <v>45670</v>
      </c>
      <c r="F93" s="3"/>
      <c r="G93">
        <v>382400</v>
      </c>
      <c r="H93">
        <v>69700</v>
      </c>
      <c r="I93">
        <v>35</v>
      </c>
      <c r="J93">
        <v>44</v>
      </c>
      <c r="K93">
        <v>200</v>
      </c>
      <c r="L93" t="s">
        <v>2154</v>
      </c>
      <c r="N93" t="s">
        <v>55</v>
      </c>
      <c r="P93" t="s">
        <v>54</v>
      </c>
      <c r="R93" t="s">
        <v>55</v>
      </c>
      <c r="V93" t="s">
        <v>55</v>
      </c>
      <c r="X93" t="s">
        <v>54</v>
      </c>
      <c r="Z93" t="s">
        <v>55</v>
      </c>
      <c r="AB93" t="s">
        <v>55</v>
      </c>
      <c r="AD93" t="s">
        <v>55</v>
      </c>
      <c r="AF93" t="s">
        <v>55</v>
      </c>
      <c r="AH93" t="s">
        <v>54</v>
      </c>
      <c r="AI93">
        <v>385</v>
      </c>
      <c r="AJ93" t="s">
        <v>3138</v>
      </c>
      <c r="AK93" s="4">
        <v>45670.6370138889</v>
      </c>
      <c r="AQ93" t="s">
        <v>1630</v>
      </c>
    </row>
    <row r="94" ht="25.5" customHeight="1" spans="1:43">
      <c r="A94" t="s">
        <v>1814</v>
      </c>
      <c r="B94" t="s">
        <v>1816</v>
      </c>
      <c r="D94" t="s">
        <v>3727</v>
      </c>
      <c r="E94" s="2">
        <v>45670</v>
      </c>
      <c r="F94" s="3"/>
      <c r="G94">
        <v>165000</v>
      </c>
      <c r="H94">
        <v>1300000</v>
      </c>
      <c r="I94">
        <v>10</v>
      </c>
      <c r="J94">
        <v>104</v>
      </c>
      <c r="K94">
        <v>900</v>
      </c>
      <c r="L94" t="s">
        <v>1818</v>
      </c>
      <c r="N94" t="s">
        <v>55</v>
      </c>
      <c r="P94" t="s">
        <v>54</v>
      </c>
      <c r="R94" t="s">
        <v>55</v>
      </c>
      <c r="V94" t="s">
        <v>55</v>
      </c>
      <c r="X94" t="s">
        <v>54</v>
      </c>
      <c r="Z94" t="s">
        <v>55</v>
      </c>
      <c r="AB94" t="s">
        <v>55</v>
      </c>
      <c r="AD94" t="s">
        <v>55</v>
      </c>
      <c r="AF94" t="s">
        <v>55</v>
      </c>
      <c r="AH94" t="s">
        <v>54</v>
      </c>
      <c r="AI94">
        <v>1600</v>
      </c>
      <c r="AJ94" t="s">
        <v>3331</v>
      </c>
      <c r="AK94" s="4">
        <v>45670.637025463</v>
      </c>
      <c r="AQ94" t="s">
        <v>1630</v>
      </c>
    </row>
    <row r="95" ht="25.5" customHeight="1" spans="1:43">
      <c r="A95" t="s">
        <v>2466</v>
      </c>
      <c r="B95" t="s">
        <v>1816</v>
      </c>
      <c r="D95" t="s">
        <v>3760</v>
      </c>
      <c r="E95" s="2">
        <v>45670</v>
      </c>
      <c r="F95" s="3"/>
      <c r="G95">
        <v>155200</v>
      </c>
      <c r="H95">
        <v>19100</v>
      </c>
      <c r="I95">
        <v>25</v>
      </c>
      <c r="J95">
        <v>13</v>
      </c>
      <c r="K95">
        <v>69</v>
      </c>
      <c r="L95" t="s">
        <v>4560</v>
      </c>
      <c r="N95" t="s">
        <v>55</v>
      </c>
      <c r="P95" t="s">
        <v>54</v>
      </c>
      <c r="R95" t="s">
        <v>55</v>
      </c>
      <c r="V95" t="s">
        <v>55</v>
      </c>
      <c r="X95" t="s">
        <v>54</v>
      </c>
      <c r="Z95" t="s">
        <v>55</v>
      </c>
      <c r="AB95" t="s">
        <v>55</v>
      </c>
      <c r="AD95" t="s">
        <v>55</v>
      </c>
      <c r="AF95" t="s">
        <v>55</v>
      </c>
      <c r="AH95" t="s">
        <v>54</v>
      </c>
      <c r="AI95">
        <v>92</v>
      </c>
      <c r="AJ95" t="s">
        <v>3138</v>
      </c>
      <c r="AK95" s="4">
        <v>45670.637037037</v>
      </c>
      <c r="AQ95" t="s">
        <v>1630</v>
      </c>
    </row>
    <row r="96" ht="25.5" customHeight="1" spans="1:43">
      <c r="A96" t="s">
        <v>2237</v>
      </c>
      <c r="B96" t="s">
        <v>1816</v>
      </c>
      <c r="D96" t="s">
        <v>3922</v>
      </c>
      <c r="E96" s="2">
        <v>45670</v>
      </c>
      <c r="F96" s="3"/>
      <c r="G96">
        <v>107000</v>
      </c>
      <c r="H96">
        <v>37600</v>
      </c>
      <c r="I96">
        <v>12</v>
      </c>
      <c r="J96">
        <v>14</v>
      </c>
      <c r="K96">
        <v>61</v>
      </c>
      <c r="L96" t="s">
        <v>2238</v>
      </c>
      <c r="N96" t="s">
        <v>55</v>
      </c>
      <c r="P96" t="s">
        <v>54</v>
      </c>
      <c r="R96" t="s">
        <v>55</v>
      </c>
      <c r="V96" t="s">
        <v>55</v>
      </c>
      <c r="X96" t="s">
        <v>54</v>
      </c>
      <c r="Z96" t="s">
        <v>55</v>
      </c>
      <c r="AB96" t="s">
        <v>55</v>
      </c>
      <c r="AD96" t="s">
        <v>55</v>
      </c>
      <c r="AF96" t="s">
        <v>55</v>
      </c>
      <c r="AH96" t="s">
        <v>54</v>
      </c>
      <c r="AI96">
        <v>78</v>
      </c>
      <c r="AJ96" t="s">
        <v>3138</v>
      </c>
      <c r="AK96" s="4">
        <v>45670.6370486111</v>
      </c>
      <c r="AQ96" t="s">
        <v>1630</v>
      </c>
    </row>
    <row r="97" ht="25.5" customHeight="1" spans="1:43">
      <c r="A97" t="s">
        <v>2267</v>
      </c>
      <c r="B97" t="s">
        <v>1816</v>
      </c>
      <c r="C97" t="s">
        <v>54</v>
      </c>
      <c r="D97" t="s">
        <v>3943</v>
      </c>
      <c r="E97" s="2">
        <v>45670</v>
      </c>
      <c r="F97" s="3"/>
      <c r="G97">
        <v>159600</v>
      </c>
      <c r="H97">
        <v>1767</v>
      </c>
      <c r="I97">
        <v>0</v>
      </c>
      <c r="J97">
        <v>0</v>
      </c>
      <c r="K97">
        <v>6</v>
      </c>
      <c r="L97" t="s">
        <v>4561</v>
      </c>
      <c r="N97" t="s">
        <v>55</v>
      </c>
      <c r="P97" t="s">
        <v>54</v>
      </c>
      <c r="R97" t="s">
        <v>55</v>
      </c>
      <c r="V97" t="s">
        <v>55</v>
      </c>
      <c r="X97" t="s">
        <v>54</v>
      </c>
      <c r="Z97" t="s">
        <v>55</v>
      </c>
      <c r="AB97" t="s">
        <v>55</v>
      </c>
      <c r="AD97" t="s">
        <v>55</v>
      </c>
      <c r="AF97" t="s">
        <v>55</v>
      </c>
      <c r="AH97" t="s">
        <v>54</v>
      </c>
      <c r="AI97">
        <v>6</v>
      </c>
      <c r="AJ97" t="s">
        <v>3138</v>
      </c>
      <c r="AK97" s="4">
        <v>45670.6370717593</v>
      </c>
      <c r="AQ97" t="s">
        <v>1630</v>
      </c>
    </row>
    <row r="98" ht="25.5" customHeight="1" spans="1:43">
      <c r="A98" t="s">
        <v>2517</v>
      </c>
      <c r="B98" t="s">
        <v>1816</v>
      </c>
      <c r="D98" t="s">
        <v>3946</v>
      </c>
      <c r="E98" s="2">
        <v>45670</v>
      </c>
      <c r="F98" s="3"/>
      <c r="G98">
        <v>364700</v>
      </c>
      <c r="H98">
        <v>30400</v>
      </c>
      <c r="I98">
        <v>58</v>
      </c>
      <c r="J98">
        <v>11</v>
      </c>
      <c r="K98">
        <v>108</v>
      </c>
      <c r="L98" t="s">
        <v>2518</v>
      </c>
      <c r="N98" t="s">
        <v>55</v>
      </c>
      <c r="P98" t="s">
        <v>54</v>
      </c>
      <c r="R98" t="s">
        <v>55</v>
      </c>
      <c r="V98" t="s">
        <v>55</v>
      </c>
      <c r="X98" t="s">
        <v>54</v>
      </c>
      <c r="Z98" t="s">
        <v>55</v>
      </c>
      <c r="AB98" t="s">
        <v>55</v>
      </c>
      <c r="AD98" t="s">
        <v>55</v>
      </c>
      <c r="AF98" t="s">
        <v>55</v>
      </c>
      <c r="AH98" t="s">
        <v>54</v>
      </c>
      <c r="AI98">
        <v>60</v>
      </c>
      <c r="AJ98" t="s">
        <v>3138</v>
      </c>
      <c r="AK98" s="4">
        <v>45670.6370833333</v>
      </c>
      <c r="AQ98" t="s">
        <v>1630</v>
      </c>
    </row>
    <row r="99" ht="25.5" customHeight="1" spans="1:43">
      <c r="A99" t="s">
        <v>2470</v>
      </c>
      <c r="B99" t="s">
        <v>1816</v>
      </c>
      <c r="D99" t="s">
        <v>3983</v>
      </c>
      <c r="E99" s="2">
        <v>45670</v>
      </c>
      <c r="F99" s="3"/>
      <c r="G99">
        <v>31800</v>
      </c>
      <c r="H99">
        <v>23900</v>
      </c>
      <c r="I99">
        <v>42</v>
      </c>
      <c r="J99">
        <v>17</v>
      </c>
      <c r="K99">
        <v>77</v>
      </c>
      <c r="L99" t="s">
        <v>55</v>
      </c>
      <c r="N99" t="s">
        <v>55</v>
      </c>
      <c r="P99" t="s">
        <v>54</v>
      </c>
      <c r="R99" t="s">
        <v>55</v>
      </c>
      <c r="V99" t="s">
        <v>55</v>
      </c>
      <c r="X99" t="s">
        <v>54</v>
      </c>
      <c r="Z99" t="s">
        <v>55</v>
      </c>
      <c r="AB99" t="s">
        <v>55</v>
      </c>
      <c r="AD99" t="s">
        <v>55</v>
      </c>
      <c r="AF99" t="s">
        <v>55</v>
      </c>
      <c r="AH99" t="s">
        <v>54</v>
      </c>
      <c r="AI99">
        <v>82</v>
      </c>
      <c r="AJ99" t="s">
        <v>3138</v>
      </c>
      <c r="AK99" s="4">
        <v>45670.6371180556</v>
      </c>
      <c r="AQ99" t="s">
        <v>1630</v>
      </c>
    </row>
    <row r="100" ht="25.5" customHeight="1" spans="1:43">
      <c r="A100" t="s">
        <v>2803</v>
      </c>
      <c r="B100" t="s">
        <v>1816</v>
      </c>
      <c r="D100" t="s">
        <v>4086</v>
      </c>
      <c r="E100" s="2">
        <v>45670</v>
      </c>
      <c r="F100" s="3"/>
      <c r="G100">
        <v>68100</v>
      </c>
      <c r="H100">
        <v>38100</v>
      </c>
      <c r="I100">
        <v>64</v>
      </c>
      <c r="J100">
        <v>21</v>
      </c>
      <c r="K100">
        <v>122</v>
      </c>
      <c r="L100" t="s">
        <v>55</v>
      </c>
      <c r="N100" t="s">
        <v>55</v>
      </c>
      <c r="P100" t="s">
        <v>54</v>
      </c>
      <c r="R100" t="s">
        <v>55</v>
      </c>
      <c r="V100" t="s">
        <v>55</v>
      </c>
      <c r="X100" t="s">
        <v>54</v>
      </c>
      <c r="Z100" t="s">
        <v>55</v>
      </c>
      <c r="AB100" t="s">
        <v>55</v>
      </c>
      <c r="AD100" t="s">
        <v>55</v>
      </c>
      <c r="AF100" t="s">
        <v>55</v>
      </c>
      <c r="AH100" t="s">
        <v>54</v>
      </c>
      <c r="AI100">
        <v>103</v>
      </c>
      <c r="AJ100" t="s">
        <v>3138</v>
      </c>
      <c r="AK100" s="4">
        <v>45670.6371296296</v>
      </c>
      <c r="AQ100" t="s">
        <v>1630</v>
      </c>
    </row>
    <row r="101" ht="25.5" customHeight="1" spans="1:37">
      <c r="A101" t="s">
        <v>4542</v>
      </c>
      <c r="B101" t="s">
        <v>1816</v>
      </c>
      <c r="E101" s="2">
        <v>45670</v>
      </c>
      <c r="F101" s="3"/>
      <c r="G101">
        <v>2623</v>
      </c>
      <c r="H101">
        <v>54500</v>
      </c>
      <c r="I101">
        <v>10</v>
      </c>
      <c r="J101">
        <v>22</v>
      </c>
      <c r="K101">
        <v>137</v>
      </c>
      <c r="L101" t="s">
        <v>55</v>
      </c>
      <c r="N101" t="s">
        <v>55</v>
      </c>
      <c r="P101" t="s">
        <v>54</v>
      </c>
      <c r="R101" t="s">
        <v>55</v>
      </c>
      <c r="V101" t="s">
        <v>55</v>
      </c>
      <c r="X101" t="s">
        <v>54</v>
      </c>
      <c r="Z101" t="s">
        <v>55</v>
      </c>
      <c r="AB101" t="s">
        <v>55</v>
      </c>
      <c r="AD101" t="s">
        <v>55</v>
      </c>
      <c r="AF101" t="s">
        <v>55</v>
      </c>
      <c r="AH101" t="s">
        <v>54</v>
      </c>
      <c r="AI101">
        <v>105</v>
      </c>
      <c r="AJ101" t="s">
        <v>3258</v>
      </c>
      <c r="AK101" s="4">
        <v>45670.6371412037</v>
      </c>
    </row>
    <row r="102" ht="25.5" customHeight="1" spans="1:43">
      <c r="A102" t="s">
        <v>2307</v>
      </c>
      <c r="B102" t="s">
        <v>1816</v>
      </c>
      <c r="D102" t="s">
        <v>4157</v>
      </c>
      <c r="E102" s="2">
        <v>45670</v>
      </c>
      <c r="F102" s="3"/>
      <c r="G102">
        <v>68000</v>
      </c>
      <c r="H102">
        <v>102000</v>
      </c>
      <c r="I102">
        <v>46</v>
      </c>
      <c r="J102">
        <v>72</v>
      </c>
      <c r="K102">
        <v>317</v>
      </c>
      <c r="L102" t="s">
        <v>55</v>
      </c>
      <c r="N102" t="s">
        <v>55</v>
      </c>
      <c r="P102" t="s">
        <v>54</v>
      </c>
      <c r="R102" t="s">
        <v>55</v>
      </c>
      <c r="V102" t="s">
        <v>55</v>
      </c>
      <c r="X102" t="s">
        <v>54</v>
      </c>
      <c r="Z102" t="s">
        <v>55</v>
      </c>
      <c r="AB102" t="s">
        <v>55</v>
      </c>
      <c r="AD102" t="s">
        <v>55</v>
      </c>
      <c r="AF102" t="s">
        <v>55</v>
      </c>
      <c r="AH102" t="s">
        <v>54</v>
      </c>
      <c r="AI102">
        <v>645</v>
      </c>
      <c r="AJ102" t="s">
        <v>3331</v>
      </c>
      <c r="AK102" s="4">
        <v>45670.6371759259</v>
      </c>
      <c r="AQ102" t="s">
        <v>1630</v>
      </c>
    </row>
    <row r="103" ht="25.5" customHeight="1" spans="1:43">
      <c r="A103" t="s">
        <v>2553</v>
      </c>
      <c r="B103" t="s">
        <v>1816</v>
      </c>
      <c r="D103" t="s">
        <v>4277</v>
      </c>
      <c r="E103" s="2">
        <v>45670</v>
      </c>
      <c r="F103" s="3"/>
      <c r="G103">
        <v>295000</v>
      </c>
      <c r="H103">
        <v>73900</v>
      </c>
      <c r="I103">
        <v>18</v>
      </c>
      <c r="J103">
        <v>37</v>
      </c>
      <c r="K103">
        <v>176</v>
      </c>
      <c r="L103" t="s">
        <v>2194</v>
      </c>
      <c r="N103" t="s">
        <v>55</v>
      </c>
      <c r="P103" t="s">
        <v>54</v>
      </c>
      <c r="R103" t="s">
        <v>55</v>
      </c>
      <c r="V103" t="s">
        <v>55</v>
      </c>
      <c r="X103" t="s">
        <v>54</v>
      </c>
      <c r="Z103" t="s">
        <v>55</v>
      </c>
      <c r="AB103" t="s">
        <v>55</v>
      </c>
      <c r="AD103" t="s">
        <v>55</v>
      </c>
      <c r="AF103" t="s">
        <v>55</v>
      </c>
      <c r="AH103" t="s">
        <v>54</v>
      </c>
      <c r="AI103">
        <v>234</v>
      </c>
      <c r="AJ103" t="s">
        <v>3138</v>
      </c>
      <c r="AK103" s="4">
        <v>45670.6371875</v>
      </c>
      <c r="AQ103" t="s">
        <v>1630</v>
      </c>
    </row>
    <row r="104" ht="25.5" customHeight="1" spans="1:43">
      <c r="A104" t="s">
        <v>2095</v>
      </c>
      <c r="B104" t="s">
        <v>1816</v>
      </c>
      <c r="C104" t="s">
        <v>54</v>
      </c>
      <c r="D104" t="s">
        <v>4327</v>
      </c>
      <c r="E104" s="2">
        <v>45670</v>
      </c>
      <c r="F104" s="3"/>
      <c r="G104">
        <v>145000</v>
      </c>
      <c r="H104">
        <v>2124</v>
      </c>
      <c r="I104">
        <v>2</v>
      </c>
      <c r="J104">
        <v>2</v>
      </c>
      <c r="K104">
        <v>10</v>
      </c>
      <c r="L104" t="s">
        <v>449</v>
      </c>
      <c r="N104" t="s">
        <v>55</v>
      </c>
      <c r="P104" t="s">
        <v>54</v>
      </c>
      <c r="R104" t="s">
        <v>55</v>
      </c>
      <c r="V104" t="s">
        <v>55</v>
      </c>
      <c r="X104" t="s">
        <v>54</v>
      </c>
      <c r="Z104" t="s">
        <v>55</v>
      </c>
      <c r="AB104" t="s">
        <v>55</v>
      </c>
      <c r="AD104" t="s">
        <v>55</v>
      </c>
      <c r="AF104" t="s">
        <v>55</v>
      </c>
      <c r="AH104" t="s">
        <v>54</v>
      </c>
      <c r="AI104">
        <v>3</v>
      </c>
      <c r="AJ104" t="s">
        <v>3138</v>
      </c>
      <c r="AK104" s="4">
        <v>45670.6372106482</v>
      </c>
      <c r="AQ104" t="s">
        <v>1630</v>
      </c>
    </row>
    <row r="105" ht="25.5" customHeight="1" spans="1:43">
      <c r="A105" t="s">
        <v>2417</v>
      </c>
      <c r="B105" t="s">
        <v>1816</v>
      </c>
      <c r="D105" t="s">
        <v>4515</v>
      </c>
      <c r="E105" s="2">
        <v>45670</v>
      </c>
      <c r="F105" s="3"/>
      <c r="G105">
        <v>36200</v>
      </c>
      <c r="H105">
        <v>50500</v>
      </c>
      <c r="I105">
        <v>58</v>
      </c>
      <c r="J105">
        <v>40</v>
      </c>
      <c r="K105">
        <v>123</v>
      </c>
      <c r="L105" t="s">
        <v>55</v>
      </c>
      <c r="N105" t="s">
        <v>55</v>
      </c>
      <c r="P105" t="s">
        <v>54</v>
      </c>
      <c r="R105" t="s">
        <v>55</v>
      </c>
      <c r="V105" t="s">
        <v>55</v>
      </c>
      <c r="X105" t="s">
        <v>54</v>
      </c>
      <c r="Z105" t="s">
        <v>55</v>
      </c>
      <c r="AB105" t="s">
        <v>55</v>
      </c>
      <c r="AD105" t="s">
        <v>55</v>
      </c>
      <c r="AF105" t="s">
        <v>55</v>
      </c>
      <c r="AH105" t="s">
        <v>54</v>
      </c>
      <c r="AI105">
        <v>97</v>
      </c>
      <c r="AJ105" t="s">
        <v>3331</v>
      </c>
      <c r="AK105" s="4">
        <v>45670.6372222222</v>
      </c>
      <c r="AQ105" t="s">
        <v>1630</v>
      </c>
    </row>
    <row r="106" ht="25.5" customHeight="1" spans="1:43">
      <c r="A106" t="s">
        <v>2326</v>
      </c>
      <c r="B106" t="s">
        <v>65</v>
      </c>
      <c r="D106" t="s">
        <v>4562</v>
      </c>
      <c r="E106" s="2">
        <v>45670</v>
      </c>
      <c r="F106" s="3"/>
      <c r="N106" t="s">
        <v>55</v>
      </c>
      <c r="P106" t="s">
        <v>54</v>
      </c>
      <c r="R106" t="s">
        <v>55</v>
      </c>
      <c r="V106" t="s">
        <v>55</v>
      </c>
      <c r="X106" t="s">
        <v>54</v>
      </c>
      <c r="Z106" t="s">
        <v>55</v>
      </c>
      <c r="AB106" t="s">
        <v>55</v>
      </c>
      <c r="AD106" t="s">
        <v>55</v>
      </c>
      <c r="AF106" t="s">
        <v>55</v>
      </c>
      <c r="AH106" t="s">
        <v>54</v>
      </c>
      <c r="AK106" s="4">
        <v>45670.6549305556</v>
      </c>
      <c r="AQ106" t="s">
        <v>1630</v>
      </c>
    </row>
    <row r="107" ht="25.5" customHeight="1" spans="1:43">
      <c r="A107" t="s">
        <v>2047</v>
      </c>
      <c r="B107" t="s">
        <v>65</v>
      </c>
      <c r="D107" t="s">
        <v>3137</v>
      </c>
      <c r="E107" s="2">
        <v>45670</v>
      </c>
      <c r="F107" s="3"/>
      <c r="N107" t="s">
        <v>55</v>
      </c>
      <c r="P107" t="s">
        <v>54</v>
      </c>
      <c r="R107" t="s">
        <v>55</v>
      </c>
      <c r="V107" t="s">
        <v>55</v>
      </c>
      <c r="X107" t="s">
        <v>54</v>
      </c>
      <c r="Z107" t="s">
        <v>55</v>
      </c>
      <c r="AB107" t="s">
        <v>55</v>
      </c>
      <c r="AD107" t="s">
        <v>55</v>
      </c>
      <c r="AF107" t="s">
        <v>55</v>
      </c>
      <c r="AH107" t="s">
        <v>54</v>
      </c>
      <c r="AK107" s="4">
        <v>45670.6555671296</v>
      </c>
      <c r="AQ107" t="s">
        <v>1630</v>
      </c>
    </row>
    <row r="108" ht="25.5" customHeight="1" spans="1:43">
      <c r="A108" t="s">
        <v>81</v>
      </c>
      <c r="B108" t="s">
        <v>65</v>
      </c>
      <c r="D108" t="s">
        <v>3408</v>
      </c>
      <c r="E108" s="2">
        <v>45670</v>
      </c>
      <c r="F108" s="3"/>
      <c r="N108" t="s">
        <v>55</v>
      </c>
      <c r="P108" t="s">
        <v>54</v>
      </c>
      <c r="R108" t="s">
        <v>55</v>
      </c>
      <c r="V108" t="s">
        <v>55</v>
      </c>
      <c r="X108" t="s">
        <v>54</v>
      </c>
      <c r="Z108" t="s">
        <v>55</v>
      </c>
      <c r="AB108" t="s">
        <v>55</v>
      </c>
      <c r="AD108" t="s">
        <v>55</v>
      </c>
      <c r="AF108" t="s">
        <v>55</v>
      </c>
      <c r="AH108" t="s">
        <v>54</v>
      </c>
      <c r="AK108" s="4">
        <v>45670.6556828704</v>
      </c>
      <c r="AQ108" t="s">
        <v>1630</v>
      </c>
    </row>
    <row r="109" ht="25.5" customHeight="1" spans="1:43">
      <c r="A109" t="s">
        <v>2694</v>
      </c>
      <c r="B109" t="s">
        <v>65</v>
      </c>
      <c r="D109" t="s">
        <v>3570</v>
      </c>
      <c r="E109" s="2">
        <v>45670</v>
      </c>
      <c r="F109" s="3"/>
      <c r="N109" t="s">
        <v>55</v>
      </c>
      <c r="P109" t="s">
        <v>54</v>
      </c>
      <c r="R109" t="s">
        <v>55</v>
      </c>
      <c r="V109" t="s">
        <v>55</v>
      </c>
      <c r="X109" t="s">
        <v>54</v>
      </c>
      <c r="Z109" t="s">
        <v>55</v>
      </c>
      <c r="AB109" t="s">
        <v>55</v>
      </c>
      <c r="AD109" t="s">
        <v>55</v>
      </c>
      <c r="AF109" t="s">
        <v>55</v>
      </c>
      <c r="AH109" t="s">
        <v>54</v>
      </c>
      <c r="AK109" s="4">
        <v>45670.6557060185</v>
      </c>
      <c r="AQ109" t="s">
        <v>1630</v>
      </c>
    </row>
    <row r="110" ht="25.5" customHeight="1" spans="1:43">
      <c r="A110" t="s">
        <v>1624</v>
      </c>
      <c r="B110" t="s">
        <v>65</v>
      </c>
      <c r="D110" t="s">
        <v>3640</v>
      </c>
      <c r="E110" s="2">
        <v>45670</v>
      </c>
      <c r="F110" s="3"/>
      <c r="N110" t="s">
        <v>55</v>
      </c>
      <c r="P110" t="s">
        <v>54</v>
      </c>
      <c r="R110" t="s">
        <v>55</v>
      </c>
      <c r="V110" t="s">
        <v>55</v>
      </c>
      <c r="X110" t="s">
        <v>54</v>
      </c>
      <c r="Z110" t="s">
        <v>55</v>
      </c>
      <c r="AB110" t="s">
        <v>55</v>
      </c>
      <c r="AD110" t="s">
        <v>55</v>
      </c>
      <c r="AF110" t="s">
        <v>55</v>
      </c>
      <c r="AH110" t="s">
        <v>54</v>
      </c>
      <c r="AK110" s="4">
        <v>45670.6557407407</v>
      </c>
      <c r="AQ110" t="s">
        <v>1630</v>
      </c>
    </row>
    <row r="111" ht="25.5" customHeight="1" spans="1:43">
      <c r="A111" t="s">
        <v>2302</v>
      </c>
      <c r="B111" t="s">
        <v>65</v>
      </c>
      <c r="D111" t="s">
        <v>4362</v>
      </c>
      <c r="E111" s="2">
        <v>45670</v>
      </c>
      <c r="F111" s="3"/>
      <c r="N111" t="s">
        <v>55</v>
      </c>
      <c r="P111" t="s">
        <v>54</v>
      </c>
      <c r="R111" t="s">
        <v>55</v>
      </c>
      <c r="V111" t="s">
        <v>55</v>
      </c>
      <c r="X111" t="s">
        <v>54</v>
      </c>
      <c r="Z111" t="s">
        <v>55</v>
      </c>
      <c r="AB111" t="s">
        <v>55</v>
      </c>
      <c r="AD111" t="s">
        <v>55</v>
      </c>
      <c r="AF111" t="s">
        <v>55</v>
      </c>
      <c r="AH111" t="s">
        <v>54</v>
      </c>
      <c r="AK111" s="4">
        <v>45670.6558796296</v>
      </c>
      <c r="AQ111" t="s">
        <v>1630</v>
      </c>
    </row>
    <row r="112" ht="25.5" customHeight="1" spans="1:43">
      <c r="A112" t="s">
        <v>2609</v>
      </c>
      <c r="B112" t="s">
        <v>65</v>
      </c>
      <c r="D112" t="s">
        <v>4426</v>
      </c>
      <c r="E112" s="2">
        <v>45670</v>
      </c>
      <c r="F112" s="3"/>
      <c r="N112" t="s">
        <v>55</v>
      </c>
      <c r="P112" t="s">
        <v>54</v>
      </c>
      <c r="R112" t="s">
        <v>55</v>
      </c>
      <c r="V112" t="s">
        <v>55</v>
      </c>
      <c r="X112" t="s">
        <v>54</v>
      </c>
      <c r="Z112" t="s">
        <v>55</v>
      </c>
      <c r="AB112" t="s">
        <v>55</v>
      </c>
      <c r="AD112" t="s">
        <v>55</v>
      </c>
      <c r="AF112" t="s">
        <v>55</v>
      </c>
      <c r="AH112" t="s">
        <v>54</v>
      </c>
      <c r="AK112" s="4">
        <v>45670.6559490741</v>
      </c>
      <c r="AQ112" t="s">
        <v>1630</v>
      </c>
    </row>
    <row r="113" ht="25.5" customHeight="1" spans="1:43">
      <c r="A113" t="s">
        <v>3047</v>
      </c>
      <c r="B113" t="s">
        <v>65</v>
      </c>
      <c r="D113" t="s">
        <v>4431</v>
      </c>
      <c r="E113" s="2">
        <v>45670</v>
      </c>
      <c r="F113" s="3"/>
      <c r="N113" t="s">
        <v>55</v>
      </c>
      <c r="P113" t="s">
        <v>54</v>
      </c>
      <c r="R113" t="s">
        <v>55</v>
      </c>
      <c r="V113" t="s">
        <v>55</v>
      </c>
      <c r="X113" t="s">
        <v>54</v>
      </c>
      <c r="Z113" t="s">
        <v>55</v>
      </c>
      <c r="AB113" t="s">
        <v>55</v>
      </c>
      <c r="AD113" t="s">
        <v>55</v>
      </c>
      <c r="AF113" t="s">
        <v>55</v>
      </c>
      <c r="AH113" t="s">
        <v>54</v>
      </c>
      <c r="AK113" s="4">
        <v>45670.6559606481</v>
      </c>
      <c r="AQ113" t="s">
        <v>1630</v>
      </c>
    </row>
    <row r="114" ht="25.5" customHeight="1" spans="1:43">
      <c r="A114" t="s">
        <v>1679</v>
      </c>
      <c r="B114" t="s">
        <v>65</v>
      </c>
      <c r="D114" t="s">
        <v>3438</v>
      </c>
      <c r="E114" s="2">
        <v>45670</v>
      </c>
      <c r="F114" s="3"/>
      <c r="N114" t="s">
        <v>55</v>
      </c>
      <c r="P114" t="s">
        <v>54</v>
      </c>
      <c r="R114" t="s">
        <v>55</v>
      </c>
      <c r="V114" t="s">
        <v>55</v>
      </c>
      <c r="X114" t="s">
        <v>54</v>
      </c>
      <c r="Z114" t="s">
        <v>55</v>
      </c>
      <c r="AB114" t="s">
        <v>55</v>
      </c>
      <c r="AD114" t="s">
        <v>55</v>
      </c>
      <c r="AF114" t="s">
        <v>55</v>
      </c>
      <c r="AH114" t="s">
        <v>54</v>
      </c>
      <c r="AK114" s="4">
        <v>45670.6572222222</v>
      </c>
      <c r="AQ114" t="s">
        <v>1630</v>
      </c>
    </row>
    <row r="115" ht="25.5" customHeight="1" spans="1:43">
      <c r="A115" t="s">
        <v>1823</v>
      </c>
      <c r="B115" t="s">
        <v>65</v>
      </c>
      <c r="D115" t="s">
        <v>3879</v>
      </c>
      <c r="E115" s="2">
        <v>45670</v>
      </c>
      <c r="F115" s="3"/>
      <c r="N115" t="s">
        <v>55</v>
      </c>
      <c r="P115" t="s">
        <v>54</v>
      </c>
      <c r="R115" t="s">
        <v>55</v>
      </c>
      <c r="V115" t="s">
        <v>55</v>
      </c>
      <c r="X115" t="s">
        <v>54</v>
      </c>
      <c r="Z115" t="s">
        <v>55</v>
      </c>
      <c r="AB115" t="s">
        <v>55</v>
      </c>
      <c r="AD115" t="s">
        <v>55</v>
      </c>
      <c r="AF115" t="s">
        <v>55</v>
      </c>
      <c r="AH115" t="s">
        <v>54</v>
      </c>
      <c r="AK115" s="4">
        <v>45670.6575810185</v>
      </c>
      <c r="AQ115" t="s">
        <v>1630</v>
      </c>
    </row>
    <row r="116" ht="25.5" customHeight="1" spans="1:43">
      <c r="A116" t="s">
        <v>3106</v>
      </c>
      <c r="B116" t="s">
        <v>56</v>
      </c>
      <c r="D116" t="s">
        <v>3895</v>
      </c>
      <c r="E116" s="2">
        <v>45670</v>
      </c>
      <c r="F116" s="3"/>
      <c r="N116" t="s">
        <v>55</v>
      </c>
      <c r="P116" t="s">
        <v>54</v>
      </c>
      <c r="R116" t="s">
        <v>55</v>
      </c>
      <c r="V116" t="s">
        <v>55</v>
      </c>
      <c r="X116" t="s">
        <v>54</v>
      </c>
      <c r="Z116" t="s">
        <v>55</v>
      </c>
      <c r="AB116" t="s">
        <v>55</v>
      </c>
      <c r="AD116" t="s">
        <v>55</v>
      </c>
      <c r="AF116" t="s">
        <v>55</v>
      </c>
      <c r="AH116" t="s">
        <v>54</v>
      </c>
      <c r="AK116" s="4">
        <v>45670.6577314815</v>
      </c>
      <c r="AQ116" t="s">
        <v>1630</v>
      </c>
    </row>
    <row r="117" ht="25.5" customHeight="1" spans="1:43">
      <c r="A117" t="s">
        <v>1902</v>
      </c>
      <c r="B117" t="s">
        <v>56</v>
      </c>
      <c r="D117" t="s">
        <v>3988</v>
      </c>
      <c r="E117" s="2">
        <v>45670</v>
      </c>
      <c r="F117" s="3"/>
      <c r="N117" t="s">
        <v>55</v>
      </c>
      <c r="P117" t="s">
        <v>54</v>
      </c>
      <c r="R117" t="s">
        <v>55</v>
      </c>
      <c r="V117" t="s">
        <v>55</v>
      </c>
      <c r="X117" t="s">
        <v>54</v>
      </c>
      <c r="Z117" t="s">
        <v>55</v>
      </c>
      <c r="AB117" t="s">
        <v>55</v>
      </c>
      <c r="AD117" t="s">
        <v>55</v>
      </c>
      <c r="AF117" t="s">
        <v>55</v>
      </c>
      <c r="AH117" t="s">
        <v>54</v>
      </c>
      <c r="AK117" s="4">
        <v>45670.6578009259</v>
      </c>
      <c r="AQ117" t="s">
        <v>1630</v>
      </c>
    </row>
    <row r="118" ht="25.5" customHeight="1" spans="1:37">
      <c r="A118" t="s">
        <v>4563</v>
      </c>
      <c r="B118" t="s">
        <v>56</v>
      </c>
      <c r="E118" s="2">
        <v>45670</v>
      </c>
      <c r="F118" s="3"/>
      <c r="N118" t="s">
        <v>55</v>
      </c>
      <c r="P118" t="s">
        <v>54</v>
      </c>
      <c r="R118" t="s">
        <v>55</v>
      </c>
      <c r="V118" t="s">
        <v>55</v>
      </c>
      <c r="X118" t="s">
        <v>54</v>
      </c>
      <c r="Z118" t="s">
        <v>55</v>
      </c>
      <c r="AB118" t="s">
        <v>55</v>
      </c>
      <c r="AD118" t="s">
        <v>55</v>
      </c>
      <c r="AF118" t="s">
        <v>55</v>
      </c>
      <c r="AH118" t="s">
        <v>54</v>
      </c>
      <c r="AK118" s="4">
        <v>45670.6578356481</v>
      </c>
    </row>
    <row r="119" ht="25.5" customHeight="1" spans="1:43">
      <c r="A119" t="s">
        <v>3069</v>
      </c>
      <c r="B119" t="s">
        <v>65</v>
      </c>
      <c r="D119" t="s">
        <v>4269</v>
      </c>
      <c r="E119" s="2">
        <v>45670</v>
      </c>
      <c r="F119" s="3"/>
      <c r="N119" t="s">
        <v>55</v>
      </c>
      <c r="P119" t="s">
        <v>54</v>
      </c>
      <c r="R119" t="s">
        <v>55</v>
      </c>
      <c r="V119" t="s">
        <v>55</v>
      </c>
      <c r="X119" t="s">
        <v>54</v>
      </c>
      <c r="Z119" t="s">
        <v>55</v>
      </c>
      <c r="AB119" t="s">
        <v>55</v>
      </c>
      <c r="AD119" t="s">
        <v>55</v>
      </c>
      <c r="AF119" t="s">
        <v>55</v>
      </c>
      <c r="AH119" t="s">
        <v>54</v>
      </c>
      <c r="AK119" s="4">
        <v>45670.6578935185</v>
      </c>
      <c r="AQ119" t="s">
        <v>1630</v>
      </c>
    </row>
    <row r="120" ht="25.5" customHeight="1" spans="1:43">
      <c r="A120" t="s">
        <v>3107</v>
      </c>
      <c r="B120" t="s">
        <v>65</v>
      </c>
      <c r="D120" t="s">
        <v>3910</v>
      </c>
      <c r="E120" s="2">
        <v>45670</v>
      </c>
      <c r="F120" s="3"/>
      <c r="N120" t="s">
        <v>55</v>
      </c>
      <c r="P120" t="s">
        <v>54</v>
      </c>
      <c r="R120" t="s">
        <v>55</v>
      </c>
      <c r="V120" t="s">
        <v>55</v>
      </c>
      <c r="X120" t="s">
        <v>54</v>
      </c>
      <c r="Z120" t="s">
        <v>55</v>
      </c>
      <c r="AB120" t="s">
        <v>55</v>
      </c>
      <c r="AD120" t="s">
        <v>55</v>
      </c>
      <c r="AF120" t="s">
        <v>55</v>
      </c>
      <c r="AH120" t="s">
        <v>54</v>
      </c>
      <c r="AK120" s="4">
        <v>45670.6602893519</v>
      </c>
      <c r="AQ120" t="s">
        <v>1630</v>
      </c>
    </row>
    <row r="121" ht="25.5" customHeight="1" spans="1:43">
      <c r="A121" t="s">
        <v>3109</v>
      </c>
      <c r="B121" t="s">
        <v>65</v>
      </c>
      <c r="D121" t="s">
        <v>4564</v>
      </c>
      <c r="E121" s="2">
        <v>45670</v>
      </c>
      <c r="F121" s="3"/>
      <c r="N121" t="s">
        <v>55</v>
      </c>
      <c r="P121" t="s">
        <v>54</v>
      </c>
      <c r="R121" t="s">
        <v>55</v>
      </c>
      <c r="V121" t="s">
        <v>55</v>
      </c>
      <c r="X121" t="s">
        <v>54</v>
      </c>
      <c r="Z121" t="s">
        <v>55</v>
      </c>
      <c r="AB121" t="s">
        <v>55</v>
      </c>
      <c r="AD121" t="s">
        <v>55</v>
      </c>
      <c r="AF121" t="s">
        <v>55</v>
      </c>
      <c r="AH121" t="s">
        <v>54</v>
      </c>
      <c r="AK121" s="4">
        <v>45670.6609606482</v>
      </c>
      <c r="AQ121" t="s">
        <v>1630</v>
      </c>
    </row>
    <row r="122" ht="25.5" customHeight="1" spans="1:43">
      <c r="A122" t="s">
        <v>3108</v>
      </c>
      <c r="B122" t="s">
        <v>65</v>
      </c>
      <c r="D122" t="s">
        <v>3985</v>
      </c>
      <c r="E122" s="2">
        <v>45670</v>
      </c>
      <c r="F122" s="3"/>
      <c r="N122" t="s">
        <v>55</v>
      </c>
      <c r="P122" t="s">
        <v>54</v>
      </c>
      <c r="R122" t="s">
        <v>55</v>
      </c>
      <c r="V122" t="s">
        <v>55</v>
      </c>
      <c r="X122" t="s">
        <v>54</v>
      </c>
      <c r="Z122" t="s">
        <v>55</v>
      </c>
      <c r="AB122" t="s">
        <v>55</v>
      </c>
      <c r="AD122" t="s">
        <v>55</v>
      </c>
      <c r="AF122" t="s">
        <v>55</v>
      </c>
      <c r="AH122" t="s">
        <v>54</v>
      </c>
      <c r="AK122" s="4">
        <v>45670.6609953704</v>
      </c>
      <c r="AQ122" t="s">
        <v>1630</v>
      </c>
    </row>
    <row r="123" ht="25.5" customHeight="1" spans="1:43">
      <c r="A123" t="s">
        <v>3110</v>
      </c>
      <c r="B123" t="s">
        <v>65</v>
      </c>
      <c r="D123" t="s">
        <v>4003</v>
      </c>
      <c r="E123" s="2">
        <v>45670</v>
      </c>
      <c r="F123" s="3"/>
      <c r="N123" t="s">
        <v>55</v>
      </c>
      <c r="P123" t="s">
        <v>54</v>
      </c>
      <c r="R123" t="s">
        <v>55</v>
      </c>
      <c r="V123" t="s">
        <v>55</v>
      </c>
      <c r="X123" t="s">
        <v>54</v>
      </c>
      <c r="Z123" t="s">
        <v>55</v>
      </c>
      <c r="AB123" t="s">
        <v>55</v>
      </c>
      <c r="AD123" t="s">
        <v>55</v>
      </c>
      <c r="AF123" t="s">
        <v>55</v>
      </c>
      <c r="AH123" t="s">
        <v>54</v>
      </c>
      <c r="AK123" s="4">
        <v>45670.6611342593</v>
      </c>
      <c r="AQ123" t="s">
        <v>1630</v>
      </c>
    </row>
    <row r="124" ht="25.5" customHeight="1" spans="1:37">
      <c r="A124" t="s">
        <v>4565</v>
      </c>
      <c r="B124" t="s">
        <v>65</v>
      </c>
      <c r="E124" s="2">
        <v>45670</v>
      </c>
      <c r="F124" s="3"/>
      <c r="N124" t="s">
        <v>55</v>
      </c>
      <c r="P124" t="s">
        <v>54</v>
      </c>
      <c r="R124" t="s">
        <v>55</v>
      </c>
      <c r="V124" t="s">
        <v>55</v>
      </c>
      <c r="X124" t="s">
        <v>54</v>
      </c>
      <c r="Z124" t="s">
        <v>55</v>
      </c>
      <c r="AB124" t="s">
        <v>55</v>
      </c>
      <c r="AD124" t="s">
        <v>55</v>
      </c>
      <c r="AF124" t="s">
        <v>55</v>
      </c>
      <c r="AH124" t="s">
        <v>54</v>
      </c>
      <c r="AK124" s="4">
        <v>45670.6611689815</v>
      </c>
    </row>
    <row r="125" ht="25.5" customHeight="1" spans="1:43">
      <c r="A125" t="s">
        <v>3111</v>
      </c>
      <c r="B125" t="s">
        <v>65</v>
      </c>
      <c r="D125" t="s">
        <v>4448</v>
      </c>
      <c r="E125" s="2">
        <v>45670</v>
      </c>
      <c r="F125" s="3"/>
      <c r="N125" t="s">
        <v>55</v>
      </c>
      <c r="P125" t="s">
        <v>54</v>
      </c>
      <c r="R125" t="s">
        <v>55</v>
      </c>
      <c r="V125" t="s">
        <v>55</v>
      </c>
      <c r="X125" t="s">
        <v>54</v>
      </c>
      <c r="Z125" t="s">
        <v>55</v>
      </c>
      <c r="AB125" t="s">
        <v>55</v>
      </c>
      <c r="AD125" t="s">
        <v>55</v>
      </c>
      <c r="AF125" t="s">
        <v>55</v>
      </c>
      <c r="AH125" t="s">
        <v>54</v>
      </c>
      <c r="AK125" s="4">
        <v>45670.6611921296</v>
      </c>
      <c r="AQ125" t="s">
        <v>1630</v>
      </c>
    </row>
    <row r="126" ht="25.5" customHeight="1" spans="2:43">
      <c r="B126" t="s">
        <v>65</v>
      </c>
      <c r="D126" t="s">
        <v>4522</v>
      </c>
      <c r="E126" s="2">
        <v>45670</v>
      </c>
      <c r="F126" s="3"/>
      <c r="N126" t="s">
        <v>55</v>
      </c>
      <c r="P126" t="s">
        <v>54</v>
      </c>
      <c r="R126" t="s">
        <v>55</v>
      </c>
      <c r="V126" t="s">
        <v>55</v>
      </c>
      <c r="X126" t="s">
        <v>54</v>
      </c>
      <c r="Z126" t="s">
        <v>55</v>
      </c>
      <c r="AB126" t="s">
        <v>55</v>
      </c>
      <c r="AD126" t="s">
        <v>55</v>
      </c>
      <c r="AF126" t="s">
        <v>55</v>
      </c>
      <c r="AH126" t="s">
        <v>54</v>
      </c>
      <c r="AK126" s="4">
        <v>45670.6612037037</v>
      </c>
      <c r="AQ126" t="s">
        <v>4524</v>
      </c>
    </row>
    <row r="127" ht="25.5" customHeight="1" spans="1:43">
      <c r="A127" t="s">
        <v>2653</v>
      </c>
      <c r="B127" t="s">
        <v>56</v>
      </c>
      <c r="D127" t="s">
        <v>3259</v>
      </c>
      <c r="E127" s="2">
        <v>45670</v>
      </c>
      <c r="F127" s="3"/>
      <c r="N127" t="s">
        <v>55</v>
      </c>
      <c r="P127" t="s">
        <v>54</v>
      </c>
      <c r="R127" t="s">
        <v>55</v>
      </c>
      <c r="V127" t="s">
        <v>55</v>
      </c>
      <c r="X127" t="s">
        <v>54</v>
      </c>
      <c r="Z127" t="s">
        <v>55</v>
      </c>
      <c r="AB127" t="s">
        <v>55</v>
      </c>
      <c r="AD127" t="s">
        <v>55</v>
      </c>
      <c r="AF127" t="s">
        <v>55</v>
      </c>
      <c r="AH127" t="s">
        <v>54</v>
      </c>
      <c r="AK127" s="4">
        <v>45670.6625578704</v>
      </c>
      <c r="AQ127" t="s">
        <v>1630</v>
      </c>
    </row>
    <row r="128" ht="25.5" customHeight="1" spans="1:43">
      <c r="A128" t="s">
        <v>1937</v>
      </c>
      <c r="B128" t="s">
        <v>56</v>
      </c>
      <c r="D128" t="s">
        <v>3593</v>
      </c>
      <c r="E128" s="2">
        <v>45670</v>
      </c>
      <c r="F128" s="3"/>
      <c r="N128" t="s">
        <v>55</v>
      </c>
      <c r="P128" t="s">
        <v>54</v>
      </c>
      <c r="R128" t="s">
        <v>55</v>
      </c>
      <c r="V128" t="s">
        <v>55</v>
      </c>
      <c r="X128" t="s">
        <v>54</v>
      </c>
      <c r="Z128" t="s">
        <v>55</v>
      </c>
      <c r="AB128" t="s">
        <v>55</v>
      </c>
      <c r="AD128" t="s">
        <v>55</v>
      </c>
      <c r="AF128" t="s">
        <v>55</v>
      </c>
      <c r="AH128" t="s">
        <v>54</v>
      </c>
      <c r="AK128" s="4">
        <v>45670.6626388889</v>
      </c>
      <c r="AQ128" t="s">
        <v>1630</v>
      </c>
    </row>
    <row r="129" ht="25.5" customHeight="1" spans="1:43">
      <c r="A129" t="s">
        <v>2831</v>
      </c>
      <c r="B129" t="s">
        <v>56</v>
      </c>
      <c r="D129" t="s">
        <v>3705</v>
      </c>
      <c r="E129" s="2">
        <v>45670</v>
      </c>
      <c r="F129" s="3"/>
      <c r="N129" t="s">
        <v>55</v>
      </c>
      <c r="P129" t="s">
        <v>54</v>
      </c>
      <c r="R129" t="s">
        <v>55</v>
      </c>
      <c r="V129" t="s">
        <v>55</v>
      </c>
      <c r="X129" t="s">
        <v>54</v>
      </c>
      <c r="Z129" t="s">
        <v>55</v>
      </c>
      <c r="AB129" t="s">
        <v>55</v>
      </c>
      <c r="AD129" t="s">
        <v>55</v>
      </c>
      <c r="AF129" t="s">
        <v>55</v>
      </c>
      <c r="AH129" t="s">
        <v>54</v>
      </c>
      <c r="AK129" s="4">
        <v>45670.6626851852</v>
      </c>
      <c r="AQ129" t="s">
        <v>1630</v>
      </c>
    </row>
    <row r="130" ht="25.5" customHeight="1" spans="1:43">
      <c r="A130" t="s">
        <v>3062</v>
      </c>
      <c r="B130" t="s">
        <v>56</v>
      </c>
      <c r="D130" t="s">
        <v>3843</v>
      </c>
      <c r="E130" s="2">
        <v>45670</v>
      </c>
      <c r="F130" s="3"/>
      <c r="N130" t="s">
        <v>55</v>
      </c>
      <c r="P130" t="s">
        <v>54</v>
      </c>
      <c r="R130" t="s">
        <v>55</v>
      </c>
      <c r="V130" t="s">
        <v>55</v>
      </c>
      <c r="X130" t="s">
        <v>54</v>
      </c>
      <c r="Z130" t="s">
        <v>55</v>
      </c>
      <c r="AB130" t="s">
        <v>55</v>
      </c>
      <c r="AD130" t="s">
        <v>55</v>
      </c>
      <c r="AF130" t="s">
        <v>55</v>
      </c>
      <c r="AH130" t="s">
        <v>54</v>
      </c>
      <c r="AK130" s="4">
        <v>45670.6627893519</v>
      </c>
      <c r="AQ130" t="s">
        <v>1630</v>
      </c>
    </row>
    <row r="131" ht="25.5" customHeight="1" spans="1:43">
      <c r="A131" t="s">
        <v>2636</v>
      </c>
      <c r="B131" t="s">
        <v>56</v>
      </c>
      <c r="D131" t="s">
        <v>3929</v>
      </c>
      <c r="E131" s="2">
        <v>45670</v>
      </c>
      <c r="F131" s="3"/>
      <c r="N131" t="s">
        <v>55</v>
      </c>
      <c r="P131" t="s">
        <v>54</v>
      </c>
      <c r="R131" t="s">
        <v>55</v>
      </c>
      <c r="V131" t="s">
        <v>55</v>
      </c>
      <c r="X131" t="s">
        <v>54</v>
      </c>
      <c r="Z131" t="s">
        <v>55</v>
      </c>
      <c r="AB131" t="s">
        <v>55</v>
      </c>
      <c r="AD131" t="s">
        <v>55</v>
      </c>
      <c r="AF131" t="s">
        <v>55</v>
      </c>
      <c r="AH131" t="s">
        <v>54</v>
      </c>
      <c r="AK131" s="4">
        <v>45670.6628819444</v>
      </c>
      <c r="AQ131" t="s">
        <v>1630</v>
      </c>
    </row>
    <row r="132" ht="25.5" customHeight="1" spans="1:43">
      <c r="A132" t="s">
        <v>2198</v>
      </c>
      <c r="B132" t="s">
        <v>56</v>
      </c>
      <c r="D132" t="s">
        <v>4168</v>
      </c>
      <c r="E132" s="2">
        <v>45670</v>
      </c>
      <c r="F132" s="3"/>
      <c r="N132" t="s">
        <v>55</v>
      </c>
      <c r="P132" t="s">
        <v>54</v>
      </c>
      <c r="R132" t="s">
        <v>55</v>
      </c>
      <c r="V132" t="s">
        <v>55</v>
      </c>
      <c r="X132" t="s">
        <v>54</v>
      </c>
      <c r="Z132" t="s">
        <v>55</v>
      </c>
      <c r="AB132" t="s">
        <v>55</v>
      </c>
      <c r="AD132" t="s">
        <v>55</v>
      </c>
      <c r="AF132" t="s">
        <v>55</v>
      </c>
      <c r="AH132" t="s">
        <v>54</v>
      </c>
      <c r="AK132" s="4">
        <v>45670.6629861111</v>
      </c>
      <c r="AQ132" t="s">
        <v>1630</v>
      </c>
    </row>
    <row r="133" ht="25.5" customHeight="1" spans="1:43">
      <c r="A133" t="s">
        <v>2708</v>
      </c>
      <c r="B133" t="s">
        <v>56</v>
      </c>
      <c r="D133" t="s">
        <v>4348</v>
      </c>
      <c r="E133" s="2">
        <v>45670</v>
      </c>
      <c r="F133" s="3"/>
      <c r="N133" t="s">
        <v>55</v>
      </c>
      <c r="P133" t="s">
        <v>54</v>
      </c>
      <c r="R133" t="s">
        <v>55</v>
      </c>
      <c r="V133" t="s">
        <v>55</v>
      </c>
      <c r="X133" t="s">
        <v>54</v>
      </c>
      <c r="Z133" t="s">
        <v>55</v>
      </c>
      <c r="AB133" t="s">
        <v>55</v>
      </c>
      <c r="AD133" t="s">
        <v>55</v>
      </c>
      <c r="AF133" t="s">
        <v>55</v>
      </c>
      <c r="AH133" t="s">
        <v>54</v>
      </c>
      <c r="AK133" s="4">
        <v>45670.6631597222</v>
      </c>
      <c r="AQ133" t="s">
        <v>1630</v>
      </c>
    </row>
    <row r="134" ht="25.5" customHeight="1" spans="1:43">
      <c r="A134" t="s">
        <v>3040</v>
      </c>
      <c r="B134" t="s">
        <v>56</v>
      </c>
      <c r="D134" t="s">
        <v>4433</v>
      </c>
      <c r="E134" s="2">
        <v>45670</v>
      </c>
      <c r="F134" s="3"/>
      <c r="N134" t="s">
        <v>55</v>
      </c>
      <c r="P134" t="s">
        <v>54</v>
      </c>
      <c r="R134" t="s">
        <v>55</v>
      </c>
      <c r="V134" t="s">
        <v>55</v>
      </c>
      <c r="X134" t="s">
        <v>54</v>
      </c>
      <c r="Z134" t="s">
        <v>55</v>
      </c>
      <c r="AB134" t="s">
        <v>55</v>
      </c>
      <c r="AD134" t="s">
        <v>55</v>
      </c>
      <c r="AF134" t="s">
        <v>55</v>
      </c>
      <c r="AH134" t="s">
        <v>54</v>
      </c>
      <c r="AK134" s="4">
        <v>45670.6632407407</v>
      </c>
      <c r="AQ134" t="s">
        <v>1630</v>
      </c>
    </row>
    <row r="135" ht="25.5" customHeight="1" spans="1:43">
      <c r="A135" t="s">
        <v>3017</v>
      </c>
      <c r="B135" t="s">
        <v>56</v>
      </c>
      <c r="D135" t="s">
        <v>3503</v>
      </c>
      <c r="E135" s="2">
        <v>45670</v>
      </c>
      <c r="F135" s="3"/>
      <c r="N135" t="s">
        <v>55</v>
      </c>
      <c r="P135" t="s">
        <v>54</v>
      </c>
      <c r="R135" t="s">
        <v>55</v>
      </c>
      <c r="V135" t="s">
        <v>55</v>
      </c>
      <c r="X135" t="s">
        <v>54</v>
      </c>
      <c r="Z135" t="s">
        <v>55</v>
      </c>
      <c r="AB135" t="s">
        <v>55</v>
      </c>
      <c r="AD135" t="s">
        <v>55</v>
      </c>
      <c r="AF135" t="s">
        <v>55</v>
      </c>
      <c r="AH135" t="s">
        <v>54</v>
      </c>
      <c r="AK135" s="4">
        <v>45670.7217361111</v>
      </c>
      <c r="AQ135" t="s">
        <v>1630</v>
      </c>
    </row>
    <row r="136" ht="25.5" customHeight="1" spans="1:43">
      <c r="A136" t="s">
        <v>2944</v>
      </c>
      <c r="B136" t="s">
        <v>56</v>
      </c>
      <c r="D136" t="s">
        <v>3663</v>
      </c>
      <c r="E136" s="2">
        <v>45670</v>
      </c>
      <c r="F136" s="3"/>
      <c r="N136" t="s">
        <v>55</v>
      </c>
      <c r="P136" t="s">
        <v>54</v>
      </c>
      <c r="R136" t="s">
        <v>55</v>
      </c>
      <c r="V136" t="s">
        <v>55</v>
      </c>
      <c r="X136" t="s">
        <v>54</v>
      </c>
      <c r="Z136" t="s">
        <v>55</v>
      </c>
      <c r="AB136" t="s">
        <v>55</v>
      </c>
      <c r="AD136" t="s">
        <v>55</v>
      </c>
      <c r="AF136" t="s">
        <v>55</v>
      </c>
      <c r="AH136" t="s">
        <v>54</v>
      </c>
      <c r="AK136" s="4">
        <v>45670.7219212963</v>
      </c>
      <c r="AQ136" t="s">
        <v>1630</v>
      </c>
    </row>
    <row r="137" ht="25.5" customHeight="1" spans="1:43">
      <c r="A137" t="s">
        <v>3022</v>
      </c>
      <c r="B137" t="s">
        <v>56</v>
      </c>
      <c r="D137" t="s">
        <v>3928</v>
      </c>
      <c r="E137" s="2">
        <v>45670</v>
      </c>
      <c r="F137" s="3"/>
      <c r="N137" t="s">
        <v>55</v>
      </c>
      <c r="P137" t="s">
        <v>54</v>
      </c>
      <c r="R137" t="s">
        <v>55</v>
      </c>
      <c r="V137" t="s">
        <v>55</v>
      </c>
      <c r="X137" t="s">
        <v>54</v>
      </c>
      <c r="Z137" t="s">
        <v>55</v>
      </c>
      <c r="AB137" t="s">
        <v>55</v>
      </c>
      <c r="AD137" t="s">
        <v>55</v>
      </c>
      <c r="AF137" t="s">
        <v>55</v>
      </c>
      <c r="AH137" t="s">
        <v>54</v>
      </c>
      <c r="AK137" s="4">
        <v>45670.7223842593</v>
      </c>
      <c r="AQ137" t="s">
        <v>1630</v>
      </c>
    </row>
    <row r="138" ht="25.5" customHeight="1" spans="1:43">
      <c r="A138" t="s">
        <v>2456</v>
      </c>
      <c r="B138" t="s">
        <v>56</v>
      </c>
      <c r="D138" t="s">
        <v>3953</v>
      </c>
      <c r="E138" s="2">
        <v>45670</v>
      </c>
      <c r="F138" s="3"/>
      <c r="N138" t="s">
        <v>55</v>
      </c>
      <c r="P138" t="s">
        <v>54</v>
      </c>
      <c r="R138" t="s">
        <v>55</v>
      </c>
      <c r="V138" t="s">
        <v>55</v>
      </c>
      <c r="X138" t="s">
        <v>54</v>
      </c>
      <c r="Z138" t="s">
        <v>55</v>
      </c>
      <c r="AB138" t="s">
        <v>55</v>
      </c>
      <c r="AD138" t="s">
        <v>55</v>
      </c>
      <c r="AF138" t="s">
        <v>55</v>
      </c>
      <c r="AH138" t="s">
        <v>54</v>
      </c>
      <c r="AK138" s="4">
        <v>45670.7224421296</v>
      </c>
      <c r="AQ138" t="s">
        <v>1630</v>
      </c>
    </row>
    <row r="139" ht="25.5" customHeight="1" spans="1:37">
      <c r="A139" t="s">
        <v>4565</v>
      </c>
      <c r="B139" t="s">
        <v>56</v>
      </c>
      <c r="E139" s="2">
        <v>45670</v>
      </c>
      <c r="F139" s="3"/>
      <c r="N139" t="s">
        <v>55</v>
      </c>
      <c r="P139" t="s">
        <v>54</v>
      </c>
      <c r="R139" t="s">
        <v>55</v>
      </c>
      <c r="V139" t="s">
        <v>55</v>
      </c>
      <c r="X139" t="s">
        <v>54</v>
      </c>
      <c r="Z139" t="s">
        <v>55</v>
      </c>
      <c r="AB139" t="s">
        <v>55</v>
      </c>
      <c r="AD139" t="s">
        <v>55</v>
      </c>
      <c r="AF139" t="s">
        <v>55</v>
      </c>
      <c r="AH139" t="s">
        <v>54</v>
      </c>
      <c r="AK139" s="4">
        <v>45670.7226273148</v>
      </c>
    </row>
    <row r="140" ht="25.5" customHeight="1" spans="1:43">
      <c r="A140" t="s">
        <v>2585</v>
      </c>
      <c r="B140" t="s">
        <v>56</v>
      </c>
      <c r="D140" t="s">
        <v>4033</v>
      </c>
      <c r="E140" s="2">
        <v>45670</v>
      </c>
      <c r="F140" s="3"/>
      <c r="N140" t="s">
        <v>55</v>
      </c>
      <c r="P140" t="s">
        <v>54</v>
      </c>
      <c r="R140" t="s">
        <v>55</v>
      </c>
      <c r="V140" t="s">
        <v>55</v>
      </c>
      <c r="X140" t="s">
        <v>54</v>
      </c>
      <c r="Z140" t="s">
        <v>55</v>
      </c>
      <c r="AB140" t="s">
        <v>55</v>
      </c>
      <c r="AD140" t="s">
        <v>55</v>
      </c>
      <c r="AF140" t="s">
        <v>55</v>
      </c>
      <c r="AH140" t="s">
        <v>54</v>
      </c>
      <c r="AK140" s="4">
        <v>45670.7226388889</v>
      </c>
      <c r="AQ140" t="s">
        <v>1630</v>
      </c>
    </row>
    <row r="141" ht="25.5" customHeight="1" spans="1:43">
      <c r="A141" t="s">
        <v>2776</v>
      </c>
      <c r="B141" t="s">
        <v>56</v>
      </c>
      <c r="D141" t="s">
        <v>4179</v>
      </c>
      <c r="E141" s="2">
        <v>45670</v>
      </c>
      <c r="F141" s="3"/>
      <c r="N141" t="s">
        <v>55</v>
      </c>
      <c r="P141" t="s">
        <v>54</v>
      </c>
      <c r="R141" t="s">
        <v>55</v>
      </c>
      <c r="V141" t="s">
        <v>55</v>
      </c>
      <c r="X141" t="s">
        <v>54</v>
      </c>
      <c r="Z141" t="s">
        <v>55</v>
      </c>
      <c r="AB141" t="s">
        <v>55</v>
      </c>
      <c r="AD141" t="s">
        <v>55</v>
      </c>
      <c r="AF141" t="s">
        <v>55</v>
      </c>
      <c r="AH141" t="s">
        <v>54</v>
      </c>
      <c r="AK141" s="4">
        <v>45670.7227430556</v>
      </c>
      <c r="AQ141" t="s">
        <v>1630</v>
      </c>
    </row>
    <row r="142" ht="25.5" customHeight="1" spans="1:43">
      <c r="A142" t="s">
        <v>1733</v>
      </c>
      <c r="B142" t="s">
        <v>56</v>
      </c>
      <c r="D142" t="s">
        <v>4201</v>
      </c>
      <c r="E142" s="2">
        <v>45670</v>
      </c>
      <c r="F142" s="3"/>
      <c r="N142" t="s">
        <v>55</v>
      </c>
      <c r="P142" t="s">
        <v>54</v>
      </c>
      <c r="R142" t="s">
        <v>55</v>
      </c>
      <c r="V142" t="s">
        <v>55</v>
      </c>
      <c r="X142" t="s">
        <v>54</v>
      </c>
      <c r="Z142" t="s">
        <v>55</v>
      </c>
      <c r="AB142" t="s">
        <v>55</v>
      </c>
      <c r="AD142" t="s">
        <v>55</v>
      </c>
      <c r="AF142" t="s">
        <v>55</v>
      </c>
      <c r="AH142" t="s">
        <v>54</v>
      </c>
      <c r="AK142" s="4">
        <v>45670.7228587963</v>
      </c>
      <c r="AQ142" t="s">
        <v>1630</v>
      </c>
    </row>
    <row r="143" ht="25.5" customHeight="1" spans="1:43">
      <c r="A143" t="s">
        <v>2993</v>
      </c>
      <c r="B143" t="s">
        <v>56</v>
      </c>
      <c r="D143" t="s">
        <v>4249</v>
      </c>
      <c r="E143" s="2">
        <v>45670</v>
      </c>
      <c r="F143" s="3"/>
      <c r="N143" t="s">
        <v>55</v>
      </c>
      <c r="P143" t="s">
        <v>54</v>
      </c>
      <c r="R143" t="s">
        <v>55</v>
      </c>
      <c r="V143" t="s">
        <v>55</v>
      </c>
      <c r="X143" t="s">
        <v>54</v>
      </c>
      <c r="Z143" t="s">
        <v>55</v>
      </c>
      <c r="AB143" t="s">
        <v>55</v>
      </c>
      <c r="AD143" t="s">
        <v>55</v>
      </c>
      <c r="AF143" t="s">
        <v>55</v>
      </c>
      <c r="AH143" t="s">
        <v>54</v>
      </c>
      <c r="AK143" s="4">
        <v>45670.7228819444</v>
      </c>
      <c r="AQ143" t="s">
        <v>1630</v>
      </c>
    </row>
    <row r="144" ht="25.5" customHeight="1" spans="1:43">
      <c r="A144" t="s">
        <v>2844</v>
      </c>
      <c r="B144" t="s">
        <v>56</v>
      </c>
      <c r="D144" t="s">
        <v>4392</v>
      </c>
      <c r="E144" s="2">
        <v>45670</v>
      </c>
      <c r="F144" s="3"/>
      <c r="N144" t="s">
        <v>55</v>
      </c>
      <c r="P144" t="s">
        <v>54</v>
      </c>
      <c r="R144" t="s">
        <v>55</v>
      </c>
      <c r="V144" t="s">
        <v>55</v>
      </c>
      <c r="X144" t="s">
        <v>54</v>
      </c>
      <c r="Z144" t="s">
        <v>55</v>
      </c>
      <c r="AB144" t="s">
        <v>55</v>
      </c>
      <c r="AD144" t="s">
        <v>55</v>
      </c>
      <c r="AF144" t="s">
        <v>55</v>
      </c>
      <c r="AH144" t="s">
        <v>54</v>
      </c>
      <c r="AK144" s="4">
        <v>45670.7229861111</v>
      </c>
      <c r="AQ144" t="s">
        <v>1630</v>
      </c>
    </row>
    <row r="145" ht="25.5" customHeight="1" spans="1:43">
      <c r="A145" t="s">
        <v>3049</v>
      </c>
      <c r="B145" t="s">
        <v>56</v>
      </c>
      <c r="D145" t="s">
        <v>4435</v>
      </c>
      <c r="E145" s="2">
        <v>45670</v>
      </c>
      <c r="F145" s="3"/>
      <c r="N145" t="s">
        <v>55</v>
      </c>
      <c r="P145" t="s">
        <v>54</v>
      </c>
      <c r="R145" t="s">
        <v>55</v>
      </c>
      <c r="V145" t="s">
        <v>55</v>
      </c>
      <c r="X145" t="s">
        <v>54</v>
      </c>
      <c r="Z145" t="s">
        <v>55</v>
      </c>
      <c r="AB145" t="s">
        <v>55</v>
      </c>
      <c r="AD145" t="s">
        <v>55</v>
      </c>
      <c r="AF145" t="s">
        <v>55</v>
      </c>
      <c r="AH145" t="s">
        <v>54</v>
      </c>
      <c r="AK145" s="4">
        <v>45670.7231134259</v>
      </c>
      <c r="AQ145" t="s">
        <v>1630</v>
      </c>
    </row>
  </sheetData>
  <dataValidations count="3">
    <dataValidation type="list" sqref="O2:O144">
      <formula1>"Business &amp; Careers,Tech(software),Tech(software+hardware),Entrepeneurship &amp; Startups,Others"</formula1>
    </dataValidation>
    <dataValidation type="list" sqref="S2:S144">
      <formula1>"Exellent,Good,Average,Could be improved,Low,https://www.tiktok.com/@eloiljf?lang=en"</formula1>
    </dataValidation>
    <dataValidation type="list" sqref="W2:W144 AG2:AG144">
      <formula1>"Yes,No"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全量达人沟通表</vt:lpstr>
      <vt:lpstr>Confirmed Onboard List</vt:lpstr>
      <vt:lpstr>Post 数据表</vt:lpstr>
      <vt:lpstr>引用选项</vt:lpstr>
      <vt:lpstr>♻️ Post 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raultang</cp:lastModifiedBy>
  <dcterms:created xsi:type="dcterms:W3CDTF">2006-09-16T08:00:00Z</dcterms:created>
  <dcterms:modified xsi:type="dcterms:W3CDTF">2025-07-16T14:52:56Z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0D1EEB2D134BE3B5484C776855B5ADBB_42</vt:lpwstr>
  </property>
  <property fmtid="{D5CDD505-2E9C-101B-9397-08002B2CF9AE}" pid="3" name="KSOProductBuildVer">
    <vt:lpwstr>2052-7.5.1.8994</vt:lpwstr>
  </property>
</Properties>
</file>