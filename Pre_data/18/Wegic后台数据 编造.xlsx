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1"/>
  <workbookPr/>
  <mc:AlternateContent xmlns:mc="http://schemas.openxmlformats.org/markup-compatibility/2006">
    <mc:Choice Requires="x15">
      <x15ac:absPath xmlns:x15ac="http://schemas.microsoft.com/office/spreadsheetml/2010/11/ac" url="/Users/raultang/Documents/Work/query 整理/"/>
    </mc:Choice>
  </mc:AlternateContent>
  <xr:revisionPtr revIDLastSave="0" documentId="13_ncr:1_{E3B2E017-EDB0-0E45-B60C-F4F7CAB1750C}" xr6:coauthVersionLast="47" xr6:coauthVersionMax="47" xr10:uidLastSave="{00000000-0000-0000-0000-000000000000}"/>
  <bookViews>
    <workbookView xWindow="20" yWindow="500" windowWidth="46080" windowHeight="23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T2" i="1" l="1"/>
  <c r="CS2" i="1"/>
  <c r="CP2" i="1"/>
  <c r="CN16" i="1"/>
  <c r="CL4" i="1"/>
  <c r="CL3" i="1"/>
  <c r="CL5" i="1"/>
  <c r="CL6" i="1"/>
  <c r="CJ6" i="1" s="1"/>
  <c r="CL7" i="1"/>
  <c r="CL8" i="1"/>
  <c r="CJ8" i="1" s="1"/>
  <c r="CL9" i="1"/>
  <c r="CL10" i="1"/>
  <c r="CL11" i="1"/>
  <c r="CL12" i="1"/>
  <c r="CL13" i="1"/>
  <c r="CL14" i="1"/>
  <c r="CJ14" i="1" s="1"/>
  <c r="CL15" i="1"/>
  <c r="CJ15" i="1" s="1"/>
  <c r="CL16" i="1"/>
  <c r="CL17" i="1"/>
  <c r="CL18" i="1"/>
  <c r="CL19" i="1"/>
  <c r="CL20" i="1"/>
  <c r="CL21" i="1"/>
  <c r="CL22" i="1"/>
  <c r="CJ22" i="1" s="1"/>
  <c r="CL23" i="1"/>
  <c r="CJ23" i="1" s="1"/>
  <c r="CG2" i="1"/>
  <c r="CF2" i="1"/>
  <c r="CH2" i="1"/>
  <c r="CI2" i="1"/>
  <c r="CJ2" i="1"/>
  <c r="CK2" i="1"/>
  <c r="CM2" i="1"/>
  <c r="CR2" i="1"/>
  <c r="CQ2" i="1"/>
  <c r="CO2" i="1"/>
  <c r="CN2" i="1"/>
  <c r="CL2" i="1"/>
  <c r="CO8" i="1"/>
  <c r="CR7" i="1"/>
  <c r="CT24" i="1"/>
  <c r="CS24" i="1"/>
  <c r="CR24" i="1"/>
  <c r="CQ24" i="1"/>
  <c r="CP24" i="1"/>
  <c r="CI24" i="1" s="1"/>
  <c r="CO24" i="1"/>
  <c r="CJ24" i="1" s="1"/>
  <c r="CN24" i="1"/>
  <c r="CM24" i="1"/>
  <c r="CK24" i="1" s="1"/>
  <c r="CH24" i="1" s="1"/>
  <c r="CF24" i="1" s="1"/>
  <c r="CL24" i="1"/>
  <c r="CG24" i="1"/>
  <c r="CT23" i="1"/>
  <c r="CS23" i="1"/>
  <c r="CR23" i="1"/>
  <c r="CQ23" i="1"/>
  <c r="CP23" i="1"/>
  <c r="CI23" i="1" s="1"/>
  <c r="CO23" i="1"/>
  <c r="CG23" i="1" s="1"/>
  <c r="CN23" i="1"/>
  <c r="CM23" i="1"/>
  <c r="CK23" i="1" s="1"/>
  <c r="CT22" i="1"/>
  <c r="CS22" i="1"/>
  <c r="CR22" i="1"/>
  <c r="CQ22" i="1"/>
  <c r="CP22" i="1"/>
  <c r="CI22" i="1" s="1"/>
  <c r="CO22" i="1"/>
  <c r="CG22" i="1" s="1"/>
  <c r="CN22" i="1"/>
  <c r="CM22" i="1"/>
  <c r="CK22" i="1" s="1"/>
  <c r="CT21" i="1"/>
  <c r="CS21" i="1"/>
  <c r="CR21" i="1"/>
  <c r="CQ21" i="1"/>
  <c r="CP21" i="1"/>
  <c r="CI21" i="1" s="1"/>
  <c r="CO21" i="1"/>
  <c r="CN21" i="1"/>
  <c r="CM21" i="1"/>
  <c r="CJ21" i="1"/>
  <c r="CK21" i="1"/>
  <c r="CH21" i="1" s="1"/>
  <c r="CF21" i="1" s="1"/>
  <c r="CG21" i="1"/>
  <c r="CT20" i="1"/>
  <c r="CS20" i="1"/>
  <c r="CR20" i="1"/>
  <c r="CQ20" i="1"/>
  <c r="CP20" i="1"/>
  <c r="CO20" i="1"/>
  <c r="CN20" i="1"/>
  <c r="CM20" i="1"/>
  <c r="CK20" i="1"/>
  <c r="CH20" i="1" s="1"/>
  <c r="CF20" i="1" s="1"/>
  <c r="CJ20" i="1"/>
  <c r="CG20" i="1"/>
  <c r="CT19" i="1"/>
  <c r="CS19" i="1"/>
  <c r="CR19" i="1"/>
  <c r="CQ19" i="1"/>
  <c r="CP19" i="1"/>
  <c r="CG19" i="1" s="1"/>
  <c r="CO19" i="1"/>
  <c r="CN19" i="1"/>
  <c r="CM19" i="1"/>
  <c r="CK19" i="1"/>
  <c r="CH19" i="1" s="1"/>
  <c r="CJ19" i="1"/>
  <c r="CI19" i="1"/>
  <c r="CT18" i="1"/>
  <c r="CS18" i="1"/>
  <c r="CR18" i="1"/>
  <c r="CQ18" i="1"/>
  <c r="CP18" i="1"/>
  <c r="CG18" i="1" s="1"/>
  <c r="CO18" i="1"/>
  <c r="CN18" i="1"/>
  <c r="CM18" i="1"/>
  <c r="CK18" i="1"/>
  <c r="CJ18" i="1"/>
  <c r="CH18" i="1"/>
  <c r="CT17" i="1"/>
  <c r="CS17" i="1"/>
  <c r="CR17" i="1"/>
  <c r="CQ17" i="1"/>
  <c r="CP17" i="1"/>
  <c r="CI17" i="1" s="1"/>
  <c r="CO17" i="1"/>
  <c r="CN17" i="1"/>
  <c r="CK17" i="1" s="1"/>
  <c r="CM17" i="1"/>
  <c r="CT16" i="1"/>
  <c r="CS16" i="1"/>
  <c r="CR16" i="1"/>
  <c r="CQ16" i="1"/>
  <c r="CP16" i="1"/>
  <c r="CO16" i="1"/>
  <c r="CG16" i="1" s="1"/>
  <c r="CM16" i="1"/>
  <c r="CK16" i="1" s="1"/>
  <c r="CH16" i="1" s="1"/>
  <c r="CT15" i="1"/>
  <c r="CS15" i="1"/>
  <c r="CR15" i="1"/>
  <c r="CQ15" i="1"/>
  <c r="CP15" i="1"/>
  <c r="CO15" i="1"/>
  <c r="CN15" i="1"/>
  <c r="CM15" i="1"/>
  <c r="CK15" i="1" s="1"/>
  <c r="CH15" i="1" s="1"/>
  <c r="CF15" i="1" s="1"/>
  <c r="CG15" i="1"/>
  <c r="CT14" i="1"/>
  <c r="CS14" i="1"/>
  <c r="CR14" i="1"/>
  <c r="CQ14" i="1"/>
  <c r="CP14" i="1"/>
  <c r="CI14" i="1" s="1"/>
  <c r="CO14" i="1"/>
  <c r="CN14" i="1"/>
  <c r="CM14" i="1"/>
  <c r="CK14" i="1" s="1"/>
  <c r="CG14" i="1"/>
  <c r="CT13" i="1"/>
  <c r="CS13" i="1"/>
  <c r="CR13" i="1"/>
  <c r="CQ13" i="1"/>
  <c r="CP13" i="1"/>
  <c r="CI13" i="1" s="1"/>
  <c r="CO13" i="1"/>
  <c r="CN13" i="1"/>
  <c r="CM13" i="1"/>
  <c r="CJ13" i="1"/>
  <c r="CK13" i="1"/>
  <c r="CH13" i="1" s="1"/>
  <c r="CF13" i="1" s="1"/>
  <c r="CG13" i="1"/>
  <c r="CT12" i="1"/>
  <c r="CS12" i="1"/>
  <c r="CR12" i="1"/>
  <c r="CQ12" i="1"/>
  <c r="CP12" i="1"/>
  <c r="CO12" i="1"/>
  <c r="CN12" i="1"/>
  <c r="CM12" i="1"/>
  <c r="CK12" i="1"/>
  <c r="CH12" i="1" s="1"/>
  <c r="CF12" i="1" s="1"/>
  <c r="CJ12" i="1"/>
  <c r="CG12" i="1"/>
  <c r="CT11" i="1"/>
  <c r="CS11" i="1"/>
  <c r="CR11" i="1"/>
  <c r="CQ11" i="1"/>
  <c r="CP11" i="1"/>
  <c r="CG11" i="1" s="1"/>
  <c r="CF11" i="1" s="1"/>
  <c r="CO11" i="1"/>
  <c r="CN11" i="1"/>
  <c r="CM11" i="1"/>
  <c r="CK11" i="1"/>
  <c r="CH11" i="1" s="1"/>
  <c r="CJ11" i="1"/>
  <c r="CI11" i="1"/>
  <c r="CT10" i="1"/>
  <c r="CS10" i="1"/>
  <c r="CR10" i="1"/>
  <c r="CQ10" i="1"/>
  <c r="CP10" i="1"/>
  <c r="CI10" i="1" s="1"/>
  <c r="CO10" i="1"/>
  <c r="CN10" i="1"/>
  <c r="CM10" i="1"/>
  <c r="CK10" i="1"/>
  <c r="CJ10" i="1"/>
  <c r="CH10" i="1"/>
  <c r="CT9" i="1"/>
  <c r="CS9" i="1"/>
  <c r="CR9" i="1"/>
  <c r="CQ9" i="1"/>
  <c r="CP9" i="1"/>
  <c r="CI9" i="1" s="1"/>
  <c r="CO9" i="1"/>
  <c r="CN9" i="1"/>
  <c r="CK9" i="1" s="1"/>
  <c r="CM9" i="1"/>
  <c r="CG9" i="1"/>
  <c r="CT8" i="1"/>
  <c r="CS8" i="1"/>
  <c r="CR8" i="1"/>
  <c r="CQ8" i="1"/>
  <c r="CP8" i="1"/>
  <c r="CI8" i="1" s="1"/>
  <c r="CN8" i="1"/>
  <c r="CM8" i="1"/>
  <c r="CK8" i="1" s="1"/>
  <c r="CH8" i="1" s="1"/>
  <c r="CT7" i="1"/>
  <c r="CS7" i="1"/>
  <c r="CQ7" i="1"/>
  <c r="CP7" i="1"/>
  <c r="CI7" i="1" s="1"/>
  <c r="CO7" i="1"/>
  <c r="CG7" i="1" s="1"/>
  <c r="CN7" i="1"/>
  <c r="CM7" i="1"/>
  <c r="CK7" i="1" s="1"/>
  <c r="CH7" i="1" s="1"/>
  <c r="CJ7" i="1"/>
  <c r="CT6" i="1"/>
  <c r="CS6" i="1"/>
  <c r="CR6" i="1"/>
  <c r="CQ6" i="1"/>
  <c r="CP6" i="1"/>
  <c r="CO6" i="1"/>
  <c r="CN6" i="1"/>
  <c r="CM6" i="1"/>
  <c r="CK6" i="1" s="1"/>
  <c r="CH6" i="1" s="1"/>
  <c r="CF6" i="1" s="1"/>
  <c r="CG6" i="1"/>
  <c r="CT5" i="1"/>
  <c r="CS5" i="1"/>
  <c r="CR5" i="1"/>
  <c r="CQ5" i="1"/>
  <c r="CP5" i="1"/>
  <c r="CI5" i="1" s="1"/>
  <c r="CO5" i="1"/>
  <c r="CN5" i="1"/>
  <c r="CM5" i="1"/>
  <c r="CJ5" i="1"/>
  <c r="CK5" i="1"/>
  <c r="CH5" i="1" s="1"/>
  <c r="CF5" i="1" s="1"/>
  <c r="CG5" i="1"/>
  <c r="CT4" i="1"/>
  <c r="CS4" i="1"/>
  <c r="CR4" i="1"/>
  <c r="CQ4" i="1"/>
  <c r="CP4" i="1"/>
  <c r="CO4" i="1"/>
  <c r="CN4" i="1"/>
  <c r="CM4" i="1"/>
  <c r="CK4" i="1"/>
  <c r="CH4" i="1" s="1"/>
  <c r="CF4" i="1" s="1"/>
  <c r="CJ4" i="1"/>
  <c r="CG4" i="1"/>
  <c r="CT3" i="1"/>
  <c r="CS3" i="1"/>
  <c r="CR3" i="1"/>
  <c r="CQ3" i="1"/>
  <c r="CP3" i="1"/>
  <c r="CG3" i="1" s="1"/>
  <c r="CO3" i="1"/>
  <c r="CN3" i="1"/>
  <c r="CM3" i="1"/>
  <c r="CK3" i="1"/>
  <c r="CH3" i="1" s="1"/>
  <c r="CJ3" i="1"/>
  <c r="CI3" i="1"/>
  <c r="AT20" i="1"/>
  <c r="AP3" i="1"/>
  <c r="AN3" i="1" s="1"/>
  <c r="AQ3" i="1"/>
  <c r="AO3" i="1" s="1"/>
  <c r="AR3" i="1"/>
  <c r="AS3" i="1"/>
  <c r="AK3" i="1" s="1"/>
  <c r="AT3" i="1"/>
  <c r="AU3" i="1"/>
  <c r="AV3" i="1"/>
  <c r="AW3" i="1"/>
  <c r="AX3" i="1"/>
  <c r="AP4" i="1"/>
  <c r="AN4" i="1" s="1"/>
  <c r="AQ4" i="1"/>
  <c r="AO4" i="1" s="1"/>
  <c r="AR4" i="1"/>
  <c r="AS4" i="1"/>
  <c r="AK4" i="1" s="1"/>
  <c r="AT4" i="1"/>
  <c r="AU4" i="1"/>
  <c r="AV4" i="1"/>
  <c r="AW4" i="1"/>
  <c r="AX4" i="1"/>
  <c r="AP5" i="1"/>
  <c r="AN5" i="1" s="1"/>
  <c r="AQ5" i="1"/>
  <c r="AO5" i="1" s="1"/>
  <c r="AR5" i="1"/>
  <c r="AS5" i="1"/>
  <c r="AK5" i="1" s="1"/>
  <c r="AT5" i="1"/>
  <c r="AU5" i="1"/>
  <c r="AV5" i="1"/>
  <c r="AW5" i="1"/>
  <c r="AX5" i="1"/>
  <c r="AP6" i="1"/>
  <c r="AN6" i="1" s="1"/>
  <c r="AQ6" i="1"/>
  <c r="AO6" i="1" s="1"/>
  <c r="AL6" i="1" s="1"/>
  <c r="AR6" i="1"/>
  <c r="AS6" i="1"/>
  <c r="AK6" i="1" s="1"/>
  <c r="AJ6" i="1" s="1"/>
  <c r="AT6" i="1"/>
  <c r="AM6" i="1" s="1"/>
  <c r="AU6" i="1"/>
  <c r="AV6" i="1"/>
  <c r="AW6" i="1"/>
  <c r="AX6" i="1"/>
  <c r="AP7" i="1"/>
  <c r="AN7" i="1" s="1"/>
  <c r="AQ7" i="1"/>
  <c r="AO7" i="1" s="1"/>
  <c r="AR7" i="1"/>
  <c r="AS7" i="1"/>
  <c r="AK7" i="1" s="1"/>
  <c r="AT7" i="1"/>
  <c r="AU7" i="1"/>
  <c r="AV7" i="1"/>
  <c r="AW7" i="1"/>
  <c r="AX7" i="1"/>
  <c r="AN8" i="1"/>
  <c r="AP8" i="1"/>
  <c r="AQ8" i="1"/>
  <c r="AO8" i="1" s="1"/>
  <c r="AR8" i="1"/>
  <c r="AS8" i="1"/>
  <c r="AK8" i="1" s="1"/>
  <c r="AT8" i="1"/>
  <c r="AU8" i="1"/>
  <c r="AV8" i="1"/>
  <c r="AW8" i="1"/>
  <c r="AX8" i="1"/>
  <c r="AN9" i="1"/>
  <c r="AO9" i="1"/>
  <c r="AL9" i="1" s="1"/>
  <c r="AP9" i="1"/>
  <c r="AQ9" i="1"/>
  <c r="AR9" i="1"/>
  <c r="AS9" i="1"/>
  <c r="AT9" i="1"/>
  <c r="AK9" i="1" s="1"/>
  <c r="AJ9" i="1" s="1"/>
  <c r="AU9" i="1"/>
  <c r="AV9" i="1"/>
  <c r="AW9" i="1"/>
  <c r="AX9" i="1"/>
  <c r="AO10" i="1"/>
  <c r="AL10" i="1" s="1"/>
  <c r="AP10" i="1"/>
  <c r="AN10" i="1" s="1"/>
  <c r="AQ10" i="1"/>
  <c r="AR10" i="1"/>
  <c r="AS10" i="1"/>
  <c r="AK10" i="1" s="1"/>
  <c r="AJ10" i="1" s="1"/>
  <c r="AT10" i="1"/>
  <c r="AU10" i="1"/>
  <c r="AV10" i="1"/>
  <c r="AW10" i="1"/>
  <c r="AX10" i="1"/>
  <c r="AP11" i="1"/>
  <c r="AN11" i="1" s="1"/>
  <c r="AQ11" i="1"/>
  <c r="AO11" i="1" s="1"/>
  <c r="AR11" i="1"/>
  <c r="AS11" i="1"/>
  <c r="AK11" i="1" s="1"/>
  <c r="AT11" i="1"/>
  <c r="AU11" i="1"/>
  <c r="AV11" i="1"/>
  <c r="AW11" i="1"/>
  <c r="AX11" i="1"/>
  <c r="AP12" i="1"/>
  <c r="AN12" i="1" s="1"/>
  <c r="AQ12" i="1"/>
  <c r="AO12" i="1" s="1"/>
  <c r="AR12" i="1"/>
  <c r="AS12" i="1"/>
  <c r="AK12" i="1" s="1"/>
  <c r="AT12" i="1"/>
  <c r="AU12" i="1"/>
  <c r="AV12" i="1"/>
  <c r="AW12" i="1"/>
  <c r="AX12" i="1"/>
  <c r="AP13" i="1"/>
  <c r="AN13" i="1" s="1"/>
  <c r="AQ13" i="1"/>
  <c r="AO13" i="1" s="1"/>
  <c r="AR13" i="1"/>
  <c r="AS13" i="1"/>
  <c r="AK13" i="1" s="1"/>
  <c r="AT13" i="1"/>
  <c r="AU13" i="1"/>
  <c r="AV13" i="1"/>
  <c r="AW13" i="1"/>
  <c r="AX13" i="1"/>
  <c r="AP14" i="1"/>
  <c r="AN14" i="1" s="1"/>
  <c r="AQ14" i="1"/>
  <c r="AO14" i="1" s="1"/>
  <c r="AL14" i="1" s="1"/>
  <c r="AR14" i="1"/>
  <c r="AS14" i="1"/>
  <c r="AK14" i="1" s="1"/>
  <c r="AT14" i="1"/>
  <c r="AM14" i="1" s="1"/>
  <c r="AU14" i="1"/>
  <c r="AV14" i="1"/>
  <c r="AW14" i="1"/>
  <c r="AX14" i="1"/>
  <c r="AP15" i="1"/>
  <c r="AN15" i="1" s="1"/>
  <c r="AQ15" i="1"/>
  <c r="AO15" i="1" s="1"/>
  <c r="AR15" i="1"/>
  <c r="AS15" i="1"/>
  <c r="AT15" i="1"/>
  <c r="AK15" i="1" s="1"/>
  <c r="AU15" i="1"/>
  <c r="AV15" i="1"/>
  <c r="AW15" i="1"/>
  <c r="AX15" i="1"/>
  <c r="AN16" i="1"/>
  <c r="AP16" i="1"/>
  <c r="AQ16" i="1"/>
  <c r="AO16" i="1" s="1"/>
  <c r="AR16" i="1"/>
  <c r="AS16" i="1"/>
  <c r="AK16" i="1" s="1"/>
  <c r="AT16" i="1"/>
  <c r="AU16" i="1"/>
  <c r="AV16" i="1"/>
  <c r="AW16" i="1"/>
  <c r="AX16" i="1"/>
  <c r="AN17" i="1"/>
  <c r="AO17" i="1"/>
  <c r="AM17" i="1" s="1"/>
  <c r="AP17" i="1"/>
  <c r="AQ17" i="1"/>
  <c r="AR17" i="1"/>
  <c r="AS17" i="1"/>
  <c r="AK17" i="1" s="1"/>
  <c r="AT17" i="1"/>
  <c r="AU17" i="1"/>
  <c r="AV17" i="1"/>
  <c r="AW17" i="1"/>
  <c r="AX17" i="1"/>
  <c r="AO18" i="1"/>
  <c r="AL18" i="1" s="1"/>
  <c r="AP18" i="1"/>
  <c r="AN18" i="1" s="1"/>
  <c r="AQ18" i="1"/>
  <c r="AR18" i="1"/>
  <c r="AS18" i="1"/>
  <c r="AK18" i="1" s="1"/>
  <c r="AT18" i="1"/>
  <c r="AU18" i="1"/>
  <c r="AV18" i="1"/>
  <c r="AW18" i="1"/>
  <c r="AX18" i="1"/>
  <c r="AP19" i="1"/>
  <c r="AN19" i="1" s="1"/>
  <c r="AQ19" i="1"/>
  <c r="AO19" i="1" s="1"/>
  <c r="AR19" i="1"/>
  <c r="AS19" i="1"/>
  <c r="AK19" i="1" s="1"/>
  <c r="AT19" i="1"/>
  <c r="AU19" i="1"/>
  <c r="AV19" i="1"/>
  <c r="AW19" i="1"/>
  <c r="AX19" i="1"/>
  <c r="AP20" i="1"/>
  <c r="AN20" i="1" s="1"/>
  <c r="AQ20" i="1"/>
  <c r="AO20" i="1" s="1"/>
  <c r="AR20" i="1"/>
  <c r="AS20" i="1"/>
  <c r="AK20" i="1" s="1"/>
  <c r="AU20" i="1"/>
  <c r="AV20" i="1"/>
  <c r="AW20" i="1"/>
  <c r="AX20" i="1"/>
  <c r="AP21" i="1"/>
  <c r="AN21" i="1" s="1"/>
  <c r="AQ21" i="1"/>
  <c r="AO21" i="1" s="1"/>
  <c r="AR21" i="1"/>
  <c r="AS21" i="1"/>
  <c r="AK21" i="1" s="1"/>
  <c r="AT21" i="1"/>
  <c r="AU21" i="1"/>
  <c r="AV21" i="1"/>
  <c r="AW21" i="1"/>
  <c r="AX21" i="1"/>
  <c r="AP22" i="1"/>
  <c r="AN22" i="1" s="1"/>
  <c r="AQ22" i="1"/>
  <c r="AO22" i="1" s="1"/>
  <c r="AL22" i="1" s="1"/>
  <c r="AR22" i="1"/>
  <c r="AS22" i="1"/>
  <c r="AK22" i="1" s="1"/>
  <c r="AJ22" i="1" s="1"/>
  <c r="AT22" i="1"/>
  <c r="AM22" i="1" s="1"/>
  <c r="AU22" i="1"/>
  <c r="AV22" i="1"/>
  <c r="AW22" i="1"/>
  <c r="AX22" i="1"/>
  <c r="AP23" i="1"/>
  <c r="AN23" i="1" s="1"/>
  <c r="AQ23" i="1"/>
  <c r="AO23" i="1" s="1"/>
  <c r="AR23" i="1"/>
  <c r="AS23" i="1"/>
  <c r="AK23" i="1" s="1"/>
  <c r="AT23" i="1"/>
  <c r="AU23" i="1"/>
  <c r="AV23" i="1"/>
  <c r="AW23" i="1"/>
  <c r="AX23" i="1"/>
  <c r="AN24" i="1"/>
  <c r="AP24" i="1"/>
  <c r="AQ24" i="1"/>
  <c r="AO24" i="1" s="1"/>
  <c r="AR24" i="1"/>
  <c r="AS24" i="1"/>
  <c r="AK24" i="1" s="1"/>
  <c r="AT24" i="1"/>
  <c r="AU24" i="1"/>
  <c r="AV24" i="1"/>
  <c r="AW24" i="1"/>
  <c r="AX24" i="1"/>
  <c r="AN2" i="1"/>
  <c r="AM2" i="1"/>
  <c r="AJ2" i="1"/>
  <c r="AO2" i="1"/>
  <c r="AP2" i="1"/>
  <c r="AL2" i="1"/>
  <c r="AK2" i="1"/>
  <c r="AX2" i="1"/>
  <c r="AW2" i="1"/>
  <c r="AV2" i="1"/>
  <c r="AU2" i="1"/>
  <c r="AT2" i="1"/>
  <c r="AS2" i="1"/>
  <c r="AR2" i="1"/>
  <c r="AQ2" i="1"/>
  <c r="CH9" i="1" l="1"/>
  <c r="CH17" i="1"/>
  <c r="CJ9" i="1"/>
  <c r="CJ17" i="1"/>
  <c r="CF23" i="1"/>
  <c r="CH22" i="1"/>
  <c r="CF22" i="1" s="1"/>
  <c r="CH14" i="1"/>
  <c r="CF14" i="1" s="1"/>
  <c r="CF18" i="1"/>
  <c r="CH23" i="1"/>
  <c r="CF19" i="1"/>
  <c r="CF3" i="1"/>
  <c r="CF9" i="1"/>
  <c r="CI15" i="1"/>
  <c r="CF16" i="1"/>
  <c r="CI6" i="1"/>
  <c r="CF7" i="1"/>
  <c r="CI16" i="1"/>
  <c r="CG17" i="1"/>
  <c r="CF17" i="1" s="1"/>
  <c r="CG8" i="1"/>
  <c r="CF8" i="1" s="1"/>
  <c r="CI18" i="1"/>
  <c r="CI4" i="1"/>
  <c r="CG10" i="1"/>
  <c r="CF10" i="1" s="1"/>
  <c r="CI12" i="1"/>
  <c r="CI20" i="1"/>
  <c r="CJ16" i="1"/>
  <c r="AM24" i="1"/>
  <c r="AL24" i="1"/>
  <c r="AM8" i="1"/>
  <c r="AL8" i="1"/>
  <c r="AJ21" i="1"/>
  <c r="AL11" i="1"/>
  <c r="AJ11" i="1" s="1"/>
  <c r="AM11" i="1"/>
  <c r="AL7" i="1"/>
  <c r="AJ7" i="1" s="1"/>
  <c r="AM7" i="1"/>
  <c r="AL20" i="1"/>
  <c r="AJ20" i="1" s="1"/>
  <c r="AM20" i="1"/>
  <c r="AJ18" i="1"/>
  <c r="AJ14" i="1"/>
  <c r="AL4" i="1"/>
  <c r="AJ4" i="1" s="1"/>
  <c r="AM4" i="1"/>
  <c r="AL13" i="1"/>
  <c r="AM13" i="1"/>
  <c r="AL12" i="1"/>
  <c r="AM12" i="1"/>
  <c r="AJ16" i="1"/>
  <c r="AL21" i="1"/>
  <c r="AM21" i="1"/>
  <c r="AJ24" i="1"/>
  <c r="AL19" i="1"/>
  <c r="AJ19" i="1" s="1"/>
  <c r="AM19" i="1"/>
  <c r="AL15" i="1"/>
  <c r="AJ15" i="1" s="1"/>
  <c r="AM15" i="1"/>
  <c r="AJ13" i="1"/>
  <c r="AJ8" i="1"/>
  <c r="AM3" i="1"/>
  <c r="AL3" i="1"/>
  <c r="AJ3" i="1" s="1"/>
  <c r="AL23" i="1"/>
  <c r="AJ23" i="1" s="1"/>
  <c r="AM23" i="1"/>
  <c r="AL16" i="1"/>
  <c r="AM16" i="1"/>
  <c r="AL5" i="1"/>
  <c r="AJ5" i="1" s="1"/>
  <c r="AM5" i="1"/>
  <c r="AJ17" i="1"/>
  <c r="AJ12" i="1"/>
  <c r="AM9" i="1"/>
  <c r="AM18" i="1"/>
  <c r="AL17" i="1"/>
  <c r="AM10" i="1"/>
</calcChain>
</file>

<file path=xl/sharedStrings.xml><?xml version="1.0" encoding="utf-8"?>
<sst xmlns="http://schemas.openxmlformats.org/spreadsheetml/2006/main" count="144" uniqueCount="121">
  <si>
    <t>Date</t>
  </si>
  <si>
    <t>Time</t>
  </si>
  <si>
    <t>PV</t>
  </si>
  <si>
    <t>UV</t>
  </si>
  <si>
    <t>Registration Page</t>
  </si>
  <si>
    <t>Registration</t>
  </si>
  <si>
    <t>Registration_Rate</t>
  </si>
  <si>
    <t>Activation 1</t>
  </si>
  <si>
    <t>Activation 1.1</t>
  </si>
  <si>
    <t>Activation 1.2</t>
  </si>
  <si>
    <t>Activation 1.3</t>
  </si>
  <si>
    <t>Activation 2.0</t>
  </si>
  <si>
    <t>Activation 2.1</t>
  </si>
  <si>
    <t>Activation 2.2</t>
  </si>
  <si>
    <t>Activation 2.3</t>
  </si>
  <si>
    <t>Activation 3.0</t>
  </si>
  <si>
    <t>Websites created</t>
  </si>
  <si>
    <t>Website published</t>
  </si>
  <si>
    <t>Credits Consumed</t>
  </si>
  <si>
    <t>Total Est. API cost</t>
  </si>
  <si>
    <t>Paid user num</t>
  </si>
  <si>
    <t>Paid_Basic_num</t>
  </si>
  <si>
    <t>Paid_Pro_num</t>
  </si>
  <si>
    <t>Paid_yearly_num</t>
  </si>
  <si>
    <t>Paid_monthly_num</t>
  </si>
  <si>
    <t>Paid_yearly_pro_num</t>
  </si>
  <si>
    <t>Paid_monthly_pro_num</t>
  </si>
  <si>
    <t>Paid_yearly_flashsale_num</t>
  </si>
  <si>
    <t>Paid_yearly_flashsale_2 years_num</t>
  </si>
  <si>
    <t>Paid_monthly_basic_num</t>
  </si>
  <si>
    <t>Paid_yearly_basic_num</t>
  </si>
  <si>
    <t>Recurring_monthly _basic</t>
  </si>
  <si>
    <t>Recurring_monthly_pro</t>
  </si>
  <si>
    <t>Recurring_yearly_basic</t>
  </si>
  <si>
    <t>Recurring_yearly_pro</t>
  </si>
  <si>
    <t>PV_US</t>
  </si>
  <si>
    <t>UV_US</t>
  </si>
  <si>
    <t>Registration Page_US</t>
  </si>
  <si>
    <t>Registration_US</t>
  </si>
  <si>
    <t>Registration_Rate_US</t>
  </si>
  <si>
    <t>Activation 1_US</t>
  </si>
  <si>
    <t>Activation 1.1_US</t>
  </si>
  <si>
    <t>Activation 1.2_US</t>
  </si>
  <si>
    <t>Activation 1.3_US</t>
  </si>
  <si>
    <t>Activation 2.0_US</t>
  </si>
  <si>
    <t>Activation 2.1_US</t>
  </si>
  <si>
    <t>Activation 2.2_US</t>
  </si>
  <si>
    <t>Activation 2.3_US</t>
  </si>
  <si>
    <t>Activation 3.0_US</t>
  </si>
  <si>
    <t>Websites created_US</t>
  </si>
  <si>
    <t>Website published_US</t>
  </si>
  <si>
    <t>Credits Consumed_US</t>
  </si>
  <si>
    <t>Total Est. API cost_US</t>
  </si>
  <si>
    <t>Paid user num_US</t>
  </si>
  <si>
    <t>Paid_Basic_num_US</t>
  </si>
  <si>
    <t>Paid_Pro_num_US</t>
  </si>
  <si>
    <t>Paid_yearly_num_US</t>
  </si>
  <si>
    <t>Paid_monthly_num_US</t>
  </si>
  <si>
    <t>Paid_yearly_pro_num_US</t>
  </si>
  <si>
    <t>Paid_monthly_pro_num_US</t>
  </si>
  <si>
    <t>Paid_yearly_flashsale_num_US</t>
  </si>
  <si>
    <t>Paid_yearly_flashsale_2 years_num_US</t>
  </si>
  <si>
    <t>Paid_monthly_basic_num_US</t>
  </si>
  <si>
    <t>Paid_yearly_basic_num_US</t>
  </si>
  <si>
    <t>Recurring_monthly _basic_US</t>
  </si>
  <si>
    <t>Recurring_monthly_pro_US</t>
  </si>
  <si>
    <t>Recurring_yearly_basic_US</t>
  </si>
  <si>
    <t>Recurring_yearly_pro_US</t>
  </si>
  <si>
    <t>2025/1/12</t>
  </si>
  <si>
    <t>24:00(GMT+8)</t>
  </si>
  <si>
    <t>2025/1/13</t>
  </si>
  <si>
    <t>2025/1/14</t>
  </si>
  <si>
    <t>2025/1/15</t>
  </si>
  <si>
    <t>2025/1/16</t>
  </si>
  <si>
    <t>2025/1/17</t>
  </si>
  <si>
    <t>2025/1/18</t>
  </si>
  <si>
    <t>2025/1/19</t>
  </si>
  <si>
    <t>2025/1/20</t>
  </si>
  <si>
    <t>2025/1/21</t>
  </si>
  <si>
    <t>2025/1/22</t>
  </si>
  <si>
    <t>2025/1/23</t>
  </si>
  <si>
    <t>2025/1/24</t>
  </si>
  <si>
    <t>2025/1/25</t>
  </si>
  <si>
    <t>2025/1/26</t>
  </si>
  <si>
    <t>2025/1/27</t>
  </si>
  <si>
    <t>2025/1/28</t>
  </si>
  <si>
    <t>2025/1/29</t>
  </si>
  <si>
    <t>2025/1/30</t>
  </si>
  <si>
    <t>2025/1/31</t>
  </si>
  <si>
    <t>2025/2/1</t>
  </si>
  <si>
    <t>2025/2/2</t>
  </si>
  <si>
    <t>2025/2/3</t>
  </si>
  <si>
    <t>Paid amount</t>
    <phoneticPr fontId="2" type="noConversion"/>
  </si>
  <si>
    <t>Paid_Basic_amount</t>
    <phoneticPr fontId="2" type="noConversion"/>
  </si>
  <si>
    <t>Paid_Pro_amount</t>
    <phoneticPr fontId="2" type="noConversion"/>
  </si>
  <si>
    <t>Paid_yearly_amount</t>
    <phoneticPr fontId="2" type="noConversion"/>
  </si>
  <si>
    <t>Paid_monthly_amount</t>
    <phoneticPr fontId="2" type="noConversion"/>
  </si>
  <si>
    <t>Paid_yearly_pro_amount</t>
    <phoneticPr fontId="2" type="noConversion"/>
  </si>
  <si>
    <t>Paid_monthly_pro_amount</t>
    <phoneticPr fontId="2" type="noConversion"/>
  </si>
  <si>
    <t>Paid_yearly_flashsale_amount</t>
    <phoneticPr fontId="2" type="noConversion"/>
  </si>
  <si>
    <t>Paid_yearly_flashsale_2 years_amount</t>
    <phoneticPr fontId="2" type="noConversion"/>
  </si>
  <si>
    <t>Paid_monthly_basic_amount</t>
    <phoneticPr fontId="2" type="noConversion"/>
  </si>
  <si>
    <t>Paid_yearly_basic_amount</t>
    <phoneticPr fontId="2" type="noConversion"/>
  </si>
  <si>
    <t>Recurring_monthly _basic_amount</t>
    <phoneticPr fontId="2" type="noConversion"/>
  </si>
  <si>
    <t>Recurring_monthly_pro_amount</t>
    <phoneticPr fontId="2" type="noConversion"/>
  </si>
  <si>
    <t>Recurring_yearly_basic_amount</t>
    <phoneticPr fontId="2" type="noConversion"/>
  </si>
  <si>
    <t>Recurring_yearly_pro_amount</t>
    <phoneticPr fontId="2" type="noConversion"/>
  </si>
  <si>
    <t>Paid_Basic_amount_US</t>
    <phoneticPr fontId="2" type="noConversion"/>
  </si>
  <si>
    <t>Paid_Pro_amount_US</t>
    <phoneticPr fontId="2" type="noConversion"/>
  </si>
  <si>
    <t>Paid_yearly_amount_US</t>
    <phoneticPr fontId="2" type="noConversion"/>
  </si>
  <si>
    <t>Paid_monthly_amount_US</t>
    <phoneticPr fontId="2" type="noConversion"/>
  </si>
  <si>
    <t>Paid_yearly_pro_amount_US</t>
    <phoneticPr fontId="2" type="noConversion"/>
  </si>
  <si>
    <t>Paid_monthly_pro_amount_US</t>
    <phoneticPr fontId="2" type="noConversion"/>
  </si>
  <si>
    <t>Paid_yearly_flashsale_amount_US</t>
    <phoneticPr fontId="2" type="noConversion"/>
  </si>
  <si>
    <t>Paid_yearly_flashsale_2 years_amount_US</t>
    <phoneticPr fontId="2" type="noConversion"/>
  </si>
  <si>
    <t>Paid_monthly_basic_amount_US</t>
    <phoneticPr fontId="2" type="noConversion"/>
  </si>
  <si>
    <t>Paid_yearly_basic_amount_US</t>
    <phoneticPr fontId="2" type="noConversion"/>
  </si>
  <si>
    <t>Recurring_monthly _amount_US</t>
    <phoneticPr fontId="2" type="noConversion"/>
  </si>
  <si>
    <t>Recurring_monthly_amount_US</t>
    <phoneticPr fontId="2" type="noConversion"/>
  </si>
  <si>
    <t>Recurring_yearly_amount_US</t>
    <phoneticPr fontId="2" type="noConversion"/>
  </si>
  <si>
    <t>Recurring_yearly_pro_amount_US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</si>
</sst>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26" formatCode="\$#,##0.00_);[Red]\(\$#,##0.00\)"/>
    <numFmt numFmtId="182" formatCode="\$#,##0.00"/>
  </numFmts>
  <fonts count="3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6" fontId="0" fillId="0" borderId="0" xfId="0" applyNumberFormat="1"/>
    <xf numFmtId="18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24"/>
  <sheetViews>
    <sheetView tabSelected="1" topLeftCell="BL1" workbookViewId="0">
      <selection activeCell="BP12" sqref="BP12"/>
    </sheetView>
  </sheetViews>
  <sheetFormatPr baseColWidth="10" defaultColWidth="9" defaultRowHeight="14"/>
  <cols>
    <col min="1" max="1" width="11" bestFit="1" customWidth="1"/>
    <col min="2" max="2" width="14.1640625" bestFit="1" customWidth="1"/>
    <col min="3" max="4" width="7" bestFit="1" customWidth="1"/>
    <col min="5" max="5" width="19.6640625" bestFit="1" customWidth="1"/>
    <col min="6" max="6" width="14.1640625" bestFit="1" customWidth="1"/>
    <col min="7" max="7" width="19.6640625" bestFit="1" customWidth="1"/>
    <col min="8" max="8" width="14.1640625" bestFit="1" customWidth="1"/>
    <col min="9" max="16" width="16.33203125" bestFit="1" customWidth="1"/>
    <col min="17" max="17" width="18.6640625" bestFit="1" customWidth="1"/>
    <col min="18" max="18" width="19.6640625" bestFit="1" customWidth="1"/>
    <col min="19" max="19" width="18.6640625" bestFit="1" customWidth="1"/>
    <col min="20" max="20" width="22" bestFit="1" customWidth="1"/>
    <col min="21" max="21" width="15.33203125" bestFit="1" customWidth="1"/>
    <col min="22" max="22" width="16.33203125" bestFit="1" customWidth="1"/>
    <col min="23" max="23" width="14.1640625" bestFit="1" customWidth="1"/>
    <col min="24" max="24" width="17.5" bestFit="1" customWidth="1"/>
    <col min="25" max="25" width="18.6640625" bestFit="1" customWidth="1"/>
    <col min="26" max="26" width="22" bestFit="1" customWidth="1"/>
    <col min="27" max="27" width="23.1640625" bestFit="1" customWidth="1"/>
    <col min="28" max="28" width="28.6640625" bestFit="1" customWidth="1"/>
    <col min="29" max="29" width="37.6640625" bestFit="1" customWidth="1"/>
    <col min="30" max="30" width="25.33203125" bestFit="1" customWidth="1"/>
    <col min="31" max="31" width="24.1640625" bestFit="1" customWidth="1"/>
    <col min="32" max="32" width="27.5" bestFit="1" customWidth="1"/>
    <col min="33" max="33" width="24.1640625" bestFit="1" customWidth="1"/>
    <col min="34" max="34" width="25.33203125" bestFit="1" customWidth="1"/>
    <col min="35" max="35" width="23.1640625" bestFit="1" customWidth="1"/>
    <col min="36" max="50" width="23.1640625" customWidth="1"/>
    <col min="51" max="52" width="7" bestFit="1" customWidth="1"/>
    <col min="53" max="53" width="23.1640625" bestFit="1" customWidth="1"/>
    <col min="54" max="54" width="17.5" bestFit="1" customWidth="1"/>
    <col min="55" max="55" width="23.1640625" bestFit="1" customWidth="1"/>
    <col min="56" max="56" width="17.5" bestFit="1" customWidth="1"/>
    <col min="57" max="64" width="19.6640625" bestFit="1" customWidth="1"/>
    <col min="65" max="65" width="22" bestFit="1" customWidth="1"/>
    <col min="66" max="66" width="23.1640625" bestFit="1" customWidth="1"/>
    <col min="67" max="67" width="22" bestFit="1" customWidth="1"/>
    <col min="68" max="68" width="25.33203125" bestFit="1" customWidth="1"/>
    <col min="69" max="69" width="18.6640625" bestFit="1" customWidth="1"/>
    <col min="70" max="70" width="19.6640625" bestFit="1" customWidth="1"/>
    <col min="71" max="71" width="17.5" bestFit="1" customWidth="1"/>
    <col min="72" max="72" width="20.83203125" bestFit="1" customWidth="1"/>
    <col min="73" max="73" width="22" bestFit="1" customWidth="1"/>
    <col min="74" max="74" width="25.33203125" bestFit="1" customWidth="1"/>
    <col min="75" max="75" width="26.5" bestFit="1" customWidth="1"/>
    <col min="76" max="76" width="32" bestFit="1" customWidth="1"/>
    <col min="77" max="77" width="41" bestFit="1" customWidth="1"/>
    <col min="78" max="78" width="28.6640625" bestFit="1" customWidth="1"/>
    <col min="79" max="79" width="27.5" bestFit="1" customWidth="1"/>
    <col min="80" max="80" width="30.83203125" bestFit="1" customWidth="1"/>
    <col min="81" max="81" width="27.5" bestFit="1" customWidth="1"/>
    <col min="82" max="82" width="28.6640625" bestFit="1" customWidth="1"/>
    <col min="83" max="83" width="26.5" bestFit="1" customWidth="1"/>
    <col min="84" max="84" width="13" bestFit="1" customWidth="1"/>
    <col min="85" max="86" width="12" bestFit="1" customWidth="1"/>
    <col min="87" max="87" width="13" bestFit="1" customWidth="1"/>
    <col min="88" max="92" width="12" bestFit="1" customWidth="1"/>
    <col min="94" max="94" width="12" bestFit="1" customWidth="1"/>
    <col min="97" max="98" width="12" bestFit="1" customWidth="1"/>
  </cols>
  <sheetData>
    <row r="1" spans="1:9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101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106</v>
      </c>
      <c r="AY1" s="1" t="s">
        <v>35</v>
      </c>
      <c r="AZ1" s="1" t="s">
        <v>36</v>
      </c>
      <c r="BA1" s="1" t="s">
        <v>37</v>
      </c>
      <c r="BB1" s="1" t="s">
        <v>38</v>
      </c>
      <c r="BC1" s="1" t="s">
        <v>39</v>
      </c>
      <c r="BD1" s="1" t="s">
        <v>40</v>
      </c>
      <c r="BE1" s="1" t="s">
        <v>41</v>
      </c>
      <c r="BF1" s="1" t="s">
        <v>42</v>
      </c>
      <c r="BG1" s="1" t="s">
        <v>43</v>
      </c>
      <c r="BH1" s="1" t="s">
        <v>44</v>
      </c>
      <c r="BI1" s="1" t="s">
        <v>45</v>
      </c>
      <c r="BJ1" s="1" t="s">
        <v>46</v>
      </c>
      <c r="BK1" s="1" t="s">
        <v>47</v>
      </c>
      <c r="BL1" s="1" t="s">
        <v>48</v>
      </c>
      <c r="BM1" s="1" t="s">
        <v>49</v>
      </c>
      <c r="BN1" s="1" t="s">
        <v>50</v>
      </c>
      <c r="BO1" s="1" t="s">
        <v>51</v>
      </c>
      <c r="BP1" s="1" t="s">
        <v>52</v>
      </c>
      <c r="BQ1" s="1" t="s">
        <v>53</v>
      </c>
      <c r="BR1" s="1" t="s">
        <v>54</v>
      </c>
      <c r="BS1" s="1" t="s">
        <v>55</v>
      </c>
      <c r="BT1" s="1" t="s">
        <v>56</v>
      </c>
      <c r="BU1" s="1" t="s">
        <v>57</v>
      </c>
      <c r="BV1" s="1" t="s">
        <v>58</v>
      </c>
      <c r="BW1" s="1" t="s">
        <v>59</v>
      </c>
      <c r="BX1" s="1" t="s">
        <v>60</v>
      </c>
      <c r="BY1" s="1" t="s">
        <v>61</v>
      </c>
      <c r="BZ1" s="1" t="s">
        <v>62</v>
      </c>
      <c r="CA1" s="1" t="s">
        <v>63</v>
      </c>
      <c r="CB1" s="1" t="s">
        <v>64</v>
      </c>
      <c r="CC1" s="1" t="s">
        <v>65</v>
      </c>
      <c r="CD1" s="1" t="s">
        <v>66</v>
      </c>
      <c r="CE1" s="1" t="s">
        <v>67</v>
      </c>
      <c r="CF1" s="1" t="s">
        <v>92</v>
      </c>
      <c r="CG1" s="1" t="s">
        <v>107</v>
      </c>
      <c r="CH1" s="1" t="s">
        <v>108</v>
      </c>
      <c r="CI1" s="1" t="s">
        <v>109</v>
      </c>
      <c r="CJ1" s="1" t="s">
        <v>110</v>
      </c>
      <c r="CK1" s="1" t="s">
        <v>111</v>
      </c>
      <c r="CL1" s="1" t="s">
        <v>112</v>
      </c>
      <c r="CM1" s="1" t="s">
        <v>113</v>
      </c>
      <c r="CN1" s="1" t="s">
        <v>114</v>
      </c>
      <c r="CO1" s="1" t="s">
        <v>115</v>
      </c>
      <c r="CP1" s="1" t="s">
        <v>116</v>
      </c>
      <c r="CQ1" s="1" t="s">
        <v>117</v>
      </c>
      <c r="CR1" s="1" t="s">
        <v>118</v>
      </c>
      <c r="CS1" s="1" t="s">
        <v>119</v>
      </c>
      <c r="CT1" s="1" t="s">
        <v>120</v>
      </c>
    </row>
    <row r="2" spans="1:98">
      <c r="A2" t="s">
        <v>68</v>
      </c>
      <c r="B2" t="s">
        <v>69</v>
      </c>
      <c r="C2">
        <v>31181</v>
      </c>
      <c r="D2">
        <v>28286</v>
      </c>
      <c r="E2">
        <v>21008</v>
      </c>
      <c r="F2">
        <v>10074</v>
      </c>
      <c r="G2">
        <v>0.48</v>
      </c>
      <c r="H2">
        <v>6444</v>
      </c>
      <c r="I2">
        <v>6327</v>
      </c>
      <c r="J2">
        <v>6196</v>
      </c>
      <c r="K2">
        <v>6110</v>
      </c>
      <c r="L2">
        <v>5805</v>
      </c>
      <c r="M2">
        <v>5670</v>
      </c>
      <c r="N2">
        <v>5640</v>
      </c>
      <c r="O2">
        <v>5421</v>
      </c>
      <c r="P2">
        <v>4987</v>
      </c>
      <c r="Q2">
        <v>3732</v>
      </c>
      <c r="R2">
        <v>2747</v>
      </c>
      <c r="S2">
        <v>38207</v>
      </c>
      <c r="T2" s="3">
        <v>2145.54</v>
      </c>
      <c r="U2">
        <v>81</v>
      </c>
      <c r="V2">
        <v>30</v>
      </c>
      <c r="W2">
        <v>51</v>
      </c>
      <c r="X2">
        <v>49</v>
      </c>
      <c r="Y2">
        <v>32</v>
      </c>
      <c r="Z2">
        <v>25</v>
      </c>
      <c r="AA2">
        <v>13</v>
      </c>
      <c r="AB2">
        <v>3</v>
      </c>
      <c r="AC2">
        <v>2</v>
      </c>
      <c r="AD2">
        <v>19</v>
      </c>
      <c r="AE2">
        <v>24</v>
      </c>
      <c r="AF2">
        <v>8</v>
      </c>
      <c r="AG2">
        <v>7</v>
      </c>
      <c r="AH2">
        <v>19</v>
      </c>
      <c r="AI2">
        <v>21</v>
      </c>
      <c r="AJ2" s="2">
        <f>AK2+AL2</f>
        <v>17733.800000000003</v>
      </c>
      <c r="AK2" s="2">
        <f>AS2+AT2</f>
        <v>5150.1000000000004</v>
      </c>
      <c r="AL2" s="2">
        <f>AO2+AP2</f>
        <v>12583.7</v>
      </c>
      <c r="AM2" s="2">
        <f>AT2+AO2</f>
        <v>16067</v>
      </c>
      <c r="AN2" s="2">
        <f>AP2+AS2</f>
        <v>1666.8000000000002</v>
      </c>
      <c r="AO2" s="2">
        <f>(Z2-AC2-AB2)*499+AQ2+AR2</f>
        <v>11675</v>
      </c>
      <c r="AP2" s="2">
        <f>AA2*69.9</f>
        <v>908.7</v>
      </c>
      <c r="AQ2" s="2">
        <f>AB2*261</f>
        <v>783</v>
      </c>
      <c r="AR2" s="2">
        <f>AC2*456</f>
        <v>912</v>
      </c>
      <c r="AS2" s="2">
        <f>AD2*39.9</f>
        <v>758.1</v>
      </c>
      <c r="AT2" s="2">
        <f>AE2*183</f>
        <v>4392</v>
      </c>
      <c r="AU2" s="2">
        <f>AF2*39.9</f>
        <v>319.2</v>
      </c>
      <c r="AV2" s="2">
        <f>AG2*69.9</f>
        <v>489.30000000000007</v>
      </c>
      <c r="AW2" s="2">
        <f>AH2*183</f>
        <v>3477</v>
      </c>
      <c r="AX2" s="2">
        <f>AI2*499</f>
        <v>10479</v>
      </c>
      <c r="AY2">
        <v>13074</v>
      </c>
      <c r="AZ2">
        <v>13573</v>
      </c>
      <c r="BA2">
        <v>8671</v>
      </c>
      <c r="BB2">
        <v>3941</v>
      </c>
      <c r="BC2">
        <v>0.45</v>
      </c>
      <c r="BD2">
        <v>2542</v>
      </c>
      <c r="BE2">
        <v>2506</v>
      </c>
      <c r="BF2">
        <v>2445</v>
      </c>
      <c r="BG2">
        <v>2393</v>
      </c>
      <c r="BH2">
        <v>2292</v>
      </c>
      <c r="BI2">
        <v>2240</v>
      </c>
      <c r="BJ2">
        <v>2229</v>
      </c>
      <c r="BK2">
        <v>2202</v>
      </c>
      <c r="BL2">
        <v>2034</v>
      </c>
      <c r="BM2">
        <v>1323</v>
      </c>
      <c r="BN2">
        <v>977</v>
      </c>
      <c r="BO2">
        <v>14011</v>
      </c>
      <c r="BP2" s="3">
        <v>886.94</v>
      </c>
      <c r="BQ2">
        <v>59</v>
      </c>
      <c r="BR2">
        <v>20</v>
      </c>
      <c r="BS2">
        <v>39</v>
      </c>
      <c r="BT2">
        <v>34</v>
      </c>
      <c r="BU2">
        <v>25</v>
      </c>
      <c r="BV2">
        <v>18</v>
      </c>
      <c r="BW2">
        <v>10</v>
      </c>
      <c r="BX2">
        <v>4</v>
      </c>
      <c r="BY2">
        <v>1</v>
      </c>
      <c r="BZ2">
        <v>15</v>
      </c>
      <c r="CA2">
        <v>16</v>
      </c>
      <c r="CB2">
        <v>6</v>
      </c>
      <c r="CC2">
        <v>5</v>
      </c>
      <c r="CD2">
        <v>14</v>
      </c>
      <c r="CE2">
        <v>15</v>
      </c>
      <c r="CF2" s="2">
        <f>CG2+CH2</f>
        <v>12212.5</v>
      </c>
      <c r="CG2" s="2">
        <f>CO2+CP2</f>
        <v>3526.5</v>
      </c>
      <c r="CH2" s="2">
        <f>CK2+CL2</f>
        <v>8686</v>
      </c>
      <c r="CI2" s="2">
        <f>CP2+CK2</f>
        <v>10915</v>
      </c>
      <c r="CJ2" s="2">
        <f>CL2+CO2</f>
        <v>1297.5</v>
      </c>
      <c r="CK2" s="2">
        <f>(BV2-BY2-BX2)*499+CM2+CN2</f>
        <v>7987</v>
      </c>
      <c r="CL2" s="2">
        <f>BW2*69.9</f>
        <v>699</v>
      </c>
      <c r="CM2" s="2">
        <f>BX2*261</f>
        <v>1044</v>
      </c>
      <c r="CN2" s="2">
        <f>BY2*456</f>
        <v>456</v>
      </c>
      <c r="CO2" s="2">
        <f>BZ2*39.9</f>
        <v>598.5</v>
      </c>
      <c r="CP2" s="2">
        <f>CA2*183</f>
        <v>2928</v>
      </c>
      <c r="CQ2" s="2">
        <f>CB2*39.9</f>
        <v>239.39999999999998</v>
      </c>
      <c r="CR2" s="2">
        <f>CC2*69.9</f>
        <v>349.5</v>
      </c>
      <c r="CS2" s="2">
        <f>CD2*183</f>
        <v>2562</v>
      </c>
      <c r="CT2" s="2">
        <f>CE2*499</f>
        <v>7485</v>
      </c>
    </row>
    <row r="3" spans="1:98">
      <c r="A3" t="s">
        <v>70</v>
      </c>
      <c r="B3" t="s">
        <v>69</v>
      </c>
      <c r="C3">
        <v>32222</v>
      </c>
      <c r="D3">
        <v>28589</v>
      </c>
      <c r="E3">
        <v>21688</v>
      </c>
      <c r="F3">
        <v>10402</v>
      </c>
      <c r="G3">
        <v>0.48</v>
      </c>
      <c r="H3">
        <v>6377</v>
      </c>
      <c r="I3">
        <v>6289</v>
      </c>
      <c r="J3">
        <v>6172</v>
      </c>
      <c r="K3">
        <v>6083</v>
      </c>
      <c r="L3">
        <v>5690</v>
      </c>
      <c r="M3">
        <v>5579</v>
      </c>
      <c r="N3">
        <v>5437</v>
      </c>
      <c r="O3">
        <v>5217</v>
      </c>
      <c r="P3">
        <v>4831</v>
      </c>
      <c r="Q3">
        <v>3824</v>
      </c>
      <c r="R3">
        <v>3035</v>
      </c>
      <c r="S3">
        <v>40648</v>
      </c>
      <c r="T3" s="3">
        <v>2001.9</v>
      </c>
      <c r="U3">
        <v>83</v>
      </c>
      <c r="V3">
        <v>34</v>
      </c>
      <c r="W3">
        <v>49</v>
      </c>
      <c r="X3">
        <v>44</v>
      </c>
      <c r="Y3">
        <v>39</v>
      </c>
      <c r="Z3">
        <v>22</v>
      </c>
      <c r="AA3">
        <v>20</v>
      </c>
      <c r="AB3">
        <v>4</v>
      </c>
      <c r="AC3">
        <v>3</v>
      </c>
      <c r="AD3">
        <v>19</v>
      </c>
      <c r="AE3">
        <v>22</v>
      </c>
      <c r="AF3">
        <v>10</v>
      </c>
      <c r="AG3">
        <v>9</v>
      </c>
      <c r="AH3">
        <v>18</v>
      </c>
      <c r="AI3">
        <v>21</v>
      </c>
      <c r="AJ3" s="2">
        <f t="shared" ref="AJ3:AJ24" si="0">AK3+AL3</f>
        <v>16079.1</v>
      </c>
      <c r="AK3" s="2">
        <f t="shared" ref="AK3:AK24" si="1">AS3+AT3</f>
        <v>4784.1000000000004</v>
      </c>
      <c r="AL3" s="2">
        <f t="shared" ref="AL3:AL24" si="2">AO3+AP3</f>
        <v>11295</v>
      </c>
      <c r="AM3" s="2">
        <f t="shared" ref="AM3:AM24" si="3">AT3+AO3</f>
        <v>13923</v>
      </c>
      <c r="AN3" s="2">
        <f t="shared" ref="AN3:AN24" si="4">AP3+AS3</f>
        <v>2156.1</v>
      </c>
      <c r="AO3" s="2">
        <f t="shared" ref="AO3:AO24" si="5">(Z3-AC3-AB3)*499+AQ3+AR3</f>
        <v>9897</v>
      </c>
      <c r="AP3" s="2">
        <f t="shared" ref="AP3:AP24" si="6">AA3*69.9</f>
        <v>1398</v>
      </c>
      <c r="AQ3" s="2">
        <f t="shared" ref="AQ3:AQ24" si="7">AB3*261</f>
        <v>1044</v>
      </c>
      <c r="AR3" s="2">
        <f t="shared" ref="AR3:AR24" si="8">AC3*456</f>
        <v>1368</v>
      </c>
      <c r="AS3" s="2">
        <f t="shared" ref="AS3:AS24" si="9">AD3*39.9</f>
        <v>758.1</v>
      </c>
      <c r="AT3" s="2">
        <f t="shared" ref="AT3:AT24" si="10">AE3*183</f>
        <v>4026</v>
      </c>
      <c r="AU3" s="2">
        <f t="shared" ref="AU3:AU24" si="11">AF3*39.9</f>
        <v>399</v>
      </c>
      <c r="AV3" s="2">
        <f t="shared" ref="AV3:AV24" si="12">AG3*69.9</f>
        <v>629.1</v>
      </c>
      <c r="AW3" s="2">
        <f t="shared" ref="AW3:AW24" si="13">AH3*183</f>
        <v>3294</v>
      </c>
      <c r="AX3" s="2">
        <f t="shared" ref="AX3:AX24" si="14">AI3*499</f>
        <v>10479</v>
      </c>
      <c r="AY3">
        <v>11658</v>
      </c>
      <c r="AZ3">
        <v>10183</v>
      </c>
      <c r="BA3">
        <v>7595</v>
      </c>
      <c r="BB3">
        <v>3599</v>
      </c>
      <c r="BC3">
        <v>0.47</v>
      </c>
      <c r="BD3">
        <v>2266</v>
      </c>
      <c r="BE3">
        <v>2238</v>
      </c>
      <c r="BF3">
        <v>2162</v>
      </c>
      <c r="BG3">
        <v>2145</v>
      </c>
      <c r="BH3">
        <v>1975</v>
      </c>
      <c r="BI3">
        <v>1929</v>
      </c>
      <c r="BJ3">
        <v>1868</v>
      </c>
      <c r="BK3">
        <v>1822</v>
      </c>
      <c r="BL3">
        <v>1765</v>
      </c>
      <c r="BM3">
        <v>1267</v>
      </c>
      <c r="BN3">
        <v>994</v>
      </c>
      <c r="BO3">
        <v>14566</v>
      </c>
      <c r="BP3" s="3">
        <v>732.68</v>
      </c>
      <c r="BQ3">
        <v>54</v>
      </c>
      <c r="BR3">
        <v>19</v>
      </c>
      <c r="BS3">
        <v>35</v>
      </c>
      <c r="BT3">
        <v>29</v>
      </c>
      <c r="BU3">
        <v>25</v>
      </c>
      <c r="BV3">
        <v>12</v>
      </c>
      <c r="BW3">
        <v>13</v>
      </c>
      <c r="BX3">
        <v>2</v>
      </c>
      <c r="BY3">
        <v>2</v>
      </c>
      <c r="BZ3">
        <v>12</v>
      </c>
      <c r="CA3">
        <v>17</v>
      </c>
      <c r="CB3">
        <v>5</v>
      </c>
      <c r="CC3">
        <v>7</v>
      </c>
      <c r="CD3">
        <v>14</v>
      </c>
      <c r="CE3">
        <v>11</v>
      </c>
      <c r="CF3" s="2">
        <f t="shared" ref="CF3:CF24" si="15">CG3+CH3</f>
        <v>9924.5</v>
      </c>
      <c r="CG3" s="2">
        <f t="shared" ref="CG3:CG24" si="16">CO3+CP3</f>
        <v>3589.8</v>
      </c>
      <c r="CH3" s="2">
        <f t="shared" ref="CH3:CH24" si="17">CK3+CL3</f>
        <v>6334.7</v>
      </c>
      <c r="CI3" s="2">
        <f t="shared" ref="CI3:CI24" si="18">CP3+CK3</f>
        <v>8537</v>
      </c>
      <c r="CJ3" s="2">
        <f t="shared" ref="CJ3:CJ24" si="19">CL3+CO3</f>
        <v>1387.5</v>
      </c>
      <c r="CK3" s="2">
        <f t="shared" ref="CK3:CK24" si="20">(BV3-BY3-BX3)*499+CM3+CN3</f>
        <v>5426</v>
      </c>
      <c r="CL3" s="2">
        <f t="shared" ref="CL3:CL23" si="21">BW3*69.9</f>
        <v>908.7</v>
      </c>
      <c r="CM3" s="2">
        <f t="shared" ref="CM3:CM24" si="22">BX3*261</f>
        <v>522</v>
      </c>
      <c r="CN3" s="2">
        <f t="shared" ref="CN3:CN24" si="23">BY3*456</f>
        <v>912</v>
      </c>
      <c r="CO3" s="2">
        <f t="shared" ref="CO3:CO24" si="24">BZ3*39.9</f>
        <v>478.79999999999995</v>
      </c>
      <c r="CP3" s="2">
        <f t="shared" ref="CP3:CP24" si="25">CA3*183</f>
        <v>3111</v>
      </c>
      <c r="CQ3" s="2">
        <f t="shared" ref="CQ3:CQ24" si="26">CB3*39.9</f>
        <v>199.5</v>
      </c>
      <c r="CR3" s="2">
        <f t="shared" ref="CR3:CR24" si="27">CC3*69.9</f>
        <v>489.30000000000007</v>
      </c>
      <c r="CS3" s="2">
        <f t="shared" ref="CS3:CS24" si="28">CD3*183</f>
        <v>2562</v>
      </c>
      <c r="CT3" s="2">
        <f t="shared" ref="CT3:CT24" si="29">CE3*499</f>
        <v>5489</v>
      </c>
    </row>
    <row r="4" spans="1:98">
      <c r="A4" t="s">
        <v>71</v>
      </c>
      <c r="B4" t="s">
        <v>69</v>
      </c>
      <c r="C4">
        <v>33281</v>
      </c>
      <c r="D4">
        <v>28987</v>
      </c>
      <c r="E4">
        <v>22430</v>
      </c>
      <c r="F4">
        <v>10749</v>
      </c>
      <c r="G4">
        <v>0.48</v>
      </c>
      <c r="H4">
        <v>6364</v>
      </c>
      <c r="I4">
        <v>6277</v>
      </c>
      <c r="J4">
        <v>6205</v>
      </c>
      <c r="K4">
        <v>6092</v>
      </c>
      <c r="L4">
        <v>5837</v>
      </c>
      <c r="M4">
        <v>5730</v>
      </c>
      <c r="N4">
        <v>5661</v>
      </c>
      <c r="O4">
        <v>5555</v>
      </c>
      <c r="P4">
        <v>5184</v>
      </c>
      <c r="Q4">
        <v>3453</v>
      </c>
      <c r="R4">
        <v>2526</v>
      </c>
      <c r="S4">
        <v>44475</v>
      </c>
      <c r="T4" s="3">
        <v>2410.38</v>
      </c>
      <c r="U4">
        <v>85</v>
      </c>
      <c r="V4">
        <v>29</v>
      </c>
      <c r="W4">
        <v>56</v>
      </c>
      <c r="X4">
        <v>47</v>
      </c>
      <c r="Y4">
        <v>38</v>
      </c>
      <c r="Z4">
        <v>23</v>
      </c>
      <c r="AA4">
        <v>17</v>
      </c>
      <c r="AB4">
        <v>4</v>
      </c>
      <c r="AC4">
        <v>2</v>
      </c>
      <c r="AD4">
        <v>21</v>
      </c>
      <c r="AE4">
        <v>24</v>
      </c>
      <c r="AF4">
        <v>11</v>
      </c>
      <c r="AG4">
        <v>9</v>
      </c>
      <c r="AH4">
        <v>22</v>
      </c>
      <c r="AI4">
        <v>21</v>
      </c>
      <c r="AJ4" s="2">
        <f t="shared" si="0"/>
        <v>16857.199999999997</v>
      </c>
      <c r="AK4" s="2">
        <f t="shared" si="1"/>
        <v>5229.8999999999996</v>
      </c>
      <c r="AL4" s="2">
        <f t="shared" si="2"/>
        <v>11627.3</v>
      </c>
      <c r="AM4" s="2">
        <f t="shared" si="3"/>
        <v>14831</v>
      </c>
      <c r="AN4" s="2">
        <f t="shared" si="4"/>
        <v>2026.2000000000003</v>
      </c>
      <c r="AO4" s="2">
        <f t="shared" si="5"/>
        <v>10439</v>
      </c>
      <c r="AP4" s="2">
        <f t="shared" si="6"/>
        <v>1188.3000000000002</v>
      </c>
      <c r="AQ4" s="2">
        <f t="shared" si="7"/>
        <v>1044</v>
      </c>
      <c r="AR4" s="2">
        <f t="shared" si="8"/>
        <v>912</v>
      </c>
      <c r="AS4" s="2">
        <f t="shared" si="9"/>
        <v>837.9</v>
      </c>
      <c r="AT4" s="2">
        <f t="shared" si="10"/>
        <v>4392</v>
      </c>
      <c r="AU4" s="2">
        <f t="shared" si="11"/>
        <v>438.9</v>
      </c>
      <c r="AV4" s="2">
        <f t="shared" si="12"/>
        <v>629.1</v>
      </c>
      <c r="AW4" s="2">
        <f t="shared" si="13"/>
        <v>4026</v>
      </c>
      <c r="AX4" s="2">
        <f t="shared" si="14"/>
        <v>10479</v>
      </c>
      <c r="AY4">
        <v>14230</v>
      </c>
      <c r="AZ4">
        <v>9885</v>
      </c>
      <c r="BA4">
        <v>9468</v>
      </c>
      <c r="BB4">
        <v>4892</v>
      </c>
      <c r="BC4">
        <v>0.52</v>
      </c>
      <c r="BD4">
        <v>2890</v>
      </c>
      <c r="BE4">
        <v>2843</v>
      </c>
      <c r="BF4">
        <v>2769</v>
      </c>
      <c r="BG4">
        <v>2695</v>
      </c>
      <c r="BH4">
        <v>2560</v>
      </c>
      <c r="BI4">
        <v>2486</v>
      </c>
      <c r="BJ4">
        <v>2417</v>
      </c>
      <c r="BK4">
        <v>2325</v>
      </c>
      <c r="BL4">
        <v>2251</v>
      </c>
      <c r="BM4">
        <v>1499</v>
      </c>
      <c r="BN4">
        <v>1158</v>
      </c>
      <c r="BO4">
        <v>16275</v>
      </c>
      <c r="BP4" s="3">
        <v>901.78</v>
      </c>
      <c r="BQ4">
        <v>73</v>
      </c>
      <c r="BR4">
        <v>24</v>
      </c>
      <c r="BS4">
        <v>49</v>
      </c>
      <c r="BT4">
        <v>35</v>
      </c>
      <c r="BU4">
        <v>38</v>
      </c>
      <c r="BV4">
        <v>18</v>
      </c>
      <c r="BW4">
        <v>19</v>
      </c>
      <c r="BX4">
        <v>3</v>
      </c>
      <c r="BY4">
        <v>1</v>
      </c>
      <c r="BZ4">
        <v>19</v>
      </c>
      <c r="CA4">
        <v>17</v>
      </c>
      <c r="CB4">
        <v>11</v>
      </c>
      <c r="CC4">
        <v>7</v>
      </c>
      <c r="CD4">
        <v>13</v>
      </c>
      <c r="CE4">
        <v>15</v>
      </c>
      <c r="CF4" s="2">
        <f t="shared" si="15"/>
        <v>13422.2</v>
      </c>
      <c r="CG4" s="2">
        <f t="shared" si="16"/>
        <v>3869.1</v>
      </c>
      <c r="CH4" s="2">
        <f t="shared" si="17"/>
        <v>9553.1</v>
      </c>
      <c r="CI4" s="2">
        <f t="shared" si="18"/>
        <v>11336</v>
      </c>
      <c r="CJ4" s="2">
        <f t="shared" si="19"/>
        <v>2086.2000000000003</v>
      </c>
      <c r="CK4" s="2">
        <f t="shared" si="20"/>
        <v>8225</v>
      </c>
      <c r="CL4" s="2">
        <f>BW4*69.9</f>
        <v>1328.1000000000001</v>
      </c>
      <c r="CM4" s="2">
        <f t="shared" si="22"/>
        <v>783</v>
      </c>
      <c r="CN4" s="2">
        <f t="shared" si="23"/>
        <v>456</v>
      </c>
      <c r="CO4" s="2">
        <f t="shared" si="24"/>
        <v>758.1</v>
      </c>
      <c r="CP4" s="2">
        <f t="shared" si="25"/>
        <v>3111</v>
      </c>
      <c r="CQ4" s="2">
        <f t="shared" si="26"/>
        <v>438.9</v>
      </c>
      <c r="CR4" s="2">
        <f t="shared" si="27"/>
        <v>489.30000000000007</v>
      </c>
      <c r="CS4" s="2">
        <f t="shared" si="28"/>
        <v>2379</v>
      </c>
      <c r="CT4" s="2">
        <f t="shared" si="29"/>
        <v>7485</v>
      </c>
    </row>
    <row r="5" spans="1:98">
      <c r="A5" t="s">
        <v>72</v>
      </c>
      <c r="B5" t="s">
        <v>69</v>
      </c>
      <c r="C5">
        <v>33242</v>
      </c>
      <c r="D5">
        <v>30172</v>
      </c>
      <c r="E5">
        <v>24208</v>
      </c>
      <c r="F5">
        <v>10819</v>
      </c>
      <c r="G5">
        <v>0.45</v>
      </c>
      <c r="H5">
        <v>6865</v>
      </c>
      <c r="I5">
        <v>6774</v>
      </c>
      <c r="J5">
        <v>6670</v>
      </c>
      <c r="K5">
        <v>6507</v>
      </c>
      <c r="L5">
        <v>6242</v>
      </c>
      <c r="M5">
        <v>6126</v>
      </c>
      <c r="N5">
        <v>6003</v>
      </c>
      <c r="O5">
        <v>5859</v>
      </c>
      <c r="P5">
        <v>5524</v>
      </c>
      <c r="Q5">
        <v>3875</v>
      </c>
      <c r="R5">
        <v>3192</v>
      </c>
      <c r="S5">
        <v>42879</v>
      </c>
      <c r="T5" s="3">
        <v>2232.6799999999998</v>
      </c>
      <c r="U5">
        <v>87</v>
      </c>
      <c r="V5">
        <v>33</v>
      </c>
      <c r="W5">
        <v>54</v>
      </c>
      <c r="X5">
        <v>50</v>
      </c>
      <c r="Y5">
        <v>37</v>
      </c>
      <c r="Z5">
        <v>26</v>
      </c>
      <c r="AA5">
        <v>17</v>
      </c>
      <c r="AB5">
        <v>4</v>
      </c>
      <c r="AC5">
        <v>3</v>
      </c>
      <c r="AD5">
        <v>20</v>
      </c>
      <c r="AE5">
        <v>24</v>
      </c>
      <c r="AF5">
        <v>9</v>
      </c>
      <c r="AG5">
        <v>10</v>
      </c>
      <c r="AH5">
        <v>18</v>
      </c>
      <c r="AI5">
        <v>23</v>
      </c>
      <c r="AJ5" s="2">
        <f t="shared" si="0"/>
        <v>18271.3</v>
      </c>
      <c r="AK5" s="2">
        <f t="shared" si="1"/>
        <v>5190</v>
      </c>
      <c r="AL5" s="2">
        <f t="shared" si="2"/>
        <v>13081.3</v>
      </c>
      <c r="AM5" s="2">
        <f t="shared" si="3"/>
        <v>16285</v>
      </c>
      <c r="AN5" s="2">
        <f t="shared" si="4"/>
        <v>1986.3000000000002</v>
      </c>
      <c r="AO5" s="2">
        <f t="shared" si="5"/>
        <v>11893</v>
      </c>
      <c r="AP5" s="2">
        <f t="shared" si="6"/>
        <v>1188.3000000000002</v>
      </c>
      <c r="AQ5" s="2">
        <f t="shared" si="7"/>
        <v>1044</v>
      </c>
      <c r="AR5" s="2">
        <f t="shared" si="8"/>
        <v>1368</v>
      </c>
      <c r="AS5" s="2">
        <f t="shared" si="9"/>
        <v>798</v>
      </c>
      <c r="AT5" s="2">
        <f t="shared" si="10"/>
        <v>4392</v>
      </c>
      <c r="AU5" s="2">
        <f t="shared" si="11"/>
        <v>359.09999999999997</v>
      </c>
      <c r="AV5" s="2">
        <f t="shared" si="12"/>
        <v>699</v>
      </c>
      <c r="AW5" s="2">
        <f t="shared" si="13"/>
        <v>3294</v>
      </c>
      <c r="AX5" s="2">
        <f t="shared" si="14"/>
        <v>11477</v>
      </c>
      <c r="AY5">
        <v>12754</v>
      </c>
      <c r="AZ5">
        <v>14200</v>
      </c>
      <c r="BA5">
        <v>8065</v>
      </c>
      <c r="BB5">
        <v>4140</v>
      </c>
      <c r="BC5">
        <v>0.51</v>
      </c>
      <c r="BD5">
        <v>2465</v>
      </c>
      <c r="BE5">
        <v>2396</v>
      </c>
      <c r="BF5">
        <v>2370</v>
      </c>
      <c r="BG5">
        <v>2357</v>
      </c>
      <c r="BH5">
        <v>2211</v>
      </c>
      <c r="BI5">
        <v>2191</v>
      </c>
      <c r="BJ5">
        <v>2162</v>
      </c>
      <c r="BK5">
        <v>2083</v>
      </c>
      <c r="BL5">
        <v>1937</v>
      </c>
      <c r="BM5">
        <v>1189</v>
      </c>
      <c r="BN5">
        <v>932</v>
      </c>
      <c r="BO5">
        <v>14466</v>
      </c>
      <c r="BP5" s="3">
        <v>700.55</v>
      </c>
      <c r="BQ5">
        <v>63</v>
      </c>
      <c r="BR5">
        <v>21</v>
      </c>
      <c r="BS5">
        <v>42</v>
      </c>
      <c r="BT5">
        <v>33</v>
      </c>
      <c r="BU5">
        <v>30</v>
      </c>
      <c r="BV5">
        <v>16</v>
      </c>
      <c r="BW5">
        <v>14</v>
      </c>
      <c r="BX5">
        <v>3</v>
      </c>
      <c r="BY5">
        <v>1</v>
      </c>
      <c r="BZ5">
        <v>16</v>
      </c>
      <c r="CA5">
        <v>17</v>
      </c>
      <c r="CB5">
        <v>9</v>
      </c>
      <c r="CC5">
        <v>6</v>
      </c>
      <c r="CD5">
        <v>15</v>
      </c>
      <c r="CE5">
        <v>14</v>
      </c>
      <c r="CF5" s="2">
        <f t="shared" si="15"/>
        <v>11955</v>
      </c>
      <c r="CG5" s="2">
        <f t="shared" si="16"/>
        <v>3749.4</v>
      </c>
      <c r="CH5" s="2">
        <f t="shared" si="17"/>
        <v>8205.6</v>
      </c>
      <c r="CI5" s="2">
        <f t="shared" si="18"/>
        <v>10338</v>
      </c>
      <c r="CJ5" s="2">
        <f t="shared" si="19"/>
        <v>1617</v>
      </c>
      <c r="CK5" s="2">
        <f t="shared" si="20"/>
        <v>7227</v>
      </c>
      <c r="CL5" s="2">
        <f t="shared" si="21"/>
        <v>978.60000000000014</v>
      </c>
      <c r="CM5" s="2">
        <f t="shared" si="22"/>
        <v>783</v>
      </c>
      <c r="CN5" s="2">
        <f t="shared" si="23"/>
        <v>456</v>
      </c>
      <c r="CO5" s="2">
        <f t="shared" si="24"/>
        <v>638.4</v>
      </c>
      <c r="CP5" s="2">
        <f t="shared" si="25"/>
        <v>3111</v>
      </c>
      <c r="CQ5" s="2">
        <f t="shared" si="26"/>
        <v>359.09999999999997</v>
      </c>
      <c r="CR5" s="2">
        <f t="shared" si="27"/>
        <v>419.40000000000003</v>
      </c>
      <c r="CS5" s="2">
        <f t="shared" si="28"/>
        <v>2745</v>
      </c>
      <c r="CT5" s="2">
        <f t="shared" si="29"/>
        <v>6986</v>
      </c>
    </row>
    <row r="6" spans="1:98">
      <c r="A6" t="s">
        <v>73</v>
      </c>
      <c r="B6" t="s">
        <v>69</v>
      </c>
      <c r="C6">
        <v>34149</v>
      </c>
      <c r="D6">
        <v>30038</v>
      </c>
      <c r="E6">
        <v>23342</v>
      </c>
      <c r="F6">
        <v>10701</v>
      </c>
      <c r="G6">
        <v>0.46</v>
      </c>
      <c r="H6">
        <v>6557</v>
      </c>
      <c r="I6">
        <v>6463</v>
      </c>
      <c r="J6">
        <v>6282</v>
      </c>
      <c r="K6">
        <v>6098</v>
      </c>
      <c r="L6">
        <v>5671</v>
      </c>
      <c r="M6">
        <v>5595</v>
      </c>
      <c r="N6">
        <v>5491</v>
      </c>
      <c r="O6">
        <v>5244</v>
      </c>
      <c r="P6">
        <v>4949</v>
      </c>
      <c r="Q6">
        <v>3733</v>
      </c>
      <c r="R6">
        <v>2896</v>
      </c>
      <c r="S6">
        <v>37841</v>
      </c>
      <c r="T6" s="3">
        <v>1838.27</v>
      </c>
      <c r="U6">
        <v>86</v>
      </c>
      <c r="V6">
        <v>32</v>
      </c>
      <c r="W6">
        <v>54</v>
      </c>
      <c r="X6">
        <v>46</v>
      </c>
      <c r="Y6">
        <v>40</v>
      </c>
      <c r="Z6">
        <v>21</v>
      </c>
      <c r="AA6">
        <v>21</v>
      </c>
      <c r="AB6">
        <v>3</v>
      </c>
      <c r="AC6">
        <v>2</v>
      </c>
      <c r="AD6">
        <v>19</v>
      </c>
      <c r="AE6">
        <v>25</v>
      </c>
      <c r="AF6">
        <v>11</v>
      </c>
      <c r="AG6">
        <v>12</v>
      </c>
      <c r="AH6">
        <v>19</v>
      </c>
      <c r="AI6">
        <v>20</v>
      </c>
      <c r="AJ6" s="2">
        <f t="shared" si="0"/>
        <v>16480</v>
      </c>
      <c r="AK6" s="2">
        <f t="shared" si="1"/>
        <v>5333.1</v>
      </c>
      <c r="AL6" s="2">
        <f t="shared" si="2"/>
        <v>11146.9</v>
      </c>
      <c r="AM6" s="2">
        <f t="shared" si="3"/>
        <v>14254</v>
      </c>
      <c r="AN6" s="2">
        <f t="shared" si="4"/>
        <v>2226</v>
      </c>
      <c r="AO6" s="2">
        <f t="shared" si="5"/>
        <v>9679</v>
      </c>
      <c r="AP6" s="2">
        <f t="shared" si="6"/>
        <v>1467.9</v>
      </c>
      <c r="AQ6" s="2">
        <f t="shared" si="7"/>
        <v>783</v>
      </c>
      <c r="AR6" s="2">
        <f t="shared" si="8"/>
        <v>912</v>
      </c>
      <c r="AS6" s="2">
        <f t="shared" si="9"/>
        <v>758.1</v>
      </c>
      <c r="AT6" s="2">
        <f t="shared" si="10"/>
        <v>4575</v>
      </c>
      <c r="AU6" s="2">
        <f t="shared" si="11"/>
        <v>438.9</v>
      </c>
      <c r="AV6" s="2">
        <f t="shared" si="12"/>
        <v>838.80000000000007</v>
      </c>
      <c r="AW6" s="2">
        <f t="shared" si="13"/>
        <v>3477</v>
      </c>
      <c r="AX6" s="2">
        <f t="shared" si="14"/>
        <v>9980</v>
      </c>
      <c r="AY6">
        <v>12376</v>
      </c>
      <c r="AZ6">
        <v>10720</v>
      </c>
      <c r="BA6">
        <v>7826</v>
      </c>
      <c r="BB6">
        <v>3819</v>
      </c>
      <c r="BC6">
        <v>0.49</v>
      </c>
      <c r="BD6">
        <v>2267</v>
      </c>
      <c r="BE6">
        <v>2214</v>
      </c>
      <c r="BF6">
        <v>2173</v>
      </c>
      <c r="BG6">
        <v>2169</v>
      </c>
      <c r="BH6">
        <v>2006</v>
      </c>
      <c r="BI6">
        <v>1997</v>
      </c>
      <c r="BJ6">
        <v>1935</v>
      </c>
      <c r="BK6">
        <v>1874</v>
      </c>
      <c r="BL6">
        <v>1788</v>
      </c>
      <c r="BM6">
        <v>1183</v>
      </c>
      <c r="BN6">
        <v>986</v>
      </c>
      <c r="BO6">
        <v>15280</v>
      </c>
      <c r="BP6" s="3">
        <v>980.89</v>
      </c>
      <c r="BQ6">
        <v>57</v>
      </c>
      <c r="BR6">
        <v>19</v>
      </c>
      <c r="BS6">
        <v>38</v>
      </c>
      <c r="BT6">
        <v>32</v>
      </c>
      <c r="BU6">
        <v>25</v>
      </c>
      <c r="BV6">
        <v>16</v>
      </c>
      <c r="BW6">
        <v>12</v>
      </c>
      <c r="BX6">
        <v>3</v>
      </c>
      <c r="BY6">
        <v>2</v>
      </c>
      <c r="BZ6">
        <v>13</v>
      </c>
      <c r="CA6">
        <v>16</v>
      </c>
      <c r="CB6">
        <v>5</v>
      </c>
      <c r="CC6">
        <v>4</v>
      </c>
      <c r="CD6">
        <v>14</v>
      </c>
      <c r="CE6">
        <v>15</v>
      </c>
      <c r="CF6" s="2">
        <f t="shared" si="15"/>
        <v>11469.5</v>
      </c>
      <c r="CG6" s="2">
        <f t="shared" si="16"/>
        <v>3446.7</v>
      </c>
      <c r="CH6" s="2">
        <f t="shared" si="17"/>
        <v>8022.8</v>
      </c>
      <c r="CI6" s="2">
        <f t="shared" si="18"/>
        <v>10112</v>
      </c>
      <c r="CJ6" s="2">
        <f t="shared" si="19"/>
        <v>1357.5</v>
      </c>
      <c r="CK6" s="2">
        <f t="shared" si="20"/>
        <v>7184</v>
      </c>
      <c r="CL6" s="2">
        <f t="shared" si="21"/>
        <v>838.80000000000007</v>
      </c>
      <c r="CM6" s="2">
        <f t="shared" si="22"/>
        <v>783</v>
      </c>
      <c r="CN6" s="2">
        <f t="shared" si="23"/>
        <v>912</v>
      </c>
      <c r="CO6" s="2">
        <f t="shared" si="24"/>
        <v>518.69999999999993</v>
      </c>
      <c r="CP6" s="2">
        <f t="shared" si="25"/>
        <v>2928</v>
      </c>
      <c r="CQ6" s="2">
        <f t="shared" si="26"/>
        <v>199.5</v>
      </c>
      <c r="CR6" s="2">
        <f t="shared" si="27"/>
        <v>279.60000000000002</v>
      </c>
      <c r="CS6" s="2">
        <f t="shared" si="28"/>
        <v>2562</v>
      </c>
      <c r="CT6" s="2">
        <f t="shared" si="29"/>
        <v>7485</v>
      </c>
    </row>
    <row r="7" spans="1:98">
      <c r="A7" t="s">
        <v>74</v>
      </c>
      <c r="B7" t="s">
        <v>69</v>
      </c>
      <c r="C7">
        <v>35616</v>
      </c>
      <c r="D7">
        <v>30936</v>
      </c>
      <c r="E7">
        <v>24492</v>
      </c>
      <c r="F7">
        <v>11164</v>
      </c>
      <c r="G7">
        <v>0.46</v>
      </c>
      <c r="H7">
        <v>7044</v>
      </c>
      <c r="I7">
        <v>6936</v>
      </c>
      <c r="J7">
        <v>6815</v>
      </c>
      <c r="K7">
        <v>6674</v>
      </c>
      <c r="L7">
        <v>6218</v>
      </c>
      <c r="M7">
        <v>6066</v>
      </c>
      <c r="N7">
        <v>6014</v>
      </c>
      <c r="O7">
        <v>5932</v>
      </c>
      <c r="P7">
        <v>5650</v>
      </c>
      <c r="Q7">
        <v>4357</v>
      </c>
      <c r="R7">
        <v>3417</v>
      </c>
      <c r="S7">
        <v>46607</v>
      </c>
      <c r="T7" s="3">
        <v>2547.41</v>
      </c>
      <c r="U7">
        <v>90</v>
      </c>
      <c r="V7">
        <v>33</v>
      </c>
      <c r="W7">
        <v>57</v>
      </c>
      <c r="X7">
        <v>51</v>
      </c>
      <c r="Y7">
        <v>39</v>
      </c>
      <c r="Z7">
        <v>24</v>
      </c>
      <c r="AA7">
        <v>16</v>
      </c>
      <c r="AB7">
        <v>6</v>
      </c>
      <c r="AC7">
        <v>3</v>
      </c>
      <c r="AD7">
        <v>23</v>
      </c>
      <c r="AE7">
        <v>27</v>
      </c>
      <c r="AF7">
        <v>11</v>
      </c>
      <c r="AG7">
        <v>9</v>
      </c>
      <c r="AH7">
        <v>23</v>
      </c>
      <c r="AI7">
        <v>23</v>
      </c>
      <c r="AJ7" s="2">
        <f t="shared" si="0"/>
        <v>17396.099999999999</v>
      </c>
      <c r="AK7" s="2">
        <f t="shared" si="1"/>
        <v>5858.7</v>
      </c>
      <c r="AL7" s="2">
        <f t="shared" si="2"/>
        <v>11537.4</v>
      </c>
      <c r="AM7" s="2">
        <f t="shared" si="3"/>
        <v>15360</v>
      </c>
      <c r="AN7" s="2">
        <f t="shared" si="4"/>
        <v>2036.1</v>
      </c>
      <c r="AO7" s="2">
        <f t="shared" si="5"/>
        <v>10419</v>
      </c>
      <c r="AP7" s="2">
        <f t="shared" si="6"/>
        <v>1118.4000000000001</v>
      </c>
      <c r="AQ7" s="2">
        <f t="shared" si="7"/>
        <v>1566</v>
      </c>
      <c r="AR7" s="2">
        <f t="shared" si="8"/>
        <v>1368</v>
      </c>
      <c r="AS7" s="2">
        <f t="shared" si="9"/>
        <v>917.69999999999993</v>
      </c>
      <c r="AT7" s="2">
        <f t="shared" si="10"/>
        <v>4941</v>
      </c>
      <c r="AU7" s="2">
        <f t="shared" si="11"/>
        <v>438.9</v>
      </c>
      <c r="AV7" s="2">
        <f t="shared" si="12"/>
        <v>629.1</v>
      </c>
      <c r="AW7" s="2">
        <f t="shared" si="13"/>
        <v>4209</v>
      </c>
      <c r="AX7" s="2">
        <f t="shared" si="14"/>
        <v>11477</v>
      </c>
      <c r="AY7">
        <v>15133</v>
      </c>
      <c r="AZ7">
        <v>10135</v>
      </c>
      <c r="BA7">
        <v>9406</v>
      </c>
      <c r="BB7">
        <v>4349</v>
      </c>
      <c r="BC7">
        <v>0.46</v>
      </c>
      <c r="BD7">
        <v>2542</v>
      </c>
      <c r="BE7">
        <v>2511</v>
      </c>
      <c r="BF7">
        <v>2469</v>
      </c>
      <c r="BG7">
        <v>2451</v>
      </c>
      <c r="BH7">
        <v>2304</v>
      </c>
      <c r="BI7">
        <v>2268</v>
      </c>
      <c r="BJ7">
        <v>2225</v>
      </c>
      <c r="BK7">
        <v>2124</v>
      </c>
      <c r="BL7">
        <v>1985</v>
      </c>
      <c r="BM7">
        <v>1325</v>
      </c>
      <c r="BN7">
        <v>1110</v>
      </c>
      <c r="BO7">
        <v>15961</v>
      </c>
      <c r="BP7" s="3">
        <v>843.07</v>
      </c>
      <c r="BQ7">
        <v>65</v>
      </c>
      <c r="BR7">
        <v>23</v>
      </c>
      <c r="BS7">
        <v>42</v>
      </c>
      <c r="BT7">
        <v>35</v>
      </c>
      <c r="BU7">
        <v>30</v>
      </c>
      <c r="BV7">
        <v>18</v>
      </c>
      <c r="BW7">
        <v>15</v>
      </c>
      <c r="BX7">
        <v>3</v>
      </c>
      <c r="BY7">
        <v>2</v>
      </c>
      <c r="BZ7">
        <v>15</v>
      </c>
      <c r="CA7">
        <v>17</v>
      </c>
      <c r="CB7">
        <v>7</v>
      </c>
      <c r="CC7">
        <v>7</v>
      </c>
      <c r="CD7">
        <v>13</v>
      </c>
      <c r="CE7">
        <v>17</v>
      </c>
      <c r="CF7" s="2">
        <f t="shared" si="15"/>
        <v>12940</v>
      </c>
      <c r="CG7" s="2">
        <f t="shared" si="16"/>
        <v>3709.5</v>
      </c>
      <c r="CH7" s="2">
        <f t="shared" si="17"/>
        <v>9230.5</v>
      </c>
      <c r="CI7" s="2">
        <f t="shared" si="18"/>
        <v>11293</v>
      </c>
      <c r="CJ7" s="2">
        <f t="shared" si="19"/>
        <v>1647</v>
      </c>
      <c r="CK7" s="2">
        <f t="shared" si="20"/>
        <v>8182</v>
      </c>
      <c r="CL7" s="2">
        <f t="shared" si="21"/>
        <v>1048.5</v>
      </c>
      <c r="CM7" s="2">
        <f t="shared" si="22"/>
        <v>783</v>
      </c>
      <c r="CN7" s="2">
        <f t="shared" si="23"/>
        <v>912</v>
      </c>
      <c r="CO7" s="2">
        <f t="shared" si="24"/>
        <v>598.5</v>
      </c>
      <c r="CP7" s="2">
        <f t="shared" si="25"/>
        <v>3111</v>
      </c>
      <c r="CQ7" s="2">
        <f t="shared" si="26"/>
        <v>279.3</v>
      </c>
      <c r="CR7" s="2">
        <f>CC7*69.9</f>
        <v>489.30000000000007</v>
      </c>
      <c r="CS7" s="2">
        <f t="shared" si="28"/>
        <v>2379</v>
      </c>
      <c r="CT7" s="2">
        <f t="shared" si="29"/>
        <v>8483</v>
      </c>
    </row>
    <row r="8" spans="1:98">
      <c r="A8" t="s">
        <v>75</v>
      </c>
      <c r="B8" t="s">
        <v>69</v>
      </c>
      <c r="C8">
        <v>36274</v>
      </c>
      <c r="D8">
        <v>31717</v>
      </c>
      <c r="E8">
        <v>25374</v>
      </c>
      <c r="F8">
        <v>10966</v>
      </c>
      <c r="G8">
        <v>0.43</v>
      </c>
      <c r="H8">
        <v>6965</v>
      </c>
      <c r="I8">
        <v>6859</v>
      </c>
      <c r="J8">
        <v>6710</v>
      </c>
      <c r="K8">
        <v>6545</v>
      </c>
      <c r="L8">
        <v>5972</v>
      </c>
      <c r="M8">
        <v>5813</v>
      </c>
      <c r="N8">
        <v>5716</v>
      </c>
      <c r="O8">
        <v>5607</v>
      </c>
      <c r="P8">
        <v>5361</v>
      </c>
      <c r="Q8">
        <v>3451</v>
      </c>
      <c r="R8">
        <v>2797</v>
      </c>
      <c r="S8">
        <v>39095</v>
      </c>
      <c r="T8" s="3">
        <v>2216.39</v>
      </c>
      <c r="U8">
        <v>87</v>
      </c>
      <c r="V8">
        <v>36</v>
      </c>
      <c r="W8">
        <v>51</v>
      </c>
      <c r="X8">
        <v>53</v>
      </c>
      <c r="Y8">
        <v>34</v>
      </c>
      <c r="Z8">
        <v>28</v>
      </c>
      <c r="AA8">
        <v>16</v>
      </c>
      <c r="AB8">
        <v>3</v>
      </c>
      <c r="AC8">
        <v>1</v>
      </c>
      <c r="AD8">
        <v>18</v>
      </c>
      <c r="AE8">
        <v>25</v>
      </c>
      <c r="AF8">
        <v>10</v>
      </c>
      <c r="AG8">
        <v>9</v>
      </c>
      <c r="AH8">
        <v>22</v>
      </c>
      <c r="AI8">
        <v>24</v>
      </c>
      <c r="AJ8" s="2">
        <f t="shared" si="0"/>
        <v>19626.599999999999</v>
      </c>
      <c r="AK8" s="2">
        <f t="shared" si="1"/>
        <v>5293.2</v>
      </c>
      <c r="AL8" s="2">
        <f t="shared" si="2"/>
        <v>14333.4</v>
      </c>
      <c r="AM8" s="2">
        <f t="shared" si="3"/>
        <v>17790</v>
      </c>
      <c r="AN8" s="2">
        <f t="shared" si="4"/>
        <v>1836.6</v>
      </c>
      <c r="AO8" s="2">
        <f t="shared" si="5"/>
        <v>13215</v>
      </c>
      <c r="AP8" s="2">
        <f t="shared" si="6"/>
        <v>1118.4000000000001</v>
      </c>
      <c r="AQ8" s="2">
        <f t="shared" si="7"/>
        <v>783</v>
      </c>
      <c r="AR8" s="2">
        <f t="shared" si="8"/>
        <v>456</v>
      </c>
      <c r="AS8" s="2">
        <f t="shared" si="9"/>
        <v>718.19999999999993</v>
      </c>
      <c r="AT8" s="2">
        <f t="shared" si="10"/>
        <v>4575</v>
      </c>
      <c r="AU8" s="2">
        <f t="shared" si="11"/>
        <v>399</v>
      </c>
      <c r="AV8" s="2">
        <f t="shared" si="12"/>
        <v>629.1</v>
      </c>
      <c r="AW8" s="2">
        <f t="shared" si="13"/>
        <v>4026</v>
      </c>
      <c r="AX8" s="2">
        <f t="shared" si="14"/>
        <v>11976</v>
      </c>
      <c r="AY8">
        <v>14836</v>
      </c>
      <c r="AZ8">
        <v>11747</v>
      </c>
      <c r="BA8">
        <v>9485</v>
      </c>
      <c r="BB8">
        <v>4309</v>
      </c>
      <c r="BC8">
        <v>0.45</v>
      </c>
      <c r="BD8">
        <v>2776</v>
      </c>
      <c r="BE8">
        <v>2714</v>
      </c>
      <c r="BF8">
        <v>2674</v>
      </c>
      <c r="BG8">
        <v>2668</v>
      </c>
      <c r="BH8">
        <v>2558</v>
      </c>
      <c r="BI8">
        <v>2527</v>
      </c>
      <c r="BJ8">
        <v>2505</v>
      </c>
      <c r="BK8">
        <v>2389</v>
      </c>
      <c r="BL8">
        <v>2264</v>
      </c>
      <c r="BM8">
        <v>1423</v>
      </c>
      <c r="BN8">
        <v>1203</v>
      </c>
      <c r="BO8">
        <v>21058</v>
      </c>
      <c r="BP8" s="3">
        <v>1209.3900000000001</v>
      </c>
      <c r="BQ8">
        <v>64</v>
      </c>
      <c r="BR8">
        <v>24</v>
      </c>
      <c r="BS8">
        <v>40</v>
      </c>
      <c r="BT8">
        <v>30</v>
      </c>
      <c r="BU8">
        <v>34</v>
      </c>
      <c r="BV8">
        <v>13</v>
      </c>
      <c r="BW8">
        <v>17</v>
      </c>
      <c r="BX8">
        <v>2</v>
      </c>
      <c r="BY8">
        <v>2</v>
      </c>
      <c r="BZ8">
        <v>17</v>
      </c>
      <c r="CA8">
        <v>17</v>
      </c>
      <c r="CB8">
        <v>8</v>
      </c>
      <c r="CC8">
        <v>7</v>
      </c>
      <c r="CD8">
        <v>15</v>
      </c>
      <c r="CE8">
        <v>11</v>
      </c>
      <c r="CF8" s="2">
        <f t="shared" si="15"/>
        <v>10902.6</v>
      </c>
      <c r="CG8" s="2">
        <f t="shared" si="16"/>
        <v>3789.3</v>
      </c>
      <c r="CH8" s="2">
        <f t="shared" si="17"/>
        <v>7113.3</v>
      </c>
      <c r="CI8" s="2">
        <f t="shared" si="18"/>
        <v>9036</v>
      </c>
      <c r="CJ8" s="2">
        <f t="shared" si="19"/>
        <v>1866.6000000000001</v>
      </c>
      <c r="CK8" s="2">
        <f t="shared" si="20"/>
        <v>5925</v>
      </c>
      <c r="CL8" s="2">
        <f t="shared" si="21"/>
        <v>1188.3000000000002</v>
      </c>
      <c r="CM8" s="2">
        <f t="shared" si="22"/>
        <v>522</v>
      </c>
      <c r="CN8" s="2">
        <f t="shared" si="23"/>
        <v>912</v>
      </c>
      <c r="CO8" s="2">
        <f t="shared" si="24"/>
        <v>678.3</v>
      </c>
      <c r="CP8" s="2">
        <f t="shared" si="25"/>
        <v>3111</v>
      </c>
      <c r="CQ8" s="2">
        <f t="shared" si="26"/>
        <v>319.2</v>
      </c>
      <c r="CR8" s="2">
        <f t="shared" si="27"/>
        <v>489.30000000000007</v>
      </c>
      <c r="CS8" s="2">
        <f t="shared" si="28"/>
        <v>2745</v>
      </c>
      <c r="CT8" s="2">
        <f t="shared" si="29"/>
        <v>5489</v>
      </c>
    </row>
    <row r="9" spans="1:98">
      <c r="A9" t="s">
        <v>76</v>
      </c>
      <c r="B9" t="s">
        <v>69</v>
      </c>
      <c r="C9">
        <v>36596</v>
      </c>
      <c r="D9">
        <v>32190</v>
      </c>
      <c r="E9">
        <v>24795</v>
      </c>
      <c r="F9">
        <v>10852</v>
      </c>
      <c r="G9">
        <v>0.44</v>
      </c>
      <c r="H9">
        <v>6547</v>
      </c>
      <c r="I9">
        <v>6476</v>
      </c>
      <c r="J9">
        <v>6357</v>
      </c>
      <c r="K9">
        <v>6240</v>
      </c>
      <c r="L9">
        <v>5919</v>
      </c>
      <c r="M9">
        <v>5833</v>
      </c>
      <c r="N9">
        <v>5764</v>
      </c>
      <c r="O9">
        <v>5698</v>
      </c>
      <c r="P9">
        <v>5365</v>
      </c>
      <c r="Q9">
        <v>3417</v>
      </c>
      <c r="R9">
        <v>2815</v>
      </c>
      <c r="S9">
        <v>50130</v>
      </c>
      <c r="T9" s="3">
        <v>2535.34</v>
      </c>
      <c r="U9">
        <v>86</v>
      </c>
      <c r="V9">
        <v>36</v>
      </c>
      <c r="W9">
        <v>50</v>
      </c>
      <c r="X9">
        <v>49</v>
      </c>
      <c r="Y9">
        <v>37</v>
      </c>
      <c r="Z9">
        <v>23</v>
      </c>
      <c r="AA9">
        <v>15</v>
      </c>
      <c r="AB9">
        <v>5</v>
      </c>
      <c r="AC9">
        <v>1</v>
      </c>
      <c r="AD9">
        <v>22</v>
      </c>
      <c r="AE9">
        <v>26</v>
      </c>
      <c r="AF9">
        <v>11</v>
      </c>
      <c r="AG9">
        <v>6</v>
      </c>
      <c r="AH9">
        <v>20</v>
      </c>
      <c r="AI9">
        <v>20</v>
      </c>
      <c r="AJ9" s="2">
        <f t="shared" si="0"/>
        <v>16928.3</v>
      </c>
      <c r="AK9" s="2">
        <f t="shared" si="1"/>
        <v>5635.8</v>
      </c>
      <c r="AL9" s="2">
        <f t="shared" si="2"/>
        <v>11292.5</v>
      </c>
      <c r="AM9" s="2">
        <f t="shared" si="3"/>
        <v>15002</v>
      </c>
      <c r="AN9" s="2">
        <f t="shared" si="4"/>
        <v>1926.3</v>
      </c>
      <c r="AO9" s="2">
        <f t="shared" si="5"/>
        <v>10244</v>
      </c>
      <c r="AP9" s="2">
        <f t="shared" si="6"/>
        <v>1048.5</v>
      </c>
      <c r="AQ9" s="2">
        <f t="shared" si="7"/>
        <v>1305</v>
      </c>
      <c r="AR9" s="2">
        <f t="shared" si="8"/>
        <v>456</v>
      </c>
      <c r="AS9" s="2">
        <f t="shared" si="9"/>
        <v>877.8</v>
      </c>
      <c r="AT9" s="2">
        <f t="shared" si="10"/>
        <v>4758</v>
      </c>
      <c r="AU9" s="2">
        <f t="shared" si="11"/>
        <v>438.9</v>
      </c>
      <c r="AV9" s="2">
        <f t="shared" si="12"/>
        <v>419.40000000000003</v>
      </c>
      <c r="AW9" s="2">
        <f t="shared" si="13"/>
        <v>3660</v>
      </c>
      <c r="AX9" s="2">
        <f t="shared" si="14"/>
        <v>9980</v>
      </c>
      <c r="AY9">
        <v>12804</v>
      </c>
      <c r="AZ9">
        <v>13142</v>
      </c>
      <c r="BA9">
        <v>8123</v>
      </c>
      <c r="BB9">
        <v>4175</v>
      </c>
      <c r="BC9">
        <v>0.51</v>
      </c>
      <c r="BD9">
        <v>2684</v>
      </c>
      <c r="BE9">
        <v>2650</v>
      </c>
      <c r="BF9">
        <v>2571</v>
      </c>
      <c r="BG9">
        <v>2569</v>
      </c>
      <c r="BH9">
        <v>2358</v>
      </c>
      <c r="BI9">
        <v>2337</v>
      </c>
      <c r="BJ9">
        <v>2325</v>
      </c>
      <c r="BK9">
        <v>2212</v>
      </c>
      <c r="BL9">
        <v>2070</v>
      </c>
      <c r="BM9">
        <v>1663</v>
      </c>
      <c r="BN9">
        <v>1284</v>
      </c>
      <c r="BO9">
        <v>19155</v>
      </c>
      <c r="BP9" s="3">
        <v>922.05</v>
      </c>
      <c r="BQ9">
        <v>63</v>
      </c>
      <c r="BR9">
        <v>20</v>
      </c>
      <c r="BS9">
        <v>43</v>
      </c>
      <c r="BT9">
        <v>34</v>
      </c>
      <c r="BU9">
        <v>29</v>
      </c>
      <c r="BV9">
        <v>16</v>
      </c>
      <c r="BW9">
        <v>12</v>
      </c>
      <c r="BX9">
        <v>2</v>
      </c>
      <c r="BY9">
        <v>1</v>
      </c>
      <c r="BZ9">
        <v>17</v>
      </c>
      <c r="CA9">
        <v>18</v>
      </c>
      <c r="CB9">
        <v>7</v>
      </c>
      <c r="CC9">
        <v>6</v>
      </c>
      <c r="CD9">
        <v>15</v>
      </c>
      <c r="CE9">
        <v>15</v>
      </c>
      <c r="CF9" s="2">
        <f t="shared" si="15"/>
        <v>12276.099999999999</v>
      </c>
      <c r="CG9" s="2">
        <f t="shared" si="16"/>
        <v>3972.3</v>
      </c>
      <c r="CH9" s="2">
        <f t="shared" si="17"/>
        <v>8303.7999999999993</v>
      </c>
      <c r="CI9" s="2">
        <f t="shared" si="18"/>
        <v>10759</v>
      </c>
      <c r="CJ9" s="2">
        <f t="shared" si="19"/>
        <v>1517.1</v>
      </c>
      <c r="CK9" s="2">
        <f t="shared" si="20"/>
        <v>7465</v>
      </c>
      <c r="CL9" s="2">
        <f t="shared" si="21"/>
        <v>838.80000000000007</v>
      </c>
      <c r="CM9" s="2">
        <f t="shared" si="22"/>
        <v>522</v>
      </c>
      <c r="CN9" s="2">
        <f t="shared" si="23"/>
        <v>456</v>
      </c>
      <c r="CO9" s="2">
        <f t="shared" si="24"/>
        <v>678.3</v>
      </c>
      <c r="CP9" s="2">
        <f t="shared" si="25"/>
        <v>3294</v>
      </c>
      <c r="CQ9" s="2">
        <f t="shared" si="26"/>
        <v>279.3</v>
      </c>
      <c r="CR9" s="2">
        <f t="shared" si="27"/>
        <v>419.40000000000003</v>
      </c>
      <c r="CS9" s="2">
        <f t="shared" si="28"/>
        <v>2745</v>
      </c>
      <c r="CT9" s="2">
        <f t="shared" si="29"/>
        <v>7485</v>
      </c>
    </row>
    <row r="10" spans="1:98">
      <c r="A10" t="s">
        <v>77</v>
      </c>
      <c r="B10" t="s">
        <v>69</v>
      </c>
      <c r="C10">
        <v>36942</v>
      </c>
      <c r="D10">
        <v>32121</v>
      </c>
      <c r="E10">
        <v>25916</v>
      </c>
      <c r="F10">
        <v>11467</v>
      </c>
      <c r="G10">
        <v>0.44</v>
      </c>
      <c r="H10">
        <v>6963</v>
      </c>
      <c r="I10">
        <v>6886</v>
      </c>
      <c r="J10">
        <v>6773</v>
      </c>
      <c r="K10">
        <v>6698</v>
      </c>
      <c r="L10">
        <v>6140</v>
      </c>
      <c r="M10">
        <v>6081</v>
      </c>
      <c r="N10">
        <v>5906</v>
      </c>
      <c r="O10">
        <v>5685</v>
      </c>
      <c r="P10">
        <v>5357</v>
      </c>
      <c r="Q10">
        <v>3365</v>
      </c>
      <c r="R10">
        <v>2670</v>
      </c>
      <c r="S10">
        <v>46306</v>
      </c>
      <c r="T10" s="3">
        <v>2744.86</v>
      </c>
      <c r="U10">
        <v>92</v>
      </c>
      <c r="V10">
        <v>33</v>
      </c>
      <c r="W10">
        <v>59</v>
      </c>
      <c r="X10">
        <v>47</v>
      </c>
      <c r="Y10">
        <v>45</v>
      </c>
      <c r="Z10">
        <v>23</v>
      </c>
      <c r="AA10">
        <v>20</v>
      </c>
      <c r="AB10">
        <v>4</v>
      </c>
      <c r="AC10">
        <v>3</v>
      </c>
      <c r="AD10">
        <v>25</v>
      </c>
      <c r="AE10">
        <v>24</v>
      </c>
      <c r="AF10">
        <v>14</v>
      </c>
      <c r="AG10">
        <v>10</v>
      </c>
      <c r="AH10">
        <v>21</v>
      </c>
      <c r="AI10">
        <v>21</v>
      </c>
      <c r="AJ10" s="2">
        <f t="shared" si="0"/>
        <v>17183.5</v>
      </c>
      <c r="AK10" s="2">
        <f t="shared" si="1"/>
        <v>5389.5</v>
      </c>
      <c r="AL10" s="2">
        <f t="shared" si="2"/>
        <v>11794</v>
      </c>
      <c r="AM10" s="2">
        <f t="shared" si="3"/>
        <v>14788</v>
      </c>
      <c r="AN10" s="2">
        <f t="shared" si="4"/>
        <v>2395.5</v>
      </c>
      <c r="AO10" s="2">
        <f t="shared" si="5"/>
        <v>10396</v>
      </c>
      <c r="AP10" s="2">
        <f t="shared" si="6"/>
        <v>1398</v>
      </c>
      <c r="AQ10" s="2">
        <f t="shared" si="7"/>
        <v>1044</v>
      </c>
      <c r="AR10" s="2">
        <f t="shared" si="8"/>
        <v>1368</v>
      </c>
      <c r="AS10" s="2">
        <f t="shared" si="9"/>
        <v>997.5</v>
      </c>
      <c r="AT10" s="2">
        <f t="shared" si="10"/>
        <v>4392</v>
      </c>
      <c r="AU10" s="2">
        <f t="shared" si="11"/>
        <v>558.6</v>
      </c>
      <c r="AV10" s="2">
        <f t="shared" si="12"/>
        <v>699</v>
      </c>
      <c r="AW10" s="2">
        <f t="shared" si="13"/>
        <v>3843</v>
      </c>
      <c r="AX10" s="2">
        <f t="shared" si="14"/>
        <v>10479</v>
      </c>
      <c r="AY10">
        <v>15262</v>
      </c>
      <c r="AZ10">
        <v>10915</v>
      </c>
      <c r="BA10">
        <v>10147</v>
      </c>
      <c r="BB10">
        <v>4733</v>
      </c>
      <c r="BC10">
        <v>0.47</v>
      </c>
      <c r="BD10">
        <v>3012</v>
      </c>
      <c r="BE10">
        <v>2928</v>
      </c>
      <c r="BF10">
        <v>2892</v>
      </c>
      <c r="BG10">
        <v>2859</v>
      </c>
      <c r="BH10">
        <v>2627</v>
      </c>
      <c r="BI10">
        <v>2622</v>
      </c>
      <c r="BJ10">
        <v>2616</v>
      </c>
      <c r="BK10">
        <v>2552</v>
      </c>
      <c r="BL10">
        <v>2447</v>
      </c>
      <c r="BM10">
        <v>1721</v>
      </c>
      <c r="BN10">
        <v>1484</v>
      </c>
      <c r="BO10">
        <v>19341</v>
      </c>
      <c r="BP10" s="3">
        <v>878.29</v>
      </c>
      <c r="BQ10">
        <v>70</v>
      </c>
      <c r="BR10">
        <v>28</v>
      </c>
      <c r="BS10">
        <v>42</v>
      </c>
      <c r="BT10">
        <v>41</v>
      </c>
      <c r="BU10">
        <v>29</v>
      </c>
      <c r="BV10">
        <v>20</v>
      </c>
      <c r="BW10">
        <v>14</v>
      </c>
      <c r="BX10">
        <v>2</v>
      </c>
      <c r="BY10">
        <v>2</v>
      </c>
      <c r="BZ10">
        <v>15</v>
      </c>
      <c r="CA10">
        <v>21</v>
      </c>
      <c r="CB10">
        <v>6</v>
      </c>
      <c r="CC10">
        <v>7</v>
      </c>
      <c r="CD10">
        <v>16</v>
      </c>
      <c r="CE10">
        <v>19</v>
      </c>
      <c r="CF10" s="2">
        <f t="shared" si="15"/>
        <v>14838.1</v>
      </c>
      <c r="CG10" s="2">
        <f t="shared" si="16"/>
        <v>4441.5</v>
      </c>
      <c r="CH10" s="2">
        <f t="shared" si="17"/>
        <v>10396.6</v>
      </c>
      <c r="CI10" s="2">
        <f t="shared" si="18"/>
        <v>13261</v>
      </c>
      <c r="CJ10" s="2">
        <f t="shared" si="19"/>
        <v>1577.1000000000001</v>
      </c>
      <c r="CK10" s="2">
        <f t="shared" si="20"/>
        <v>9418</v>
      </c>
      <c r="CL10" s="2">
        <f t="shared" si="21"/>
        <v>978.60000000000014</v>
      </c>
      <c r="CM10" s="2">
        <f t="shared" si="22"/>
        <v>522</v>
      </c>
      <c r="CN10" s="2">
        <f t="shared" si="23"/>
        <v>912</v>
      </c>
      <c r="CO10" s="2">
        <f t="shared" si="24"/>
        <v>598.5</v>
      </c>
      <c r="CP10" s="2">
        <f t="shared" si="25"/>
        <v>3843</v>
      </c>
      <c r="CQ10" s="2">
        <f t="shared" si="26"/>
        <v>239.39999999999998</v>
      </c>
      <c r="CR10" s="2">
        <f t="shared" si="27"/>
        <v>489.30000000000007</v>
      </c>
      <c r="CS10" s="2">
        <f t="shared" si="28"/>
        <v>2928</v>
      </c>
      <c r="CT10" s="2">
        <f t="shared" si="29"/>
        <v>9481</v>
      </c>
    </row>
    <row r="11" spans="1:98">
      <c r="A11" t="s">
        <v>78</v>
      </c>
      <c r="B11" t="s">
        <v>69</v>
      </c>
      <c r="C11">
        <v>38125</v>
      </c>
      <c r="D11">
        <v>32828</v>
      </c>
      <c r="E11">
        <v>27488</v>
      </c>
      <c r="F11">
        <v>11991</v>
      </c>
      <c r="G11">
        <v>0.44</v>
      </c>
      <c r="H11">
        <v>7089</v>
      </c>
      <c r="I11">
        <v>6974</v>
      </c>
      <c r="J11">
        <v>6810</v>
      </c>
      <c r="K11">
        <v>6700</v>
      </c>
      <c r="L11">
        <v>6363</v>
      </c>
      <c r="M11">
        <v>6220</v>
      </c>
      <c r="N11">
        <v>6219</v>
      </c>
      <c r="O11">
        <v>6049</v>
      </c>
      <c r="P11">
        <v>5665</v>
      </c>
      <c r="Q11">
        <v>3688</v>
      </c>
      <c r="R11">
        <v>2888</v>
      </c>
      <c r="S11">
        <v>45322</v>
      </c>
      <c r="T11" s="3">
        <v>2147.62</v>
      </c>
      <c r="U11">
        <v>96</v>
      </c>
      <c r="V11">
        <v>36</v>
      </c>
      <c r="W11">
        <v>60</v>
      </c>
      <c r="X11">
        <v>42</v>
      </c>
      <c r="Y11">
        <v>54</v>
      </c>
      <c r="Z11">
        <v>21</v>
      </c>
      <c r="AA11">
        <v>28</v>
      </c>
      <c r="AB11">
        <v>4</v>
      </c>
      <c r="AC11">
        <v>2</v>
      </c>
      <c r="AD11">
        <v>26</v>
      </c>
      <c r="AE11">
        <v>21</v>
      </c>
      <c r="AF11">
        <v>14</v>
      </c>
      <c r="AG11">
        <v>14</v>
      </c>
      <c r="AH11">
        <v>17</v>
      </c>
      <c r="AI11">
        <v>20</v>
      </c>
      <c r="AJ11" s="2">
        <f t="shared" si="0"/>
        <v>16278.6</v>
      </c>
      <c r="AK11" s="2">
        <f t="shared" si="1"/>
        <v>4880.3999999999996</v>
      </c>
      <c r="AL11" s="2">
        <f t="shared" si="2"/>
        <v>11398.2</v>
      </c>
      <c r="AM11" s="2">
        <f t="shared" si="3"/>
        <v>13284</v>
      </c>
      <c r="AN11" s="2">
        <f t="shared" si="4"/>
        <v>2994.6000000000004</v>
      </c>
      <c r="AO11" s="2">
        <f t="shared" si="5"/>
        <v>9441</v>
      </c>
      <c r="AP11" s="2">
        <f t="shared" si="6"/>
        <v>1957.2000000000003</v>
      </c>
      <c r="AQ11" s="2">
        <f t="shared" si="7"/>
        <v>1044</v>
      </c>
      <c r="AR11" s="2">
        <f t="shared" si="8"/>
        <v>912</v>
      </c>
      <c r="AS11" s="2">
        <f t="shared" si="9"/>
        <v>1037.3999999999999</v>
      </c>
      <c r="AT11" s="2">
        <f t="shared" si="10"/>
        <v>3843</v>
      </c>
      <c r="AU11" s="2">
        <f t="shared" si="11"/>
        <v>558.6</v>
      </c>
      <c r="AV11" s="2">
        <f t="shared" si="12"/>
        <v>978.60000000000014</v>
      </c>
      <c r="AW11" s="2">
        <f t="shared" si="13"/>
        <v>3111</v>
      </c>
      <c r="AX11" s="2">
        <f t="shared" si="14"/>
        <v>9980</v>
      </c>
      <c r="AY11">
        <v>14844</v>
      </c>
      <c r="AZ11">
        <v>14789</v>
      </c>
      <c r="BA11">
        <v>10172</v>
      </c>
      <c r="BB11">
        <v>4601</v>
      </c>
      <c r="BC11">
        <v>0.45</v>
      </c>
      <c r="BD11">
        <v>2875</v>
      </c>
      <c r="BE11">
        <v>2796</v>
      </c>
      <c r="BF11">
        <v>2767</v>
      </c>
      <c r="BG11">
        <v>2707</v>
      </c>
      <c r="BH11">
        <v>2481</v>
      </c>
      <c r="BI11">
        <v>2431</v>
      </c>
      <c r="BJ11">
        <v>2397</v>
      </c>
      <c r="BK11">
        <v>2298</v>
      </c>
      <c r="BL11">
        <v>2217</v>
      </c>
      <c r="BM11">
        <v>1745</v>
      </c>
      <c r="BN11">
        <v>1528</v>
      </c>
      <c r="BO11">
        <v>25851</v>
      </c>
      <c r="BP11" s="3">
        <v>1479.84</v>
      </c>
      <c r="BQ11">
        <v>69</v>
      </c>
      <c r="BR11">
        <v>27</v>
      </c>
      <c r="BS11">
        <v>42</v>
      </c>
      <c r="BT11">
        <v>35</v>
      </c>
      <c r="BU11">
        <v>34</v>
      </c>
      <c r="BV11">
        <v>16</v>
      </c>
      <c r="BW11">
        <v>16</v>
      </c>
      <c r="BX11">
        <v>2</v>
      </c>
      <c r="BY11">
        <v>1</v>
      </c>
      <c r="BZ11">
        <v>18</v>
      </c>
      <c r="CA11">
        <v>19</v>
      </c>
      <c r="CB11">
        <v>9</v>
      </c>
      <c r="CC11">
        <v>9</v>
      </c>
      <c r="CD11">
        <v>16</v>
      </c>
      <c r="CE11">
        <v>14</v>
      </c>
      <c r="CF11" s="2">
        <f t="shared" si="15"/>
        <v>12778.599999999999</v>
      </c>
      <c r="CG11" s="2">
        <f t="shared" si="16"/>
        <v>4195.2</v>
      </c>
      <c r="CH11" s="2">
        <f t="shared" si="17"/>
        <v>8583.4</v>
      </c>
      <c r="CI11" s="2">
        <f t="shared" si="18"/>
        <v>10942</v>
      </c>
      <c r="CJ11" s="2">
        <f t="shared" si="19"/>
        <v>1836.6</v>
      </c>
      <c r="CK11" s="2">
        <f t="shared" si="20"/>
        <v>7465</v>
      </c>
      <c r="CL11" s="2">
        <f t="shared" si="21"/>
        <v>1118.4000000000001</v>
      </c>
      <c r="CM11" s="2">
        <f t="shared" si="22"/>
        <v>522</v>
      </c>
      <c r="CN11" s="2">
        <f t="shared" si="23"/>
        <v>456</v>
      </c>
      <c r="CO11" s="2">
        <f t="shared" si="24"/>
        <v>718.19999999999993</v>
      </c>
      <c r="CP11" s="2">
        <f t="shared" si="25"/>
        <v>3477</v>
      </c>
      <c r="CQ11" s="2">
        <f t="shared" si="26"/>
        <v>359.09999999999997</v>
      </c>
      <c r="CR11" s="2">
        <f t="shared" si="27"/>
        <v>629.1</v>
      </c>
      <c r="CS11" s="2">
        <f t="shared" si="28"/>
        <v>2928</v>
      </c>
      <c r="CT11" s="2">
        <f t="shared" si="29"/>
        <v>6986</v>
      </c>
    </row>
    <row r="12" spans="1:98">
      <c r="A12" t="s">
        <v>79</v>
      </c>
      <c r="B12" t="s">
        <v>69</v>
      </c>
      <c r="C12">
        <v>37127</v>
      </c>
      <c r="D12">
        <v>32607</v>
      </c>
      <c r="E12">
        <v>26072</v>
      </c>
      <c r="F12">
        <v>11369</v>
      </c>
      <c r="G12">
        <v>0.44</v>
      </c>
      <c r="H12">
        <v>6793</v>
      </c>
      <c r="I12">
        <v>6669</v>
      </c>
      <c r="J12">
        <v>6545</v>
      </c>
      <c r="K12">
        <v>6475</v>
      </c>
      <c r="L12">
        <v>6190</v>
      </c>
      <c r="M12">
        <v>6045</v>
      </c>
      <c r="N12">
        <v>5898</v>
      </c>
      <c r="O12">
        <v>5771</v>
      </c>
      <c r="P12">
        <v>5479</v>
      </c>
      <c r="Q12">
        <v>3434</v>
      </c>
      <c r="R12">
        <v>2671</v>
      </c>
      <c r="S12">
        <v>44280</v>
      </c>
      <c r="T12" s="3">
        <v>2115.33</v>
      </c>
      <c r="U12">
        <v>90</v>
      </c>
      <c r="V12">
        <v>35</v>
      </c>
      <c r="W12">
        <v>55</v>
      </c>
      <c r="X12">
        <v>40</v>
      </c>
      <c r="Y12">
        <v>50</v>
      </c>
      <c r="Z12">
        <v>18</v>
      </c>
      <c r="AA12">
        <v>24</v>
      </c>
      <c r="AB12">
        <v>5</v>
      </c>
      <c r="AC12">
        <v>2</v>
      </c>
      <c r="AD12">
        <v>26</v>
      </c>
      <c r="AE12">
        <v>22</v>
      </c>
      <c r="AF12">
        <v>13</v>
      </c>
      <c r="AG12">
        <v>10</v>
      </c>
      <c r="AH12">
        <v>18</v>
      </c>
      <c r="AI12">
        <v>16</v>
      </c>
      <c r="AJ12" s="2">
        <f t="shared" si="0"/>
        <v>14447</v>
      </c>
      <c r="AK12" s="2">
        <f t="shared" si="1"/>
        <v>5063.3999999999996</v>
      </c>
      <c r="AL12" s="2">
        <f t="shared" si="2"/>
        <v>9383.6</v>
      </c>
      <c r="AM12" s="2">
        <f t="shared" si="3"/>
        <v>11732</v>
      </c>
      <c r="AN12" s="2">
        <f t="shared" si="4"/>
        <v>2715</v>
      </c>
      <c r="AO12" s="2">
        <f t="shared" si="5"/>
        <v>7706</v>
      </c>
      <c r="AP12" s="2">
        <f t="shared" si="6"/>
        <v>1677.6000000000001</v>
      </c>
      <c r="AQ12" s="2">
        <f t="shared" si="7"/>
        <v>1305</v>
      </c>
      <c r="AR12" s="2">
        <f t="shared" si="8"/>
        <v>912</v>
      </c>
      <c r="AS12" s="2">
        <f t="shared" si="9"/>
        <v>1037.3999999999999</v>
      </c>
      <c r="AT12" s="2">
        <f t="shared" si="10"/>
        <v>4026</v>
      </c>
      <c r="AU12" s="2">
        <f t="shared" si="11"/>
        <v>518.69999999999993</v>
      </c>
      <c r="AV12" s="2">
        <f t="shared" si="12"/>
        <v>699</v>
      </c>
      <c r="AW12" s="2">
        <f t="shared" si="13"/>
        <v>3294</v>
      </c>
      <c r="AX12" s="2">
        <f t="shared" si="14"/>
        <v>7984</v>
      </c>
      <c r="AY12">
        <v>15226</v>
      </c>
      <c r="AZ12">
        <v>13499</v>
      </c>
      <c r="BA12">
        <v>9994</v>
      </c>
      <c r="BB12">
        <v>4560</v>
      </c>
      <c r="BC12">
        <v>0.46</v>
      </c>
      <c r="BD12">
        <v>2904</v>
      </c>
      <c r="BE12">
        <v>2826</v>
      </c>
      <c r="BF12">
        <v>2767</v>
      </c>
      <c r="BG12">
        <v>2731</v>
      </c>
      <c r="BH12">
        <v>2584</v>
      </c>
      <c r="BI12">
        <v>2510</v>
      </c>
      <c r="BJ12">
        <v>2433</v>
      </c>
      <c r="BK12">
        <v>2333</v>
      </c>
      <c r="BL12">
        <v>2224</v>
      </c>
      <c r="BM12">
        <v>1577</v>
      </c>
      <c r="BN12">
        <v>1234</v>
      </c>
      <c r="BO12">
        <v>19422</v>
      </c>
      <c r="BP12" s="3">
        <v>1238.96</v>
      </c>
      <c r="BQ12">
        <v>68</v>
      </c>
      <c r="BR12">
        <v>26</v>
      </c>
      <c r="BS12">
        <v>42</v>
      </c>
      <c r="BT12">
        <v>36</v>
      </c>
      <c r="BU12">
        <v>32</v>
      </c>
      <c r="BV12">
        <v>18</v>
      </c>
      <c r="BW12">
        <v>14</v>
      </c>
      <c r="BX12">
        <v>2</v>
      </c>
      <c r="BY12">
        <v>2</v>
      </c>
      <c r="BZ12">
        <v>18</v>
      </c>
      <c r="CA12">
        <v>18</v>
      </c>
      <c r="CB12">
        <v>10</v>
      </c>
      <c r="CC12">
        <v>6</v>
      </c>
      <c r="CD12">
        <v>14</v>
      </c>
      <c r="CE12">
        <v>16</v>
      </c>
      <c r="CF12" s="2">
        <f t="shared" si="15"/>
        <v>13410.8</v>
      </c>
      <c r="CG12" s="2">
        <f t="shared" si="16"/>
        <v>4012.2</v>
      </c>
      <c r="CH12" s="2">
        <f t="shared" si="17"/>
        <v>9398.6</v>
      </c>
      <c r="CI12" s="2">
        <f t="shared" si="18"/>
        <v>11714</v>
      </c>
      <c r="CJ12" s="2">
        <f t="shared" si="19"/>
        <v>1696.8000000000002</v>
      </c>
      <c r="CK12" s="2">
        <f t="shared" si="20"/>
        <v>8420</v>
      </c>
      <c r="CL12" s="2">
        <f t="shared" si="21"/>
        <v>978.60000000000014</v>
      </c>
      <c r="CM12" s="2">
        <f t="shared" si="22"/>
        <v>522</v>
      </c>
      <c r="CN12" s="2">
        <f t="shared" si="23"/>
        <v>912</v>
      </c>
      <c r="CO12" s="2">
        <f t="shared" si="24"/>
        <v>718.19999999999993</v>
      </c>
      <c r="CP12" s="2">
        <f t="shared" si="25"/>
        <v>3294</v>
      </c>
      <c r="CQ12" s="2">
        <f t="shared" si="26"/>
        <v>399</v>
      </c>
      <c r="CR12" s="2">
        <f t="shared" si="27"/>
        <v>419.40000000000003</v>
      </c>
      <c r="CS12" s="2">
        <f t="shared" si="28"/>
        <v>2562</v>
      </c>
      <c r="CT12" s="2">
        <f t="shared" si="29"/>
        <v>7984</v>
      </c>
    </row>
    <row r="13" spans="1:98">
      <c r="A13" t="s">
        <v>80</v>
      </c>
      <c r="B13" t="s">
        <v>69</v>
      </c>
      <c r="C13">
        <v>37066</v>
      </c>
      <c r="D13">
        <v>32412</v>
      </c>
      <c r="E13">
        <v>25498</v>
      </c>
      <c r="F13">
        <v>12095</v>
      </c>
      <c r="G13">
        <v>0.47</v>
      </c>
      <c r="H13">
        <v>7469</v>
      </c>
      <c r="I13">
        <v>7321</v>
      </c>
      <c r="J13">
        <v>7219</v>
      </c>
      <c r="K13">
        <v>7076</v>
      </c>
      <c r="L13">
        <v>6419</v>
      </c>
      <c r="M13">
        <v>6323</v>
      </c>
      <c r="N13">
        <v>6167</v>
      </c>
      <c r="O13">
        <v>6021</v>
      </c>
      <c r="P13">
        <v>5794</v>
      </c>
      <c r="Q13">
        <v>3883</v>
      </c>
      <c r="R13">
        <v>3025</v>
      </c>
      <c r="S13">
        <v>45351</v>
      </c>
      <c r="T13" s="3">
        <v>2495.19</v>
      </c>
      <c r="U13">
        <v>96</v>
      </c>
      <c r="V13">
        <v>32</v>
      </c>
      <c r="W13">
        <v>64</v>
      </c>
      <c r="X13">
        <v>45</v>
      </c>
      <c r="Y13">
        <v>51</v>
      </c>
      <c r="Z13">
        <v>21</v>
      </c>
      <c r="AA13">
        <v>26</v>
      </c>
      <c r="AB13">
        <v>4</v>
      </c>
      <c r="AC13">
        <v>3</v>
      </c>
      <c r="AD13">
        <v>25</v>
      </c>
      <c r="AE13">
        <v>24</v>
      </c>
      <c r="AF13">
        <v>15</v>
      </c>
      <c r="AG13">
        <v>11</v>
      </c>
      <c r="AH13">
        <v>22</v>
      </c>
      <c r="AI13">
        <v>18</v>
      </c>
      <c r="AJ13" s="2">
        <f t="shared" si="0"/>
        <v>16604.900000000001</v>
      </c>
      <c r="AK13" s="2">
        <f t="shared" si="1"/>
        <v>5389.5</v>
      </c>
      <c r="AL13" s="2">
        <f t="shared" si="2"/>
        <v>11215.4</v>
      </c>
      <c r="AM13" s="2">
        <f t="shared" si="3"/>
        <v>13790</v>
      </c>
      <c r="AN13" s="2">
        <f t="shared" si="4"/>
        <v>2814.9</v>
      </c>
      <c r="AO13" s="2">
        <f t="shared" si="5"/>
        <v>9398</v>
      </c>
      <c r="AP13" s="2">
        <f t="shared" si="6"/>
        <v>1817.4</v>
      </c>
      <c r="AQ13" s="2">
        <f t="shared" si="7"/>
        <v>1044</v>
      </c>
      <c r="AR13" s="2">
        <f t="shared" si="8"/>
        <v>1368</v>
      </c>
      <c r="AS13" s="2">
        <f t="shared" si="9"/>
        <v>997.5</v>
      </c>
      <c r="AT13" s="2">
        <f t="shared" si="10"/>
        <v>4392</v>
      </c>
      <c r="AU13" s="2">
        <f t="shared" si="11"/>
        <v>598.5</v>
      </c>
      <c r="AV13" s="2">
        <f t="shared" si="12"/>
        <v>768.90000000000009</v>
      </c>
      <c r="AW13" s="2">
        <f t="shared" si="13"/>
        <v>4026</v>
      </c>
      <c r="AX13" s="2">
        <f t="shared" si="14"/>
        <v>8982</v>
      </c>
      <c r="AY13">
        <v>15773</v>
      </c>
      <c r="AZ13">
        <v>11659</v>
      </c>
      <c r="BA13">
        <v>10088</v>
      </c>
      <c r="BB13">
        <v>5136</v>
      </c>
      <c r="BC13">
        <v>0.51</v>
      </c>
      <c r="BD13">
        <v>3057</v>
      </c>
      <c r="BE13">
        <v>3014</v>
      </c>
      <c r="BF13">
        <v>2911</v>
      </c>
      <c r="BG13">
        <v>2831</v>
      </c>
      <c r="BH13">
        <v>2586</v>
      </c>
      <c r="BI13">
        <v>2522</v>
      </c>
      <c r="BJ13">
        <v>2422</v>
      </c>
      <c r="BK13">
        <v>2373</v>
      </c>
      <c r="BL13">
        <v>2196</v>
      </c>
      <c r="BM13">
        <v>1893</v>
      </c>
      <c r="BN13">
        <v>1456</v>
      </c>
      <c r="BO13">
        <v>21704</v>
      </c>
      <c r="BP13" s="3">
        <v>1074.47</v>
      </c>
      <c r="BQ13">
        <v>77</v>
      </c>
      <c r="BR13">
        <v>31</v>
      </c>
      <c r="BS13">
        <v>46</v>
      </c>
      <c r="BT13">
        <v>36</v>
      </c>
      <c r="BU13">
        <v>41</v>
      </c>
      <c r="BV13">
        <v>16</v>
      </c>
      <c r="BW13">
        <v>19</v>
      </c>
      <c r="BX13">
        <v>4</v>
      </c>
      <c r="BY13">
        <v>2</v>
      </c>
      <c r="BZ13">
        <v>22</v>
      </c>
      <c r="CA13">
        <v>20</v>
      </c>
      <c r="CB13">
        <v>12</v>
      </c>
      <c r="CC13">
        <v>9</v>
      </c>
      <c r="CD13">
        <v>16</v>
      </c>
      <c r="CE13">
        <v>14</v>
      </c>
      <c r="CF13" s="2">
        <f t="shared" si="15"/>
        <v>12811.900000000001</v>
      </c>
      <c r="CG13" s="2">
        <f t="shared" si="16"/>
        <v>4537.8</v>
      </c>
      <c r="CH13" s="2">
        <f t="shared" si="17"/>
        <v>8274.1</v>
      </c>
      <c r="CI13" s="2">
        <f t="shared" si="18"/>
        <v>10606</v>
      </c>
      <c r="CJ13" s="2">
        <f t="shared" si="19"/>
        <v>2205.9</v>
      </c>
      <c r="CK13" s="2">
        <f t="shared" si="20"/>
        <v>6946</v>
      </c>
      <c r="CL13" s="2">
        <f t="shared" si="21"/>
        <v>1328.1000000000001</v>
      </c>
      <c r="CM13" s="2">
        <f t="shared" si="22"/>
        <v>1044</v>
      </c>
      <c r="CN13" s="2">
        <f t="shared" si="23"/>
        <v>912</v>
      </c>
      <c r="CO13" s="2">
        <f t="shared" si="24"/>
        <v>877.8</v>
      </c>
      <c r="CP13" s="2">
        <f t="shared" si="25"/>
        <v>3660</v>
      </c>
      <c r="CQ13" s="2">
        <f t="shared" si="26"/>
        <v>478.79999999999995</v>
      </c>
      <c r="CR13" s="2">
        <f t="shared" si="27"/>
        <v>629.1</v>
      </c>
      <c r="CS13" s="2">
        <f t="shared" si="28"/>
        <v>2928</v>
      </c>
      <c r="CT13" s="2">
        <f t="shared" si="29"/>
        <v>6986</v>
      </c>
    </row>
    <row r="14" spans="1:98">
      <c r="A14" t="s">
        <v>81</v>
      </c>
      <c r="B14" t="s">
        <v>69</v>
      </c>
      <c r="C14">
        <v>36997</v>
      </c>
      <c r="D14">
        <v>32497</v>
      </c>
      <c r="E14">
        <v>25020</v>
      </c>
      <c r="F14">
        <v>11317</v>
      </c>
      <c r="G14">
        <v>0.45</v>
      </c>
      <c r="H14">
        <v>7159</v>
      </c>
      <c r="I14">
        <v>7078</v>
      </c>
      <c r="J14">
        <v>7006</v>
      </c>
      <c r="K14">
        <v>6905</v>
      </c>
      <c r="L14">
        <v>6527</v>
      </c>
      <c r="M14">
        <v>6478</v>
      </c>
      <c r="N14">
        <v>6375</v>
      </c>
      <c r="O14">
        <v>6116</v>
      </c>
      <c r="P14">
        <v>5702</v>
      </c>
      <c r="Q14">
        <v>3851</v>
      </c>
      <c r="R14">
        <v>2818</v>
      </c>
      <c r="S14">
        <v>40216</v>
      </c>
      <c r="T14" s="3">
        <v>2509.58</v>
      </c>
      <c r="U14">
        <v>90</v>
      </c>
      <c r="V14">
        <v>30</v>
      </c>
      <c r="W14">
        <v>60</v>
      </c>
      <c r="X14">
        <v>53</v>
      </c>
      <c r="Y14">
        <v>37</v>
      </c>
      <c r="Z14">
        <v>26</v>
      </c>
      <c r="AA14">
        <v>15</v>
      </c>
      <c r="AB14">
        <v>6</v>
      </c>
      <c r="AC14">
        <v>3</v>
      </c>
      <c r="AD14">
        <v>22</v>
      </c>
      <c r="AE14">
        <v>27</v>
      </c>
      <c r="AF14">
        <v>9</v>
      </c>
      <c r="AG14">
        <v>7</v>
      </c>
      <c r="AH14">
        <v>24</v>
      </c>
      <c r="AI14">
        <v>23</v>
      </c>
      <c r="AJ14" s="2">
        <f t="shared" si="0"/>
        <v>18284.3</v>
      </c>
      <c r="AK14" s="2">
        <f t="shared" si="1"/>
        <v>5818.8</v>
      </c>
      <c r="AL14" s="2">
        <f t="shared" si="2"/>
        <v>12465.5</v>
      </c>
      <c r="AM14" s="2">
        <f t="shared" si="3"/>
        <v>16358</v>
      </c>
      <c r="AN14" s="2">
        <f t="shared" si="4"/>
        <v>1926.3</v>
      </c>
      <c r="AO14" s="2">
        <f t="shared" si="5"/>
        <v>11417</v>
      </c>
      <c r="AP14" s="2">
        <f t="shared" si="6"/>
        <v>1048.5</v>
      </c>
      <c r="AQ14" s="2">
        <f t="shared" si="7"/>
        <v>1566</v>
      </c>
      <c r="AR14" s="2">
        <f t="shared" si="8"/>
        <v>1368</v>
      </c>
      <c r="AS14" s="2">
        <f t="shared" si="9"/>
        <v>877.8</v>
      </c>
      <c r="AT14" s="2">
        <f t="shared" si="10"/>
        <v>4941</v>
      </c>
      <c r="AU14" s="2">
        <f t="shared" si="11"/>
        <v>359.09999999999997</v>
      </c>
      <c r="AV14" s="2">
        <f t="shared" si="12"/>
        <v>489.30000000000007</v>
      </c>
      <c r="AW14" s="2">
        <f t="shared" si="13"/>
        <v>4392</v>
      </c>
      <c r="AX14" s="2">
        <f t="shared" si="14"/>
        <v>11477</v>
      </c>
      <c r="AY14">
        <v>13178</v>
      </c>
      <c r="AZ14">
        <v>13031</v>
      </c>
      <c r="BA14">
        <v>9483</v>
      </c>
      <c r="BB14">
        <v>4340</v>
      </c>
      <c r="BC14">
        <v>0.46</v>
      </c>
      <c r="BD14">
        <v>2536</v>
      </c>
      <c r="BE14">
        <v>2494</v>
      </c>
      <c r="BF14">
        <v>2439</v>
      </c>
      <c r="BG14">
        <v>2432</v>
      </c>
      <c r="BH14">
        <v>2239</v>
      </c>
      <c r="BI14">
        <v>2203</v>
      </c>
      <c r="BJ14">
        <v>2151</v>
      </c>
      <c r="BK14">
        <v>2066</v>
      </c>
      <c r="BL14">
        <v>1948</v>
      </c>
      <c r="BM14">
        <v>1388</v>
      </c>
      <c r="BN14">
        <v>1017</v>
      </c>
      <c r="BO14">
        <v>13275</v>
      </c>
      <c r="BP14" s="3">
        <v>640.44000000000005</v>
      </c>
      <c r="BQ14">
        <v>65</v>
      </c>
      <c r="BR14">
        <v>26</v>
      </c>
      <c r="BS14">
        <v>39</v>
      </c>
      <c r="BT14">
        <v>30</v>
      </c>
      <c r="BU14">
        <v>35</v>
      </c>
      <c r="BV14">
        <v>13</v>
      </c>
      <c r="BW14">
        <v>16</v>
      </c>
      <c r="BX14">
        <v>2</v>
      </c>
      <c r="BY14">
        <v>1</v>
      </c>
      <c r="BZ14">
        <v>19</v>
      </c>
      <c r="CA14">
        <v>17</v>
      </c>
      <c r="CB14">
        <v>11</v>
      </c>
      <c r="CC14">
        <v>9</v>
      </c>
      <c r="CD14">
        <v>14</v>
      </c>
      <c r="CE14">
        <v>12</v>
      </c>
      <c r="CF14" s="2">
        <f t="shared" si="15"/>
        <v>10955.5</v>
      </c>
      <c r="CG14" s="2">
        <f t="shared" si="16"/>
        <v>3869.1</v>
      </c>
      <c r="CH14" s="2">
        <f t="shared" si="17"/>
        <v>7086.4</v>
      </c>
      <c r="CI14" s="2">
        <f t="shared" si="18"/>
        <v>9079</v>
      </c>
      <c r="CJ14" s="2">
        <f t="shared" si="19"/>
        <v>1876.5</v>
      </c>
      <c r="CK14" s="2">
        <f t="shared" si="20"/>
        <v>5968</v>
      </c>
      <c r="CL14" s="2">
        <f t="shared" si="21"/>
        <v>1118.4000000000001</v>
      </c>
      <c r="CM14" s="2">
        <f t="shared" si="22"/>
        <v>522</v>
      </c>
      <c r="CN14" s="2">
        <f t="shared" si="23"/>
        <v>456</v>
      </c>
      <c r="CO14" s="2">
        <f t="shared" si="24"/>
        <v>758.1</v>
      </c>
      <c r="CP14" s="2">
        <f t="shared" si="25"/>
        <v>3111</v>
      </c>
      <c r="CQ14" s="2">
        <f t="shared" si="26"/>
        <v>438.9</v>
      </c>
      <c r="CR14" s="2">
        <f t="shared" si="27"/>
        <v>629.1</v>
      </c>
      <c r="CS14" s="2">
        <f t="shared" si="28"/>
        <v>2562</v>
      </c>
      <c r="CT14" s="2">
        <f t="shared" si="29"/>
        <v>5988</v>
      </c>
    </row>
    <row r="15" spans="1:98">
      <c r="A15" t="s">
        <v>82</v>
      </c>
      <c r="B15" t="s">
        <v>69</v>
      </c>
      <c r="C15">
        <v>37586</v>
      </c>
      <c r="D15">
        <v>32075</v>
      </c>
      <c r="E15">
        <v>25942</v>
      </c>
      <c r="F15">
        <v>10981</v>
      </c>
      <c r="G15">
        <v>0.42</v>
      </c>
      <c r="H15">
        <v>7004</v>
      </c>
      <c r="I15">
        <v>6930</v>
      </c>
      <c r="J15">
        <v>6767</v>
      </c>
      <c r="K15">
        <v>6641</v>
      </c>
      <c r="L15">
        <v>6204</v>
      </c>
      <c r="M15">
        <v>6169</v>
      </c>
      <c r="N15">
        <v>6106</v>
      </c>
      <c r="O15">
        <v>5802</v>
      </c>
      <c r="P15">
        <v>5553</v>
      </c>
      <c r="Q15">
        <v>4092</v>
      </c>
      <c r="R15">
        <v>3082</v>
      </c>
      <c r="S15">
        <v>42142</v>
      </c>
      <c r="T15" s="3">
        <v>2443.42</v>
      </c>
      <c r="U15">
        <v>87</v>
      </c>
      <c r="V15">
        <v>29</v>
      </c>
      <c r="W15">
        <v>58</v>
      </c>
      <c r="X15">
        <v>44</v>
      </c>
      <c r="Y15">
        <v>43</v>
      </c>
      <c r="Z15">
        <v>20</v>
      </c>
      <c r="AA15">
        <v>21</v>
      </c>
      <c r="AB15">
        <v>2</v>
      </c>
      <c r="AC15">
        <v>1</v>
      </c>
      <c r="AD15">
        <v>22</v>
      </c>
      <c r="AE15">
        <v>24</v>
      </c>
      <c r="AF15">
        <v>12</v>
      </c>
      <c r="AG15">
        <v>12</v>
      </c>
      <c r="AH15">
        <v>21</v>
      </c>
      <c r="AI15">
        <v>17</v>
      </c>
      <c r="AJ15" s="2">
        <f t="shared" si="0"/>
        <v>16198.7</v>
      </c>
      <c r="AK15" s="2">
        <f t="shared" si="1"/>
        <v>5269.8</v>
      </c>
      <c r="AL15" s="2">
        <f t="shared" si="2"/>
        <v>10928.9</v>
      </c>
      <c r="AM15" s="2">
        <f t="shared" si="3"/>
        <v>13853</v>
      </c>
      <c r="AN15" s="2">
        <f t="shared" si="4"/>
        <v>2345.6999999999998</v>
      </c>
      <c r="AO15" s="2">
        <f t="shared" si="5"/>
        <v>9461</v>
      </c>
      <c r="AP15" s="2">
        <f t="shared" si="6"/>
        <v>1467.9</v>
      </c>
      <c r="AQ15" s="2">
        <f t="shared" si="7"/>
        <v>522</v>
      </c>
      <c r="AR15" s="2">
        <f t="shared" si="8"/>
        <v>456</v>
      </c>
      <c r="AS15" s="2">
        <f t="shared" si="9"/>
        <v>877.8</v>
      </c>
      <c r="AT15" s="2">
        <f t="shared" si="10"/>
        <v>4392</v>
      </c>
      <c r="AU15" s="2">
        <f t="shared" si="11"/>
        <v>478.79999999999995</v>
      </c>
      <c r="AV15" s="2">
        <f t="shared" si="12"/>
        <v>838.80000000000007</v>
      </c>
      <c r="AW15" s="2">
        <f t="shared" si="13"/>
        <v>3843</v>
      </c>
      <c r="AX15" s="2">
        <f t="shared" si="14"/>
        <v>8483</v>
      </c>
      <c r="AY15">
        <v>13605</v>
      </c>
      <c r="AZ15">
        <v>12117</v>
      </c>
      <c r="BA15">
        <v>8673</v>
      </c>
      <c r="BB15">
        <v>4227</v>
      </c>
      <c r="BC15">
        <v>0.49</v>
      </c>
      <c r="BD15">
        <v>2466</v>
      </c>
      <c r="BE15">
        <v>2426</v>
      </c>
      <c r="BF15">
        <v>2355</v>
      </c>
      <c r="BG15">
        <v>2326</v>
      </c>
      <c r="BH15">
        <v>2221</v>
      </c>
      <c r="BI15">
        <v>2187</v>
      </c>
      <c r="BJ15">
        <v>2124</v>
      </c>
      <c r="BK15">
        <v>2018</v>
      </c>
      <c r="BL15">
        <v>1940</v>
      </c>
      <c r="BM15">
        <v>1235</v>
      </c>
      <c r="BN15">
        <v>1075</v>
      </c>
      <c r="BO15">
        <v>18629</v>
      </c>
      <c r="BP15" s="3">
        <v>1016.47</v>
      </c>
      <c r="BQ15">
        <v>64</v>
      </c>
      <c r="BR15">
        <v>25</v>
      </c>
      <c r="BS15">
        <v>39</v>
      </c>
      <c r="BT15">
        <v>28</v>
      </c>
      <c r="BU15">
        <v>36</v>
      </c>
      <c r="BV15">
        <v>13</v>
      </c>
      <c r="BW15">
        <v>17</v>
      </c>
      <c r="BX15">
        <v>3</v>
      </c>
      <c r="BY15">
        <v>1</v>
      </c>
      <c r="BZ15">
        <v>19</v>
      </c>
      <c r="CA15">
        <v>15</v>
      </c>
      <c r="CB15">
        <v>10</v>
      </c>
      <c r="CC15">
        <v>9</v>
      </c>
      <c r="CD15">
        <v>13</v>
      </c>
      <c r="CE15">
        <v>12</v>
      </c>
      <c r="CF15" s="2">
        <f t="shared" si="15"/>
        <v>10421.4</v>
      </c>
      <c r="CG15" s="2">
        <f t="shared" si="16"/>
        <v>3503.1</v>
      </c>
      <c r="CH15" s="2">
        <f t="shared" si="17"/>
        <v>6918.3</v>
      </c>
      <c r="CI15" s="2">
        <f t="shared" si="18"/>
        <v>8475</v>
      </c>
      <c r="CJ15" s="2">
        <f t="shared" si="19"/>
        <v>1946.4</v>
      </c>
      <c r="CK15" s="2">
        <f t="shared" si="20"/>
        <v>5730</v>
      </c>
      <c r="CL15" s="2">
        <f t="shared" si="21"/>
        <v>1188.3000000000002</v>
      </c>
      <c r="CM15" s="2">
        <f t="shared" si="22"/>
        <v>783</v>
      </c>
      <c r="CN15" s="2">
        <f t="shared" si="23"/>
        <v>456</v>
      </c>
      <c r="CO15" s="2">
        <f t="shared" si="24"/>
        <v>758.1</v>
      </c>
      <c r="CP15" s="2">
        <f t="shared" si="25"/>
        <v>2745</v>
      </c>
      <c r="CQ15" s="2">
        <f t="shared" si="26"/>
        <v>399</v>
      </c>
      <c r="CR15" s="2">
        <f t="shared" si="27"/>
        <v>629.1</v>
      </c>
      <c r="CS15" s="2">
        <f t="shared" si="28"/>
        <v>2379</v>
      </c>
      <c r="CT15" s="2">
        <f t="shared" si="29"/>
        <v>5988</v>
      </c>
    </row>
    <row r="16" spans="1:98">
      <c r="A16" t="s">
        <v>83</v>
      </c>
      <c r="B16" t="s">
        <v>69</v>
      </c>
      <c r="C16">
        <v>36783</v>
      </c>
      <c r="D16">
        <v>31961</v>
      </c>
      <c r="E16">
        <v>26526</v>
      </c>
      <c r="F16">
        <v>11945</v>
      </c>
      <c r="G16">
        <v>0.45</v>
      </c>
      <c r="H16">
        <v>7402</v>
      </c>
      <c r="I16">
        <v>7296</v>
      </c>
      <c r="J16">
        <v>7220</v>
      </c>
      <c r="K16">
        <v>7050</v>
      </c>
      <c r="L16">
        <v>6568</v>
      </c>
      <c r="M16">
        <v>6393</v>
      </c>
      <c r="N16">
        <v>6211</v>
      </c>
      <c r="O16">
        <v>5913</v>
      </c>
      <c r="P16">
        <v>5570</v>
      </c>
      <c r="Q16">
        <v>3763</v>
      </c>
      <c r="R16">
        <v>2871</v>
      </c>
      <c r="S16">
        <v>43414</v>
      </c>
      <c r="T16" s="3">
        <v>1957.72</v>
      </c>
      <c r="U16">
        <v>95</v>
      </c>
      <c r="V16">
        <v>36</v>
      </c>
      <c r="W16">
        <v>59</v>
      </c>
      <c r="X16">
        <v>47</v>
      </c>
      <c r="Y16">
        <v>48</v>
      </c>
      <c r="Z16">
        <v>25</v>
      </c>
      <c r="AA16">
        <v>21</v>
      </c>
      <c r="AB16">
        <v>5</v>
      </c>
      <c r="AC16">
        <v>1</v>
      </c>
      <c r="AD16">
        <v>27</v>
      </c>
      <c r="AE16">
        <v>22</v>
      </c>
      <c r="AF16">
        <v>13</v>
      </c>
      <c r="AG16">
        <v>9</v>
      </c>
      <c r="AH16">
        <v>18</v>
      </c>
      <c r="AI16">
        <v>23</v>
      </c>
      <c r="AJ16" s="2">
        <f t="shared" si="0"/>
        <v>17813.2</v>
      </c>
      <c r="AK16" s="2">
        <f t="shared" si="1"/>
        <v>5103.3</v>
      </c>
      <c r="AL16" s="2">
        <f t="shared" si="2"/>
        <v>12709.9</v>
      </c>
      <c r="AM16" s="2">
        <f t="shared" si="3"/>
        <v>15268</v>
      </c>
      <c r="AN16" s="2">
        <f t="shared" si="4"/>
        <v>2545.1999999999998</v>
      </c>
      <c r="AO16" s="2">
        <f t="shared" si="5"/>
        <v>11242</v>
      </c>
      <c r="AP16" s="2">
        <f t="shared" si="6"/>
        <v>1467.9</v>
      </c>
      <c r="AQ16" s="2">
        <f t="shared" si="7"/>
        <v>1305</v>
      </c>
      <c r="AR16" s="2">
        <f t="shared" si="8"/>
        <v>456</v>
      </c>
      <c r="AS16" s="2">
        <f t="shared" si="9"/>
        <v>1077.3</v>
      </c>
      <c r="AT16" s="2">
        <f t="shared" si="10"/>
        <v>4026</v>
      </c>
      <c r="AU16" s="2">
        <f t="shared" si="11"/>
        <v>518.69999999999993</v>
      </c>
      <c r="AV16" s="2">
        <f t="shared" si="12"/>
        <v>629.1</v>
      </c>
      <c r="AW16" s="2">
        <f t="shared" si="13"/>
        <v>3294</v>
      </c>
      <c r="AX16" s="2">
        <f t="shared" si="14"/>
        <v>11477</v>
      </c>
      <c r="AY16">
        <v>15279</v>
      </c>
      <c r="AZ16">
        <v>10692</v>
      </c>
      <c r="BA16">
        <v>10215</v>
      </c>
      <c r="BB16">
        <v>4805</v>
      </c>
      <c r="BC16">
        <v>0.47</v>
      </c>
      <c r="BD16">
        <v>2950</v>
      </c>
      <c r="BE16">
        <v>2902</v>
      </c>
      <c r="BF16">
        <v>2868</v>
      </c>
      <c r="BG16">
        <v>2865</v>
      </c>
      <c r="BH16">
        <v>2685</v>
      </c>
      <c r="BI16">
        <v>2626</v>
      </c>
      <c r="BJ16">
        <v>2524</v>
      </c>
      <c r="BK16">
        <v>2472</v>
      </c>
      <c r="BL16">
        <v>2292</v>
      </c>
      <c r="BM16">
        <v>1518</v>
      </c>
      <c r="BN16">
        <v>1223</v>
      </c>
      <c r="BO16">
        <v>19904</v>
      </c>
      <c r="BP16" s="3">
        <v>1267.77</v>
      </c>
      <c r="BQ16">
        <v>72</v>
      </c>
      <c r="BR16">
        <v>24</v>
      </c>
      <c r="BS16">
        <v>48</v>
      </c>
      <c r="BT16">
        <v>39</v>
      </c>
      <c r="BU16">
        <v>33</v>
      </c>
      <c r="BV16">
        <v>19</v>
      </c>
      <c r="BW16">
        <v>15</v>
      </c>
      <c r="BX16">
        <v>3</v>
      </c>
      <c r="BY16">
        <v>3</v>
      </c>
      <c r="BZ16">
        <v>18</v>
      </c>
      <c r="CA16">
        <v>20</v>
      </c>
      <c r="CB16">
        <v>10</v>
      </c>
      <c r="CC16">
        <v>7</v>
      </c>
      <c r="CD16">
        <v>16</v>
      </c>
      <c r="CE16">
        <v>17</v>
      </c>
      <c r="CF16" s="2">
        <f t="shared" si="15"/>
        <v>14064.7</v>
      </c>
      <c r="CG16" s="2">
        <f t="shared" si="16"/>
        <v>4378.2</v>
      </c>
      <c r="CH16" s="2">
        <f t="shared" si="17"/>
        <v>9686.5</v>
      </c>
      <c r="CI16" s="2">
        <f t="shared" si="18"/>
        <v>12298</v>
      </c>
      <c r="CJ16" s="2">
        <f t="shared" si="19"/>
        <v>1766.6999999999998</v>
      </c>
      <c r="CK16" s="2">
        <f t="shared" si="20"/>
        <v>8638</v>
      </c>
      <c r="CL16" s="2">
        <f t="shared" si="21"/>
        <v>1048.5</v>
      </c>
      <c r="CM16" s="2">
        <f t="shared" si="22"/>
        <v>783</v>
      </c>
      <c r="CN16" s="2">
        <f>BY16*456</f>
        <v>1368</v>
      </c>
      <c r="CO16" s="2">
        <f t="shared" si="24"/>
        <v>718.19999999999993</v>
      </c>
      <c r="CP16" s="2">
        <f t="shared" si="25"/>
        <v>3660</v>
      </c>
      <c r="CQ16" s="2">
        <f t="shared" si="26"/>
        <v>399</v>
      </c>
      <c r="CR16" s="2">
        <f t="shared" si="27"/>
        <v>489.30000000000007</v>
      </c>
      <c r="CS16" s="2">
        <f t="shared" si="28"/>
        <v>2928</v>
      </c>
      <c r="CT16" s="2">
        <f t="shared" si="29"/>
        <v>8483</v>
      </c>
    </row>
    <row r="17" spans="1:98">
      <c r="A17" t="s">
        <v>84</v>
      </c>
      <c r="B17" t="s">
        <v>69</v>
      </c>
      <c r="C17">
        <v>36373</v>
      </c>
      <c r="D17">
        <v>31487</v>
      </c>
      <c r="E17">
        <v>25738</v>
      </c>
      <c r="F17">
        <v>11528</v>
      </c>
      <c r="G17">
        <v>0.45</v>
      </c>
      <c r="H17">
        <v>7168</v>
      </c>
      <c r="I17">
        <v>7059</v>
      </c>
      <c r="J17">
        <v>6918</v>
      </c>
      <c r="K17">
        <v>6720</v>
      </c>
      <c r="L17">
        <v>6184</v>
      </c>
      <c r="M17">
        <v>6138</v>
      </c>
      <c r="N17">
        <v>6098</v>
      </c>
      <c r="O17">
        <v>5925</v>
      </c>
      <c r="P17">
        <v>5452</v>
      </c>
      <c r="Q17">
        <v>3443</v>
      </c>
      <c r="R17">
        <v>2539</v>
      </c>
      <c r="S17">
        <v>37012</v>
      </c>
      <c r="T17" s="3">
        <v>1803.85</v>
      </c>
      <c r="U17">
        <v>93</v>
      </c>
      <c r="V17">
        <v>39</v>
      </c>
      <c r="W17">
        <v>54</v>
      </c>
      <c r="X17">
        <v>41</v>
      </c>
      <c r="Y17">
        <v>52</v>
      </c>
      <c r="Z17">
        <v>18</v>
      </c>
      <c r="AA17">
        <v>26</v>
      </c>
      <c r="AB17">
        <v>4</v>
      </c>
      <c r="AC17">
        <v>2</v>
      </c>
      <c r="AD17">
        <v>26</v>
      </c>
      <c r="AE17">
        <v>23</v>
      </c>
      <c r="AF17">
        <v>12</v>
      </c>
      <c r="AG17">
        <v>11</v>
      </c>
      <c r="AH17">
        <v>19</v>
      </c>
      <c r="AI17">
        <v>16</v>
      </c>
      <c r="AJ17" s="2">
        <f t="shared" si="0"/>
        <v>15007.8</v>
      </c>
      <c r="AK17" s="2">
        <f t="shared" si="1"/>
        <v>5246.4</v>
      </c>
      <c r="AL17" s="2">
        <f t="shared" si="2"/>
        <v>9761.4</v>
      </c>
      <c r="AM17" s="2">
        <f t="shared" si="3"/>
        <v>12153</v>
      </c>
      <c r="AN17" s="2">
        <f t="shared" si="4"/>
        <v>2854.8</v>
      </c>
      <c r="AO17" s="2">
        <f t="shared" si="5"/>
        <v>7944</v>
      </c>
      <c r="AP17" s="2">
        <f t="shared" si="6"/>
        <v>1817.4</v>
      </c>
      <c r="AQ17" s="2">
        <f t="shared" si="7"/>
        <v>1044</v>
      </c>
      <c r="AR17" s="2">
        <f t="shared" si="8"/>
        <v>912</v>
      </c>
      <c r="AS17" s="2">
        <f t="shared" si="9"/>
        <v>1037.3999999999999</v>
      </c>
      <c r="AT17" s="2">
        <f t="shared" si="10"/>
        <v>4209</v>
      </c>
      <c r="AU17" s="2">
        <f t="shared" si="11"/>
        <v>478.79999999999995</v>
      </c>
      <c r="AV17" s="2">
        <f t="shared" si="12"/>
        <v>768.90000000000009</v>
      </c>
      <c r="AW17" s="2">
        <f t="shared" si="13"/>
        <v>3477</v>
      </c>
      <c r="AX17" s="2">
        <f t="shared" si="14"/>
        <v>7984</v>
      </c>
      <c r="AY17">
        <v>15015</v>
      </c>
      <c r="AZ17">
        <v>13520</v>
      </c>
      <c r="BA17">
        <v>9441</v>
      </c>
      <c r="BB17">
        <v>4311</v>
      </c>
      <c r="BC17">
        <v>0.46</v>
      </c>
      <c r="BD17">
        <v>2576</v>
      </c>
      <c r="BE17">
        <v>2508</v>
      </c>
      <c r="BF17">
        <v>2459</v>
      </c>
      <c r="BG17">
        <v>2438</v>
      </c>
      <c r="BH17">
        <v>2272</v>
      </c>
      <c r="BI17">
        <v>2235</v>
      </c>
      <c r="BJ17">
        <v>2206</v>
      </c>
      <c r="BK17">
        <v>2183</v>
      </c>
      <c r="BL17">
        <v>2050</v>
      </c>
      <c r="BM17">
        <v>1265</v>
      </c>
      <c r="BN17">
        <v>1110</v>
      </c>
      <c r="BO17">
        <v>19045</v>
      </c>
      <c r="BP17" s="3">
        <v>857.84</v>
      </c>
      <c r="BQ17">
        <v>64</v>
      </c>
      <c r="BR17">
        <v>26</v>
      </c>
      <c r="BS17">
        <v>38</v>
      </c>
      <c r="BT17">
        <v>33</v>
      </c>
      <c r="BU17">
        <v>31</v>
      </c>
      <c r="BV17">
        <v>16</v>
      </c>
      <c r="BW17">
        <v>13</v>
      </c>
      <c r="BX17">
        <v>2</v>
      </c>
      <c r="BY17">
        <v>1</v>
      </c>
      <c r="BZ17">
        <v>18</v>
      </c>
      <c r="CA17">
        <v>17</v>
      </c>
      <c r="CB17">
        <v>8</v>
      </c>
      <c r="CC17">
        <v>5</v>
      </c>
      <c r="CD17">
        <v>15</v>
      </c>
      <c r="CE17">
        <v>13</v>
      </c>
      <c r="CF17" s="2">
        <f t="shared" si="15"/>
        <v>12202.900000000001</v>
      </c>
      <c r="CG17" s="2">
        <f t="shared" si="16"/>
        <v>3829.2</v>
      </c>
      <c r="CH17" s="2">
        <f t="shared" si="17"/>
        <v>8373.7000000000007</v>
      </c>
      <c r="CI17" s="2">
        <f t="shared" si="18"/>
        <v>10576</v>
      </c>
      <c r="CJ17" s="2">
        <f t="shared" si="19"/>
        <v>1626.9</v>
      </c>
      <c r="CK17" s="2">
        <f t="shared" si="20"/>
        <v>7465</v>
      </c>
      <c r="CL17" s="2">
        <f t="shared" si="21"/>
        <v>908.7</v>
      </c>
      <c r="CM17" s="2">
        <f t="shared" si="22"/>
        <v>522</v>
      </c>
      <c r="CN17" s="2">
        <f t="shared" si="23"/>
        <v>456</v>
      </c>
      <c r="CO17" s="2">
        <f t="shared" si="24"/>
        <v>718.19999999999993</v>
      </c>
      <c r="CP17" s="2">
        <f t="shared" si="25"/>
        <v>3111</v>
      </c>
      <c r="CQ17" s="2">
        <f t="shared" si="26"/>
        <v>319.2</v>
      </c>
      <c r="CR17" s="2">
        <f t="shared" si="27"/>
        <v>349.5</v>
      </c>
      <c r="CS17" s="2">
        <f t="shared" si="28"/>
        <v>2745</v>
      </c>
      <c r="CT17" s="2">
        <f t="shared" si="29"/>
        <v>6487</v>
      </c>
    </row>
    <row r="18" spans="1:98">
      <c r="A18" t="s">
        <v>85</v>
      </c>
      <c r="B18" t="s">
        <v>69</v>
      </c>
      <c r="C18">
        <v>35997</v>
      </c>
      <c r="D18">
        <v>30853</v>
      </c>
      <c r="E18">
        <v>24870</v>
      </c>
      <c r="F18">
        <v>11884</v>
      </c>
      <c r="G18">
        <v>0.48</v>
      </c>
      <c r="H18">
        <v>7248</v>
      </c>
      <c r="I18">
        <v>7161</v>
      </c>
      <c r="J18">
        <v>7050</v>
      </c>
      <c r="K18">
        <v>6841</v>
      </c>
      <c r="L18">
        <v>6325</v>
      </c>
      <c r="M18">
        <v>6165</v>
      </c>
      <c r="N18">
        <v>6132</v>
      </c>
      <c r="O18">
        <v>6049</v>
      </c>
      <c r="P18">
        <v>5676</v>
      </c>
      <c r="Q18">
        <v>3704</v>
      </c>
      <c r="R18">
        <v>3044</v>
      </c>
      <c r="S18">
        <v>42210</v>
      </c>
      <c r="T18" s="3">
        <v>2452.29</v>
      </c>
      <c r="U18">
        <v>96</v>
      </c>
      <c r="V18">
        <v>34</v>
      </c>
      <c r="W18">
        <v>62</v>
      </c>
      <c r="X18">
        <v>49</v>
      </c>
      <c r="Y18">
        <v>47</v>
      </c>
      <c r="Z18">
        <v>25</v>
      </c>
      <c r="AA18">
        <v>21</v>
      </c>
      <c r="AB18">
        <v>5</v>
      </c>
      <c r="AC18">
        <v>2</v>
      </c>
      <c r="AD18">
        <v>26</v>
      </c>
      <c r="AE18">
        <v>24</v>
      </c>
      <c r="AF18">
        <v>14</v>
      </c>
      <c r="AG18">
        <v>11</v>
      </c>
      <c r="AH18">
        <v>18</v>
      </c>
      <c r="AI18">
        <v>23</v>
      </c>
      <c r="AJ18" s="2">
        <f t="shared" si="0"/>
        <v>18096.3</v>
      </c>
      <c r="AK18" s="2">
        <f t="shared" si="1"/>
        <v>5429.4</v>
      </c>
      <c r="AL18" s="2">
        <f t="shared" si="2"/>
        <v>12666.9</v>
      </c>
      <c r="AM18" s="2">
        <f t="shared" si="3"/>
        <v>15591</v>
      </c>
      <c r="AN18" s="2">
        <f t="shared" si="4"/>
        <v>2505.3000000000002</v>
      </c>
      <c r="AO18" s="2">
        <f t="shared" si="5"/>
        <v>11199</v>
      </c>
      <c r="AP18" s="2">
        <f t="shared" si="6"/>
        <v>1467.9</v>
      </c>
      <c r="AQ18" s="2">
        <f t="shared" si="7"/>
        <v>1305</v>
      </c>
      <c r="AR18" s="2">
        <f t="shared" si="8"/>
        <v>912</v>
      </c>
      <c r="AS18" s="2">
        <f t="shared" si="9"/>
        <v>1037.3999999999999</v>
      </c>
      <c r="AT18" s="2">
        <f t="shared" si="10"/>
        <v>4392</v>
      </c>
      <c r="AU18" s="2">
        <f t="shared" si="11"/>
        <v>558.6</v>
      </c>
      <c r="AV18" s="2">
        <f t="shared" si="12"/>
        <v>768.90000000000009</v>
      </c>
      <c r="AW18" s="2">
        <f t="shared" si="13"/>
        <v>3294</v>
      </c>
      <c r="AX18" s="2">
        <f t="shared" si="14"/>
        <v>11477</v>
      </c>
      <c r="AY18">
        <v>13642</v>
      </c>
      <c r="AZ18">
        <v>12736</v>
      </c>
      <c r="BA18">
        <v>9013</v>
      </c>
      <c r="BB18">
        <v>4417</v>
      </c>
      <c r="BC18">
        <v>0.49</v>
      </c>
      <c r="BD18">
        <v>2634</v>
      </c>
      <c r="BE18">
        <v>2596</v>
      </c>
      <c r="BF18">
        <v>2524</v>
      </c>
      <c r="BG18">
        <v>2500</v>
      </c>
      <c r="BH18">
        <v>2277</v>
      </c>
      <c r="BI18">
        <v>2242</v>
      </c>
      <c r="BJ18">
        <v>2233</v>
      </c>
      <c r="BK18">
        <v>2142</v>
      </c>
      <c r="BL18">
        <v>2004</v>
      </c>
      <c r="BM18">
        <v>1290</v>
      </c>
      <c r="BN18">
        <v>993</v>
      </c>
      <c r="BO18">
        <v>16598</v>
      </c>
      <c r="BP18" s="3">
        <v>985.07</v>
      </c>
      <c r="BQ18">
        <v>66</v>
      </c>
      <c r="BR18">
        <v>23</v>
      </c>
      <c r="BS18">
        <v>43</v>
      </c>
      <c r="BT18">
        <v>35</v>
      </c>
      <c r="BU18">
        <v>31</v>
      </c>
      <c r="BV18">
        <v>15</v>
      </c>
      <c r="BW18">
        <v>14</v>
      </c>
      <c r="BX18">
        <v>2</v>
      </c>
      <c r="BY18">
        <v>1</v>
      </c>
      <c r="BZ18">
        <v>17</v>
      </c>
      <c r="CA18">
        <v>20</v>
      </c>
      <c r="CB18">
        <v>8</v>
      </c>
      <c r="CC18">
        <v>8</v>
      </c>
      <c r="CD18">
        <v>16</v>
      </c>
      <c r="CE18">
        <v>13</v>
      </c>
      <c r="CF18" s="2">
        <f t="shared" si="15"/>
        <v>12282.900000000001</v>
      </c>
      <c r="CG18" s="2">
        <f t="shared" si="16"/>
        <v>4338.3</v>
      </c>
      <c r="CH18" s="2">
        <f t="shared" si="17"/>
        <v>7944.6</v>
      </c>
      <c r="CI18" s="2">
        <f t="shared" si="18"/>
        <v>10626</v>
      </c>
      <c r="CJ18" s="2">
        <f t="shared" si="19"/>
        <v>1656.9</v>
      </c>
      <c r="CK18" s="2">
        <f t="shared" si="20"/>
        <v>6966</v>
      </c>
      <c r="CL18" s="2">
        <f t="shared" si="21"/>
        <v>978.60000000000014</v>
      </c>
      <c r="CM18" s="2">
        <f t="shared" si="22"/>
        <v>522</v>
      </c>
      <c r="CN18" s="2">
        <f t="shared" si="23"/>
        <v>456</v>
      </c>
      <c r="CO18" s="2">
        <f t="shared" si="24"/>
        <v>678.3</v>
      </c>
      <c r="CP18" s="2">
        <f t="shared" si="25"/>
        <v>3660</v>
      </c>
      <c r="CQ18" s="2">
        <f t="shared" si="26"/>
        <v>319.2</v>
      </c>
      <c r="CR18" s="2">
        <f t="shared" si="27"/>
        <v>559.20000000000005</v>
      </c>
      <c r="CS18" s="2">
        <f t="shared" si="28"/>
        <v>2928</v>
      </c>
      <c r="CT18" s="2">
        <f t="shared" si="29"/>
        <v>6487</v>
      </c>
    </row>
    <row r="19" spans="1:98">
      <c r="A19" t="s">
        <v>86</v>
      </c>
      <c r="B19" t="s">
        <v>69</v>
      </c>
      <c r="C19">
        <v>35849</v>
      </c>
      <c r="D19">
        <v>30717</v>
      </c>
      <c r="E19">
        <v>24816</v>
      </c>
      <c r="F19">
        <v>10701</v>
      </c>
      <c r="G19">
        <v>0.43</v>
      </c>
      <c r="H19">
        <v>6493</v>
      </c>
      <c r="I19">
        <v>6381</v>
      </c>
      <c r="J19">
        <v>6306</v>
      </c>
      <c r="K19">
        <v>6305</v>
      </c>
      <c r="L19">
        <v>5730</v>
      </c>
      <c r="M19">
        <v>5672</v>
      </c>
      <c r="N19">
        <v>5563</v>
      </c>
      <c r="O19">
        <v>5419</v>
      </c>
      <c r="P19">
        <v>5099</v>
      </c>
      <c r="Q19">
        <v>3838</v>
      </c>
      <c r="R19">
        <v>3138</v>
      </c>
      <c r="S19">
        <v>43526</v>
      </c>
      <c r="T19" s="3">
        <v>2780.71</v>
      </c>
      <c r="U19">
        <v>86</v>
      </c>
      <c r="V19">
        <v>34</v>
      </c>
      <c r="W19">
        <v>52</v>
      </c>
      <c r="X19">
        <v>49</v>
      </c>
      <c r="Y19">
        <v>37</v>
      </c>
      <c r="Z19">
        <v>22</v>
      </c>
      <c r="AA19">
        <v>17</v>
      </c>
      <c r="AB19">
        <v>5</v>
      </c>
      <c r="AC19">
        <v>3</v>
      </c>
      <c r="AD19">
        <v>20</v>
      </c>
      <c r="AE19">
        <v>27</v>
      </c>
      <c r="AF19">
        <v>10</v>
      </c>
      <c r="AG19">
        <v>7</v>
      </c>
      <c r="AH19">
        <v>24</v>
      </c>
      <c r="AI19">
        <v>19</v>
      </c>
      <c r="AJ19" s="2">
        <f t="shared" si="0"/>
        <v>16586.3</v>
      </c>
      <c r="AK19" s="2">
        <f t="shared" si="1"/>
        <v>5739</v>
      </c>
      <c r="AL19" s="2">
        <f t="shared" si="2"/>
        <v>10847.3</v>
      </c>
      <c r="AM19" s="2">
        <f t="shared" si="3"/>
        <v>14600</v>
      </c>
      <c r="AN19" s="2">
        <f t="shared" si="4"/>
        <v>1986.3000000000002</v>
      </c>
      <c r="AO19" s="2">
        <f t="shared" si="5"/>
        <v>9659</v>
      </c>
      <c r="AP19" s="2">
        <f t="shared" si="6"/>
        <v>1188.3000000000002</v>
      </c>
      <c r="AQ19" s="2">
        <f t="shared" si="7"/>
        <v>1305</v>
      </c>
      <c r="AR19" s="2">
        <f t="shared" si="8"/>
        <v>1368</v>
      </c>
      <c r="AS19" s="2">
        <f t="shared" si="9"/>
        <v>798</v>
      </c>
      <c r="AT19" s="2">
        <f t="shared" si="10"/>
        <v>4941</v>
      </c>
      <c r="AU19" s="2">
        <f t="shared" si="11"/>
        <v>399</v>
      </c>
      <c r="AV19" s="2">
        <f t="shared" si="12"/>
        <v>489.30000000000007</v>
      </c>
      <c r="AW19" s="2">
        <f t="shared" si="13"/>
        <v>4392</v>
      </c>
      <c r="AX19" s="2">
        <f t="shared" si="14"/>
        <v>9481</v>
      </c>
      <c r="AY19">
        <v>14781</v>
      </c>
      <c r="AZ19">
        <v>10222</v>
      </c>
      <c r="BA19">
        <v>10726</v>
      </c>
      <c r="BB19">
        <v>5030</v>
      </c>
      <c r="BC19">
        <v>0.47</v>
      </c>
      <c r="BD19">
        <v>3026</v>
      </c>
      <c r="BE19">
        <v>2951</v>
      </c>
      <c r="BF19">
        <v>2859</v>
      </c>
      <c r="BG19">
        <v>2781</v>
      </c>
      <c r="BH19">
        <v>2669</v>
      </c>
      <c r="BI19">
        <v>2597</v>
      </c>
      <c r="BJ19">
        <v>2503</v>
      </c>
      <c r="BK19">
        <v>2404</v>
      </c>
      <c r="BL19">
        <v>2327</v>
      </c>
      <c r="BM19">
        <v>1762</v>
      </c>
      <c r="BN19">
        <v>1396</v>
      </c>
      <c r="BO19">
        <v>24478</v>
      </c>
      <c r="BP19" s="3">
        <v>1360.28</v>
      </c>
      <c r="BQ19">
        <v>76</v>
      </c>
      <c r="BR19">
        <v>29</v>
      </c>
      <c r="BS19">
        <v>47</v>
      </c>
      <c r="BT19">
        <v>45</v>
      </c>
      <c r="BU19">
        <v>31</v>
      </c>
      <c r="BV19">
        <v>20</v>
      </c>
      <c r="BW19">
        <v>14</v>
      </c>
      <c r="BX19">
        <v>2</v>
      </c>
      <c r="BY19">
        <v>2</v>
      </c>
      <c r="BZ19">
        <v>17</v>
      </c>
      <c r="CA19">
        <v>25</v>
      </c>
      <c r="CB19">
        <v>7</v>
      </c>
      <c r="CC19">
        <v>6</v>
      </c>
      <c r="CD19">
        <v>20</v>
      </c>
      <c r="CE19">
        <v>17</v>
      </c>
      <c r="CF19" s="2">
        <f t="shared" si="15"/>
        <v>15649.900000000001</v>
      </c>
      <c r="CG19" s="2">
        <f t="shared" si="16"/>
        <v>5253.3</v>
      </c>
      <c r="CH19" s="2">
        <f t="shared" si="17"/>
        <v>10396.6</v>
      </c>
      <c r="CI19" s="2">
        <f t="shared" si="18"/>
        <v>13993</v>
      </c>
      <c r="CJ19" s="2">
        <f t="shared" si="19"/>
        <v>1656.9</v>
      </c>
      <c r="CK19" s="2">
        <f t="shared" si="20"/>
        <v>9418</v>
      </c>
      <c r="CL19" s="2">
        <f t="shared" si="21"/>
        <v>978.60000000000014</v>
      </c>
      <c r="CM19" s="2">
        <f t="shared" si="22"/>
        <v>522</v>
      </c>
      <c r="CN19" s="2">
        <f t="shared" si="23"/>
        <v>912</v>
      </c>
      <c r="CO19" s="2">
        <f t="shared" si="24"/>
        <v>678.3</v>
      </c>
      <c r="CP19" s="2">
        <f t="shared" si="25"/>
        <v>4575</v>
      </c>
      <c r="CQ19" s="2">
        <f t="shared" si="26"/>
        <v>279.3</v>
      </c>
      <c r="CR19" s="2">
        <f t="shared" si="27"/>
        <v>419.40000000000003</v>
      </c>
      <c r="CS19" s="2">
        <f t="shared" si="28"/>
        <v>3660</v>
      </c>
      <c r="CT19" s="2">
        <f t="shared" si="29"/>
        <v>8483</v>
      </c>
    </row>
    <row r="20" spans="1:98">
      <c r="A20" t="s">
        <v>87</v>
      </c>
      <c r="B20" t="s">
        <v>69</v>
      </c>
      <c r="C20">
        <v>35123</v>
      </c>
      <c r="D20">
        <v>30470</v>
      </c>
      <c r="E20">
        <v>24111</v>
      </c>
      <c r="F20">
        <v>11060</v>
      </c>
      <c r="G20">
        <v>0.46</v>
      </c>
      <c r="H20">
        <v>6812</v>
      </c>
      <c r="I20">
        <v>6717</v>
      </c>
      <c r="J20">
        <v>6616</v>
      </c>
      <c r="K20">
        <v>6548</v>
      </c>
      <c r="L20">
        <v>5929</v>
      </c>
      <c r="M20">
        <v>5865</v>
      </c>
      <c r="N20">
        <v>5734</v>
      </c>
      <c r="O20">
        <v>5626</v>
      </c>
      <c r="P20">
        <v>5272</v>
      </c>
      <c r="Q20">
        <v>3512</v>
      </c>
      <c r="R20">
        <v>2817</v>
      </c>
      <c r="S20">
        <v>45214</v>
      </c>
      <c r="T20" s="3">
        <v>2763.41</v>
      </c>
      <c r="U20">
        <v>89</v>
      </c>
      <c r="V20">
        <v>37</v>
      </c>
      <c r="W20">
        <v>52</v>
      </c>
      <c r="X20">
        <v>51</v>
      </c>
      <c r="Y20">
        <v>38</v>
      </c>
      <c r="Z20">
        <v>26</v>
      </c>
      <c r="AA20">
        <v>16</v>
      </c>
      <c r="AB20">
        <v>6</v>
      </c>
      <c r="AC20">
        <v>2</v>
      </c>
      <c r="AD20">
        <v>22</v>
      </c>
      <c r="AE20">
        <v>25</v>
      </c>
      <c r="AF20">
        <v>10</v>
      </c>
      <c r="AG20">
        <v>9</v>
      </c>
      <c r="AH20">
        <v>21</v>
      </c>
      <c r="AI20">
        <v>22</v>
      </c>
      <c r="AJ20" s="2">
        <f t="shared" si="0"/>
        <v>18031.2</v>
      </c>
      <c r="AK20" s="2">
        <f t="shared" si="1"/>
        <v>5452.8</v>
      </c>
      <c r="AL20" s="2">
        <f t="shared" si="2"/>
        <v>12578.4</v>
      </c>
      <c r="AM20" s="2">
        <f t="shared" si="3"/>
        <v>16035</v>
      </c>
      <c r="AN20" s="2">
        <f t="shared" si="4"/>
        <v>1996.2</v>
      </c>
      <c r="AO20" s="2">
        <f t="shared" si="5"/>
        <v>11460</v>
      </c>
      <c r="AP20" s="2">
        <f t="shared" si="6"/>
        <v>1118.4000000000001</v>
      </c>
      <c r="AQ20" s="2">
        <f t="shared" si="7"/>
        <v>1566</v>
      </c>
      <c r="AR20" s="2">
        <f t="shared" si="8"/>
        <v>912</v>
      </c>
      <c r="AS20" s="2">
        <f t="shared" si="9"/>
        <v>877.8</v>
      </c>
      <c r="AT20" s="2">
        <f>AE20*183</f>
        <v>4575</v>
      </c>
      <c r="AU20" s="2">
        <f t="shared" si="11"/>
        <v>399</v>
      </c>
      <c r="AV20" s="2">
        <f t="shared" si="12"/>
        <v>629.1</v>
      </c>
      <c r="AW20" s="2">
        <f t="shared" si="13"/>
        <v>3843</v>
      </c>
      <c r="AX20" s="2">
        <f t="shared" si="14"/>
        <v>10978</v>
      </c>
      <c r="AY20">
        <v>13451</v>
      </c>
      <c r="AZ20">
        <v>12849</v>
      </c>
      <c r="BA20">
        <v>9428</v>
      </c>
      <c r="BB20">
        <v>3909</v>
      </c>
      <c r="BC20">
        <v>0.41</v>
      </c>
      <c r="BD20">
        <v>2529</v>
      </c>
      <c r="BE20">
        <v>2487</v>
      </c>
      <c r="BF20">
        <v>2450</v>
      </c>
      <c r="BG20">
        <v>2435</v>
      </c>
      <c r="BH20">
        <v>2225</v>
      </c>
      <c r="BI20">
        <v>2187</v>
      </c>
      <c r="BJ20">
        <v>2178</v>
      </c>
      <c r="BK20">
        <v>2108</v>
      </c>
      <c r="BL20">
        <v>1974</v>
      </c>
      <c r="BM20">
        <v>1333</v>
      </c>
      <c r="BN20">
        <v>1101</v>
      </c>
      <c r="BO20">
        <v>19266</v>
      </c>
      <c r="BP20" s="3">
        <v>1100.7</v>
      </c>
      <c r="BQ20">
        <v>59</v>
      </c>
      <c r="BR20">
        <v>21</v>
      </c>
      <c r="BS20">
        <v>38</v>
      </c>
      <c r="BT20">
        <v>32</v>
      </c>
      <c r="BU20">
        <v>27</v>
      </c>
      <c r="BV20">
        <v>14</v>
      </c>
      <c r="BW20">
        <v>14</v>
      </c>
      <c r="BX20">
        <v>3</v>
      </c>
      <c r="BY20">
        <v>1</v>
      </c>
      <c r="BZ20">
        <v>13</v>
      </c>
      <c r="CA20">
        <v>18</v>
      </c>
      <c r="CB20">
        <v>6</v>
      </c>
      <c r="CC20">
        <v>6</v>
      </c>
      <c r="CD20">
        <v>15</v>
      </c>
      <c r="CE20">
        <v>12</v>
      </c>
      <c r="CF20" s="2">
        <f t="shared" si="15"/>
        <v>11020.3</v>
      </c>
      <c r="CG20" s="2">
        <f t="shared" si="16"/>
        <v>3812.7</v>
      </c>
      <c r="CH20" s="2">
        <f t="shared" si="17"/>
        <v>7207.6</v>
      </c>
      <c r="CI20" s="2">
        <f t="shared" si="18"/>
        <v>9523</v>
      </c>
      <c r="CJ20" s="2">
        <f t="shared" si="19"/>
        <v>1497.3000000000002</v>
      </c>
      <c r="CK20" s="2">
        <f t="shared" si="20"/>
        <v>6229</v>
      </c>
      <c r="CL20" s="2">
        <f t="shared" si="21"/>
        <v>978.60000000000014</v>
      </c>
      <c r="CM20" s="2">
        <f t="shared" si="22"/>
        <v>783</v>
      </c>
      <c r="CN20" s="2">
        <f t="shared" si="23"/>
        <v>456</v>
      </c>
      <c r="CO20" s="2">
        <f t="shared" si="24"/>
        <v>518.69999999999993</v>
      </c>
      <c r="CP20" s="2">
        <f>CA20*183</f>
        <v>3294</v>
      </c>
      <c r="CQ20" s="2">
        <f t="shared" si="26"/>
        <v>239.39999999999998</v>
      </c>
      <c r="CR20" s="2">
        <f t="shared" si="27"/>
        <v>419.40000000000003</v>
      </c>
      <c r="CS20" s="2">
        <f t="shared" si="28"/>
        <v>2745</v>
      </c>
      <c r="CT20" s="2">
        <f t="shared" si="29"/>
        <v>5988</v>
      </c>
    </row>
    <row r="21" spans="1:98">
      <c r="A21" t="s">
        <v>88</v>
      </c>
      <c r="B21" t="s">
        <v>69</v>
      </c>
      <c r="C21">
        <v>34671</v>
      </c>
      <c r="D21">
        <v>30437</v>
      </c>
      <c r="E21">
        <v>23284</v>
      </c>
      <c r="F21">
        <v>10913</v>
      </c>
      <c r="G21">
        <v>0.47</v>
      </c>
      <c r="H21">
        <v>6601</v>
      </c>
      <c r="I21">
        <v>6489</v>
      </c>
      <c r="J21">
        <v>6343</v>
      </c>
      <c r="K21">
        <v>6300</v>
      </c>
      <c r="L21">
        <v>5728</v>
      </c>
      <c r="M21">
        <v>5614</v>
      </c>
      <c r="N21">
        <v>5497</v>
      </c>
      <c r="O21">
        <v>5399</v>
      </c>
      <c r="P21">
        <v>5048</v>
      </c>
      <c r="Q21">
        <v>3247</v>
      </c>
      <c r="R21">
        <v>2660</v>
      </c>
      <c r="S21">
        <v>46448</v>
      </c>
      <c r="T21" s="3">
        <v>2897.82</v>
      </c>
      <c r="U21">
        <v>87</v>
      </c>
      <c r="V21">
        <v>30</v>
      </c>
      <c r="W21">
        <v>57</v>
      </c>
      <c r="X21">
        <v>38</v>
      </c>
      <c r="Y21">
        <v>49</v>
      </c>
      <c r="Z21">
        <v>17</v>
      </c>
      <c r="AA21">
        <v>22</v>
      </c>
      <c r="AB21">
        <v>3</v>
      </c>
      <c r="AC21">
        <v>1</v>
      </c>
      <c r="AD21">
        <v>27</v>
      </c>
      <c r="AE21">
        <v>21</v>
      </c>
      <c r="AF21">
        <v>11</v>
      </c>
      <c r="AG21">
        <v>11</v>
      </c>
      <c r="AH21">
        <v>18</v>
      </c>
      <c r="AI21">
        <v>14</v>
      </c>
      <c r="AJ21" s="2">
        <f t="shared" si="0"/>
        <v>14184.099999999999</v>
      </c>
      <c r="AK21" s="2">
        <f t="shared" si="1"/>
        <v>4920.3</v>
      </c>
      <c r="AL21" s="2">
        <f t="shared" si="2"/>
        <v>9263.7999999999993</v>
      </c>
      <c r="AM21" s="2">
        <f t="shared" si="3"/>
        <v>11569</v>
      </c>
      <c r="AN21" s="2">
        <f t="shared" si="4"/>
        <v>2615.1000000000004</v>
      </c>
      <c r="AO21" s="2">
        <f t="shared" si="5"/>
        <v>7726</v>
      </c>
      <c r="AP21" s="2">
        <f t="shared" si="6"/>
        <v>1537.8000000000002</v>
      </c>
      <c r="AQ21" s="2">
        <f t="shared" si="7"/>
        <v>783</v>
      </c>
      <c r="AR21" s="2">
        <f t="shared" si="8"/>
        <v>456</v>
      </c>
      <c r="AS21" s="2">
        <f t="shared" si="9"/>
        <v>1077.3</v>
      </c>
      <c r="AT21" s="2">
        <f t="shared" si="10"/>
        <v>3843</v>
      </c>
      <c r="AU21" s="2">
        <f t="shared" si="11"/>
        <v>438.9</v>
      </c>
      <c r="AV21" s="2">
        <f t="shared" si="12"/>
        <v>768.90000000000009</v>
      </c>
      <c r="AW21" s="2">
        <f t="shared" si="13"/>
        <v>3294</v>
      </c>
      <c r="AX21" s="2">
        <f t="shared" si="14"/>
        <v>6986</v>
      </c>
      <c r="AY21">
        <v>13961</v>
      </c>
      <c r="AZ21">
        <v>10104</v>
      </c>
      <c r="BA21">
        <v>9811</v>
      </c>
      <c r="BB21">
        <v>5077</v>
      </c>
      <c r="BC21">
        <v>0.52</v>
      </c>
      <c r="BD21">
        <v>3017</v>
      </c>
      <c r="BE21">
        <v>2941</v>
      </c>
      <c r="BF21">
        <v>2895</v>
      </c>
      <c r="BG21">
        <v>2855</v>
      </c>
      <c r="BH21">
        <v>2628</v>
      </c>
      <c r="BI21">
        <v>2568</v>
      </c>
      <c r="BJ21">
        <v>2473</v>
      </c>
      <c r="BK21">
        <v>2374</v>
      </c>
      <c r="BL21">
        <v>2253</v>
      </c>
      <c r="BM21">
        <v>1507</v>
      </c>
      <c r="BN21">
        <v>1128</v>
      </c>
      <c r="BO21">
        <v>17070</v>
      </c>
      <c r="BP21" s="3">
        <v>1046.8399999999999</v>
      </c>
      <c r="BQ21">
        <v>77</v>
      </c>
      <c r="BR21">
        <v>28</v>
      </c>
      <c r="BS21">
        <v>49</v>
      </c>
      <c r="BT21">
        <v>44</v>
      </c>
      <c r="BU21">
        <v>33</v>
      </c>
      <c r="BV21">
        <v>22</v>
      </c>
      <c r="BW21">
        <v>15</v>
      </c>
      <c r="BX21">
        <v>4</v>
      </c>
      <c r="BY21">
        <v>2</v>
      </c>
      <c r="BZ21">
        <v>18</v>
      </c>
      <c r="CA21">
        <v>22</v>
      </c>
      <c r="CB21">
        <v>9</v>
      </c>
      <c r="CC21">
        <v>8</v>
      </c>
      <c r="CD21">
        <v>17</v>
      </c>
      <c r="CE21">
        <v>19</v>
      </c>
      <c r="CF21" s="2">
        <f t="shared" si="15"/>
        <v>15732.7</v>
      </c>
      <c r="CG21" s="2">
        <f t="shared" si="16"/>
        <v>4744.2</v>
      </c>
      <c r="CH21" s="2">
        <f t="shared" si="17"/>
        <v>10988.5</v>
      </c>
      <c r="CI21" s="2">
        <f t="shared" si="18"/>
        <v>13966</v>
      </c>
      <c r="CJ21" s="2">
        <f t="shared" si="19"/>
        <v>1766.6999999999998</v>
      </c>
      <c r="CK21" s="2">
        <f t="shared" si="20"/>
        <v>9940</v>
      </c>
      <c r="CL21" s="2">
        <f t="shared" si="21"/>
        <v>1048.5</v>
      </c>
      <c r="CM21" s="2">
        <f t="shared" si="22"/>
        <v>1044</v>
      </c>
      <c r="CN21" s="2">
        <f t="shared" si="23"/>
        <v>912</v>
      </c>
      <c r="CO21" s="2">
        <f t="shared" si="24"/>
        <v>718.19999999999993</v>
      </c>
      <c r="CP21" s="2">
        <f t="shared" ref="CP21:CP24" si="30">CA21*183</f>
        <v>4026</v>
      </c>
      <c r="CQ21" s="2">
        <f t="shared" si="26"/>
        <v>359.09999999999997</v>
      </c>
      <c r="CR21" s="2">
        <f t="shared" si="27"/>
        <v>559.20000000000005</v>
      </c>
      <c r="CS21" s="2">
        <f t="shared" si="28"/>
        <v>3111</v>
      </c>
      <c r="CT21" s="2">
        <f t="shared" si="29"/>
        <v>9481</v>
      </c>
    </row>
    <row r="22" spans="1:98">
      <c r="A22" t="s">
        <v>89</v>
      </c>
      <c r="B22" t="s">
        <v>69</v>
      </c>
      <c r="C22">
        <v>35437</v>
      </c>
      <c r="D22">
        <v>30333</v>
      </c>
      <c r="E22">
        <v>25486</v>
      </c>
      <c r="F22">
        <v>10762</v>
      </c>
      <c r="G22">
        <v>0.42</v>
      </c>
      <c r="H22">
        <v>6838</v>
      </c>
      <c r="I22">
        <v>6725</v>
      </c>
      <c r="J22">
        <v>6601</v>
      </c>
      <c r="K22">
        <v>6410</v>
      </c>
      <c r="L22">
        <v>5889</v>
      </c>
      <c r="M22">
        <v>5869</v>
      </c>
      <c r="N22">
        <v>5775</v>
      </c>
      <c r="O22">
        <v>5547</v>
      </c>
      <c r="P22">
        <v>5263</v>
      </c>
      <c r="Q22">
        <v>3762</v>
      </c>
      <c r="R22">
        <v>2835</v>
      </c>
      <c r="S22">
        <v>47785</v>
      </c>
      <c r="T22" s="3">
        <v>3027.55</v>
      </c>
      <c r="U22">
        <v>86</v>
      </c>
      <c r="V22">
        <v>31</v>
      </c>
      <c r="W22">
        <v>55</v>
      </c>
      <c r="X22">
        <v>40</v>
      </c>
      <c r="Y22">
        <v>46</v>
      </c>
      <c r="Z22">
        <v>20</v>
      </c>
      <c r="AA22">
        <v>23</v>
      </c>
      <c r="AB22">
        <v>3</v>
      </c>
      <c r="AC22">
        <v>1</v>
      </c>
      <c r="AD22">
        <v>23</v>
      </c>
      <c r="AE22">
        <v>20</v>
      </c>
      <c r="AF22">
        <v>11</v>
      </c>
      <c r="AG22">
        <v>9</v>
      </c>
      <c r="AH22">
        <v>18</v>
      </c>
      <c r="AI22">
        <v>17</v>
      </c>
      <c r="AJ22" s="2">
        <f t="shared" si="0"/>
        <v>15408.400000000001</v>
      </c>
      <c r="AK22" s="2">
        <f t="shared" si="1"/>
        <v>4577.7</v>
      </c>
      <c r="AL22" s="2">
        <f t="shared" si="2"/>
        <v>10830.7</v>
      </c>
      <c r="AM22" s="2">
        <f t="shared" si="3"/>
        <v>12883</v>
      </c>
      <c r="AN22" s="2">
        <f t="shared" si="4"/>
        <v>2525.4</v>
      </c>
      <c r="AO22" s="2">
        <f t="shared" si="5"/>
        <v>9223</v>
      </c>
      <c r="AP22" s="2">
        <f t="shared" si="6"/>
        <v>1607.7</v>
      </c>
      <c r="AQ22" s="2">
        <f t="shared" si="7"/>
        <v>783</v>
      </c>
      <c r="AR22" s="2">
        <f t="shared" si="8"/>
        <v>456</v>
      </c>
      <c r="AS22" s="2">
        <f t="shared" si="9"/>
        <v>917.69999999999993</v>
      </c>
      <c r="AT22" s="2">
        <f t="shared" si="10"/>
        <v>3660</v>
      </c>
      <c r="AU22" s="2">
        <f t="shared" si="11"/>
        <v>438.9</v>
      </c>
      <c r="AV22" s="2">
        <f t="shared" si="12"/>
        <v>629.1</v>
      </c>
      <c r="AW22" s="2">
        <f t="shared" si="13"/>
        <v>3294</v>
      </c>
      <c r="AX22" s="2">
        <f t="shared" si="14"/>
        <v>8483</v>
      </c>
      <c r="AY22">
        <v>14216</v>
      </c>
      <c r="AZ22">
        <v>10016</v>
      </c>
      <c r="BA22">
        <v>10100</v>
      </c>
      <c r="BB22">
        <v>5304</v>
      </c>
      <c r="BC22">
        <v>0.53</v>
      </c>
      <c r="BD22">
        <v>3196</v>
      </c>
      <c r="BE22">
        <v>3128</v>
      </c>
      <c r="BF22">
        <v>3033</v>
      </c>
      <c r="BG22">
        <v>2983</v>
      </c>
      <c r="BH22">
        <v>2766</v>
      </c>
      <c r="BI22">
        <v>2692</v>
      </c>
      <c r="BJ22">
        <v>2606</v>
      </c>
      <c r="BK22">
        <v>2514</v>
      </c>
      <c r="BL22">
        <v>2403</v>
      </c>
      <c r="BM22">
        <v>1870</v>
      </c>
      <c r="BN22">
        <v>1498</v>
      </c>
      <c r="BO22">
        <v>21044</v>
      </c>
      <c r="BP22" s="3">
        <v>1131.56</v>
      </c>
      <c r="BQ22">
        <v>80</v>
      </c>
      <c r="BR22">
        <v>27</v>
      </c>
      <c r="BS22">
        <v>53</v>
      </c>
      <c r="BT22">
        <v>42</v>
      </c>
      <c r="BU22">
        <v>38</v>
      </c>
      <c r="BV22">
        <v>19</v>
      </c>
      <c r="BW22">
        <v>17</v>
      </c>
      <c r="BX22">
        <v>2</v>
      </c>
      <c r="BY22">
        <v>2</v>
      </c>
      <c r="BZ22">
        <v>21</v>
      </c>
      <c r="CA22">
        <v>23</v>
      </c>
      <c r="CB22">
        <v>12</v>
      </c>
      <c r="CC22">
        <v>8</v>
      </c>
      <c r="CD22">
        <v>19</v>
      </c>
      <c r="CE22">
        <v>17</v>
      </c>
      <c r="CF22" s="2">
        <f t="shared" si="15"/>
        <v>15154.199999999999</v>
      </c>
      <c r="CG22" s="2">
        <f t="shared" si="16"/>
        <v>5046.8999999999996</v>
      </c>
      <c r="CH22" s="2">
        <f t="shared" si="17"/>
        <v>10107.299999999999</v>
      </c>
      <c r="CI22" s="2">
        <f t="shared" si="18"/>
        <v>13128</v>
      </c>
      <c r="CJ22" s="2">
        <f t="shared" si="19"/>
        <v>2026.2000000000003</v>
      </c>
      <c r="CK22" s="2">
        <f t="shared" si="20"/>
        <v>8919</v>
      </c>
      <c r="CL22" s="2">
        <f t="shared" si="21"/>
        <v>1188.3000000000002</v>
      </c>
      <c r="CM22" s="2">
        <f t="shared" si="22"/>
        <v>522</v>
      </c>
      <c r="CN22" s="2">
        <f t="shared" si="23"/>
        <v>912</v>
      </c>
      <c r="CO22" s="2">
        <f t="shared" si="24"/>
        <v>837.9</v>
      </c>
      <c r="CP22" s="2">
        <f t="shared" si="30"/>
        <v>4209</v>
      </c>
      <c r="CQ22" s="2">
        <f t="shared" si="26"/>
        <v>478.79999999999995</v>
      </c>
      <c r="CR22" s="2">
        <f t="shared" si="27"/>
        <v>559.20000000000005</v>
      </c>
      <c r="CS22" s="2">
        <f t="shared" si="28"/>
        <v>3477</v>
      </c>
      <c r="CT22" s="2">
        <f t="shared" si="29"/>
        <v>8483</v>
      </c>
    </row>
    <row r="23" spans="1:98">
      <c r="A23" t="s">
        <v>90</v>
      </c>
      <c r="B23" t="s">
        <v>69</v>
      </c>
      <c r="C23">
        <v>34648</v>
      </c>
      <c r="D23">
        <v>30506</v>
      </c>
      <c r="E23">
        <v>24773</v>
      </c>
      <c r="F23">
        <v>11407</v>
      </c>
      <c r="G23">
        <v>0.46</v>
      </c>
      <c r="H23">
        <v>7139</v>
      </c>
      <c r="I23">
        <v>6997</v>
      </c>
      <c r="J23">
        <v>6841</v>
      </c>
      <c r="K23">
        <v>6724</v>
      </c>
      <c r="L23">
        <v>6210</v>
      </c>
      <c r="M23">
        <v>6168</v>
      </c>
      <c r="N23">
        <v>6113</v>
      </c>
      <c r="O23">
        <v>5920</v>
      </c>
      <c r="P23">
        <v>5573</v>
      </c>
      <c r="Q23">
        <v>3744</v>
      </c>
      <c r="R23">
        <v>2774</v>
      </c>
      <c r="S23">
        <v>36321</v>
      </c>
      <c r="T23" s="3">
        <v>1956.98</v>
      </c>
      <c r="U23">
        <v>92</v>
      </c>
      <c r="V23">
        <v>34</v>
      </c>
      <c r="W23">
        <v>58</v>
      </c>
      <c r="X23">
        <v>53</v>
      </c>
      <c r="Y23">
        <v>39</v>
      </c>
      <c r="Z23">
        <v>26</v>
      </c>
      <c r="AA23">
        <v>16</v>
      </c>
      <c r="AB23">
        <v>5</v>
      </c>
      <c r="AC23">
        <v>2</v>
      </c>
      <c r="AD23">
        <v>23</v>
      </c>
      <c r="AE23">
        <v>27</v>
      </c>
      <c r="AF23">
        <v>14</v>
      </c>
      <c r="AG23">
        <v>8</v>
      </c>
      <c r="AH23">
        <v>22</v>
      </c>
      <c r="AI23">
        <v>22</v>
      </c>
      <c r="AJ23" s="2">
        <f t="shared" si="0"/>
        <v>18675.099999999999</v>
      </c>
      <c r="AK23" s="2">
        <f t="shared" si="1"/>
        <v>5858.7</v>
      </c>
      <c r="AL23" s="2">
        <f t="shared" si="2"/>
        <v>12816.4</v>
      </c>
      <c r="AM23" s="2">
        <f t="shared" si="3"/>
        <v>16639</v>
      </c>
      <c r="AN23" s="2">
        <f t="shared" si="4"/>
        <v>2036.1</v>
      </c>
      <c r="AO23" s="2">
        <f t="shared" si="5"/>
        <v>11698</v>
      </c>
      <c r="AP23" s="2">
        <f t="shared" si="6"/>
        <v>1118.4000000000001</v>
      </c>
      <c r="AQ23" s="2">
        <f t="shared" si="7"/>
        <v>1305</v>
      </c>
      <c r="AR23" s="2">
        <f t="shared" si="8"/>
        <v>912</v>
      </c>
      <c r="AS23" s="2">
        <f t="shared" si="9"/>
        <v>917.69999999999993</v>
      </c>
      <c r="AT23" s="2">
        <f t="shared" si="10"/>
        <v>4941</v>
      </c>
      <c r="AU23" s="2">
        <f t="shared" si="11"/>
        <v>558.6</v>
      </c>
      <c r="AV23" s="2">
        <f t="shared" si="12"/>
        <v>559.20000000000005</v>
      </c>
      <c r="AW23" s="2">
        <f t="shared" si="13"/>
        <v>4026</v>
      </c>
      <c r="AX23" s="2">
        <f t="shared" si="14"/>
        <v>10978</v>
      </c>
      <c r="AY23">
        <v>12243</v>
      </c>
      <c r="AZ23">
        <v>14241</v>
      </c>
      <c r="BA23">
        <v>8735</v>
      </c>
      <c r="BB23">
        <v>3869</v>
      </c>
      <c r="BC23">
        <v>0.44</v>
      </c>
      <c r="BD23">
        <v>2276</v>
      </c>
      <c r="BE23">
        <v>2229</v>
      </c>
      <c r="BF23">
        <v>2180</v>
      </c>
      <c r="BG23">
        <v>2173</v>
      </c>
      <c r="BH23">
        <v>2075</v>
      </c>
      <c r="BI23">
        <v>2036</v>
      </c>
      <c r="BJ23">
        <v>1992</v>
      </c>
      <c r="BK23">
        <v>1959</v>
      </c>
      <c r="BL23">
        <v>1803</v>
      </c>
      <c r="BM23">
        <v>1271</v>
      </c>
      <c r="BN23">
        <v>1113</v>
      </c>
      <c r="BO23">
        <v>19027</v>
      </c>
      <c r="BP23" s="3">
        <v>880.42</v>
      </c>
      <c r="BQ23">
        <v>58</v>
      </c>
      <c r="BR23">
        <v>20</v>
      </c>
      <c r="BS23">
        <v>38</v>
      </c>
      <c r="BT23">
        <v>27</v>
      </c>
      <c r="BU23">
        <v>31</v>
      </c>
      <c r="BV23">
        <v>14</v>
      </c>
      <c r="BW23">
        <v>15</v>
      </c>
      <c r="BX23">
        <v>2</v>
      </c>
      <c r="BY23">
        <v>1</v>
      </c>
      <c r="BZ23">
        <v>16</v>
      </c>
      <c r="CA23">
        <v>13</v>
      </c>
      <c r="CB23">
        <v>9</v>
      </c>
      <c r="CC23">
        <v>8</v>
      </c>
      <c r="CD23">
        <v>10</v>
      </c>
      <c r="CE23">
        <v>11</v>
      </c>
      <c r="CF23" s="2">
        <f t="shared" si="15"/>
        <v>10532.9</v>
      </c>
      <c r="CG23" s="2">
        <f t="shared" si="16"/>
        <v>3017.4</v>
      </c>
      <c r="CH23" s="2">
        <f t="shared" si="17"/>
        <v>7515.5</v>
      </c>
      <c r="CI23" s="2">
        <f t="shared" si="18"/>
        <v>8846</v>
      </c>
      <c r="CJ23" s="2">
        <f t="shared" si="19"/>
        <v>1686.9</v>
      </c>
      <c r="CK23" s="2">
        <f t="shared" si="20"/>
        <v>6467</v>
      </c>
      <c r="CL23" s="2">
        <f t="shared" si="21"/>
        <v>1048.5</v>
      </c>
      <c r="CM23" s="2">
        <f t="shared" si="22"/>
        <v>522</v>
      </c>
      <c r="CN23" s="2">
        <f t="shared" si="23"/>
        <v>456</v>
      </c>
      <c r="CO23" s="2">
        <f t="shared" si="24"/>
        <v>638.4</v>
      </c>
      <c r="CP23" s="2">
        <f t="shared" si="30"/>
        <v>2379</v>
      </c>
      <c r="CQ23" s="2">
        <f t="shared" si="26"/>
        <v>359.09999999999997</v>
      </c>
      <c r="CR23" s="2">
        <f t="shared" si="27"/>
        <v>559.20000000000005</v>
      </c>
      <c r="CS23" s="2">
        <f t="shared" si="28"/>
        <v>1830</v>
      </c>
      <c r="CT23" s="2">
        <f t="shared" si="29"/>
        <v>5489</v>
      </c>
    </row>
    <row r="24" spans="1:98">
      <c r="A24" t="s">
        <v>91</v>
      </c>
      <c r="B24" t="s">
        <v>69</v>
      </c>
      <c r="C24">
        <v>33684</v>
      </c>
      <c r="D24">
        <v>30093</v>
      </c>
      <c r="E24">
        <v>24149</v>
      </c>
      <c r="F24">
        <v>11547</v>
      </c>
      <c r="G24">
        <v>0.48</v>
      </c>
      <c r="H24">
        <v>7372</v>
      </c>
      <c r="I24">
        <v>7267</v>
      </c>
      <c r="J24">
        <v>7182</v>
      </c>
      <c r="K24">
        <v>7098</v>
      </c>
      <c r="L24">
        <v>6471</v>
      </c>
      <c r="M24">
        <v>6465</v>
      </c>
      <c r="N24">
        <v>6414</v>
      </c>
      <c r="O24">
        <v>6301</v>
      </c>
      <c r="P24">
        <v>6091</v>
      </c>
      <c r="Q24">
        <v>3600</v>
      </c>
      <c r="R24">
        <v>2797</v>
      </c>
      <c r="S24">
        <v>41602</v>
      </c>
      <c r="T24" s="3">
        <v>1918.12</v>
      </c>
      <c r="U24">
        <v>92</v>
      </c>
      <c r="V24">
        <v>38</v>
      </c>
      <c r="W24">
        <v>54</v>
      </c>
      <c r="X24">
        <v>54</v>
      </c>
      <c r="Y24">
        <v>38</v>
      </c>
      <c r="Z24">
        <v>25</v>
      </c>
      <c r="AA24">
        <v>17</v>
      </c>
      <c r="AB24">
        <v>6</v>
      </c>
      <c r="AC24">
        <v>3</v>
      </c>
      <c r="AD24">
        <v>21</v>
      </c>
      <c r="AE24">
        <v>29</v>
      </c>
      <c r="AF24">
        <v>12</v>
      </c>
      <c r="AG24">
        <v>9</v>
      </c>
      <c r="AH24">
        <v>23</v>
      </c>
      <c r="AI24">
        <v>21</v>
      </c>
      <c r="AJ24" s="2">
        <f t="shared" si="0"/>
        <v>18251.199999999997</v>
      </c>
      <c r="AK24" s="2">
        <f t="shared" si="1"/>
        <v>6144.9</v>
      </c>
      <c r="AL24" s="2">
        <f t="shared" si="2"/>
        <v>12106.3</v>
      </c>
      <c r="AM24" s="2">
        <f t="shared" si="3"/>
        <v>16225</v>
      </c>
      <c r="AN24" s="2">
        <f t="shared" si="4"/>
        <v>2026.2000000000003</v>
      </c>
      <c r="AO24" s="2">
        <f t="shared" si="5"/>
        <v>10918</v>
      </c>
      <c r="AP24" s="2">
        <f t="shared" si="6"/>
        <v>1188.3000000000002</v>
      </c>
      <c r="AQ24" s="2">
        <f t="shared" si="7"/>
        <v>1566</v>
      </c>
      <c r="AR24" s="2">
        <f t="shared" si="8"/>
        <v>1368</v>
      </c>
      <c r="AS24" s="2">
        <f t="shared" si="9"/>
        <v>837.9</v>
      </c>
      <c r="AT24" s="2">
        <f t="shared" si="10"/>
        <v>5307</v>
      </c>
      <c r="AU24" s="2">
        <f t="shared" si="11"/>
        <v>478.79999999999995</v>
      </c>
      <c r="AV24" s="2">
        <f t="shared" si="12"/>
        <v>629.1</v>
      </c>
      <c r="AW24" s="2">
        <f t="shared" si="13"/>
        <v>4209</v>
      </c>
      <c r="AX24" s="2">
        <f t="shared" si="14"/>
        <v>10479</v>
      </c>
      <c r="AY24">
        <v>12310</v>
      </c>
      <c r="AZ24">
        <v>12370</v>
      </c>
      <c r="BA24">
        <v>8993</v>
      </c>
      <c r="BB24">
        <v>4037</v>
      </c>
      <c r="BC24">
        <v>0.45</v>
      </c>
      <c r="BD24">
        <v>2492</v>
      </c>
      <c r="BE24">
        <v>2453</v>
      </c>
      <c r="BF24">
        <v>2409</v>
      </c>
      <c r="BG24">
        <v>2371</v>
      </c>
      <c r="BH24">
        <v>2218</v>
      </c>
      <c r="BI24">
        <v>2216</v>
      </c>
      <c r="BJ24">
        <v>2179</v>
      </c>
      <c r="BK24">
        <v>2154</v>
      </c>
      <c r="BL24">
        <v>2023</v>
      </c>
      <c r="BM24">
        <v>1325</v>
      </c>
      <c r="BN24">
        <v>1138</v>
      </c>
      <c r="BO24">
        <v>15119</v>
      </c>
      <c r="BP24" s="3">
        <v>893.1</v>
      </c>
      <c r="BQ24">
        <v>60</v>
      </c>
      <c r="BR24">
        <v>20</v>
      </c>
      <c r="BS24">
        <v>40</v>
      </c>
      <c r="BT24">
        <v>33</v>
      </c>
      <c r="BU24">
        <v>27</v>
      </c>
      <c r="BV24">
        <v>14</v>
      </c>
      <c r="BW24">
        <v>13</v>
      </c>
      <c r="BX24">
        <v>2</v>
      </c>
      <c r="BY24">
        <v>1</v>
      </c>
      <c r="BZ24">
        <v>14</v>
      </c>
      <c r="CA24">
        <v>19</v>
      </c>
      <c r="CB24">
        <v>6</v>
      </c>
      <c r="CC24">
        <v>6</v>
      </c>
      <c r="CD24">
        <v>17</v>
      </c>
      <c r="CE24">
        <v>12</v>
      </c>
      <c r="CF24" s="2">
        <f t="shared" si="15"/>
        <v>11411.3</v>
      </c>
      <c r="CG24" s="2">
        <f t="shared" si="16"/>
        <v>4035.6</v>
      </c>
      <c r="CH24" s="2">
        <f t="shared" si="17"/>
        <v>7375.7</v>
      </c>
      <c r="CI24" s="2">
        <f t="shared" si="18"/>
        <v>9944</v>
      </c>
      <c r="CJ24" s="2">
        <f t="shared" si="19"/>
        <v>1467.3000000000002</v>
      </c>
      <c r="CK24" s="2">
        <f t="shared" si="20"/>
        <v>6467</v>
      </c>
      <c r="CL24" s="2">
        <f t="shared" ref="CL3:CL24" si="31">BW24*69.9</f>
        <v>908.7</v>
      </c>
      <c r="CM24" s="2">
        <f t="shared" si="22"/>
        <v>522</v>
      </c>
      <c r="CN24" s="2">
        <f t="shared" si="23"/>
        <v>456</v>
      </c>
      <c r="CO24" s="2">
        <f t="shared" si="24"/>
        <v>558.6</v>
      </c>
      <c r="CP24" s="2">
        <f t="shared" si="30"/>
        <v>3477</v>
      </c>
      <c r="CQ24" s="2">
        <f t="shared" si="26"/>
        <v>239.39999999999998</v>
      </c>
      <c r="CR24" s="2">
        <f t="shared" si="27"/>
        <v>419.40000000000003</v>
      </c>
      <c r="CS24" s="2">
        <f t="shared" si="28"/>
        <v>3111</v>
      </c>
      <c r="CT24" s="2">
        <f t="shared" si="29"/>
        <v>5988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2025-07-18T17:06:00Z</dcterms:created>
  <dcterms:modified xsi:type="dcterms:W3CDTF">2025-07-18T09:27:43Z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E1044BE2BE497553EF0E7A68B2790D6A_42</vt:lpwstr>
  </property>
  <property fmtid="{D5CDD505-2E9C-101B-9397-08002B2CF9AE}" pid="3" name="KSOProductBuildVer">
    <vt:lpwstr>2052-6.5.2.8766</vt:lpwstr>
  </property>
</Properties>
</file>